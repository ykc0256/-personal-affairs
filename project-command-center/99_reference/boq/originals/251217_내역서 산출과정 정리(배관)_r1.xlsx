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73AD22-F781-4B07-99C6-41E2705389F1}" xr6:coauthVersionLast="47" xr6:coauthVersionMax="47" xr10:uidLastSave="{00000000-0000-0000-0000-000000000000}"/>
  <bookViews>
    <workbookView xWindow="-120" yWindow="-120" windowWidth="29040" windowHeight="15840" xr2:uid="{E21B1317-8799-4E50-B3C6-253937CEE62A}"/>
  </bookViews>
  <sheets>
    <sheet name="배관산출과정 정리" sheetId="2" r:id="rId1"/>
    <sheet name="5-1. 배관공사비(탬플릿)" sheetId="12" r:id="rId2"/>
    <sheet name="나올수있는항목(전기)" sheetId="4" state="hidden" r:id="rId3"/>
    <sheet name="단자 산출" sheetId="5" state="hidden" r:id="rId4"/>
    <sheet name="전선관 산출" sheetId="6" state="hidden" r:id="rId5"/>
    <sheet name="케이블트레이 산출" sheetId="7" state="hidden" r:id="rId6"/>
    <sheet name="전동기제어반 산출" sheetId="8" state="hidden" r:id="rId7"/>
    <sheet name="현장조작반 산출" sheetId="9" state="hidden" r:id="rId8"/>
    <sheet name="종합" sheetId="10" state="hidden" r:id="rId9"/>
    <sheet name="호표(설치비)" sheetId="11" state="hidden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" i="2" l="1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4" i="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F809" i="12" s="1"/>
  <c r="L810" i="12"/>
  <c r="F810" i="12" s="1"/>
  <c r="L811" i="12"/>
  <c r="L812" i="12"/>
  <c r="L813" i="12"/>
  <c r="L814" i="12"/>
  <c r="F814" i="12" s="1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F830" i="12" s="1"/>
  <c r="L831" i="12"/>
  <c r="L832" i="12"/>
  <c r="L833" i="12"/>
  <c r="L834" i="12"/>
  <c r="L835" i="12"/>
  <c r="L836" i="12"/>
  <c r="L837" i="12"/>
  <c r="L838" i="12"/>
  <c r="L839" i="12"/>
  <c r="L840" i="12"/>
  <c r="F840" i="12" s="1"/>
  <c r="L841" i="12"/>
  <c r="L842" i="12"/>
  <c r="F842" i="12" s="1"/>
  <c r="L843" i="12"/>
  <c r="L844" i="12"/>
  <c r="L845" i="12"/>
  <c r="L846" i="12"/>
  <c r="L847" i="12"/>
  <c r="L848" i="12"/>
  <c r="L849" i="12"/>
  <c r="L850" i="12"/>
  <c r="L851" i="12"/>
  <c r="L852" i="12"/>
  <c r="L853" i="12"/>
  <c r="F853" i="12" s="1"/>
  <c r="L854" i="12"/>
  <c r="L855" i="12"/>
  <c r="L856" i="12"/>
  <c r="L857" i="12"/>
  <c r="L858" i="12"/>
  <c r="F858" i="12" s="1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F872" i="12" s="1"/>
  <c r="L873" i="12"/>
  <c r="F873" i="12" s="1"/>
  <c r="L874" i="12"/>
  <c r="L875" i="12"/>
  <c r="L876" i="12"/>
  <c r="L877" i="12"/>
  <c r="L878" i="12"/>
  <c r="L879" i="12"/>
  <c r="L880" i="12"/>
  <c r="L881" i="12"/>
  <c r="F881" i="12" s="1"/>
  <c r="L882" i="12"/>
  <c r="L883" i="12"/>
  <c r="L884" i="12"/>
  <c r="L885" i="12"/>
  <c r="F885" i="12" s="1"/>
  <c r="L886" i="12"/>
  <c r="L887" i="12"/>
  <c r="L888" i="12"/>
  <c r="L889" i="12"/>
  <c r="F889" i="12" s="1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F901" i="12" s="1"/>
  <c r="L902" i="12"/>
  <c r="L903" i="12"/>
  <c r="L904" i="12"/>
  <c r="L905" i="12"/>
  <c r="F905" i="12" s="1"/>
  <c r="L906" i="12"/>
  <c r="F906" i="12" s="1"/>
  <c r="L907" i="12"/>
  <c r="L908" i="12"/>
  <c r="L909" i="12"/>
  <c r="L910" i="12"/>
  <c r="F910" i="12" s="1"/>
  <c r="L911" i="12"/>
  <c r="L912" i="12"/>
  <c r="L913" i="12"/>
  <c r="L914" i="12"/>
  <c r="L915" i="12"/>
  <c r="L916" i="12"/>
  <c r="L917" i="12"/>
  <c r="F917" i="12" s="1"/>
  <c r="L918" i="12"/>
  <c r="L919" i="12"/>
  <c r="L920" i="12"/>
  <c r="L921" i="12"/>
  <c r="F921" i="12" s="1"/>
  <c r="L922" i="12"/>
  <c r="L923" i="12"/>
  <c r="L924" i="12"/>
  <c r="L925" i="12"/>
  <c r="L926" i="12"/>
  <c r="F926" i="12" s="1"/>
  <c r="L927" i="12"/>
  <c r="L928" i="12"/>
  <c r="L929" i="12"/>
  <c r="L930" i="12"/>
  <c r="L931" i="12"/>
  <c r="L932" i="12"/>
  <c r="L933" i="12"/>
  <c r="L934" i="12"/>
  <c r="L935" i="12"/>
  <c r="L936" i="12"/>
  <c r="L937" i="12"/>
  <c r="F937" i="12" s="1"/>
  <c r="L938" i="12"/>
  <c r="F938" i="12" s="1"/>
  <c r="L939" i="12"/>
  <c r="L940" i="12"/>
  <c r="L941" i="12"/>
  <c r="L942" i="12"/>
  <c r="F942" i="12" s="1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F958" i="12" s="1"/>
  <c r="L959" i="12"/>
  <c r="L960" i="12"/>
  <c r="L961" i="12"/>
  <c r="L962" i="12"/>
  <c r="L963" i="12"/>
  <c r="L964" i="12"/>
  <c r="L965" i="12"/>
  <c r="F965" i="12" s="1"/>
  <c r="L966" i="12"/>
  <c r="L967" i="12"/>
  <c r="L968" i="12"/>
  <c r="F968" i="12" s="1"/>
  <c r="L969" i="12"/>
  <c r="L970" i="12"/>
  <c r="F970" i="12" s="1"/>
  <c r="L971" i="12"/>
  <c r="L972" i="12"/>
  <c r="L973" i="12"/>
  <c r="L974" i="12"/>
  <c r="L975" i="12"/>
  <c r="L976" i="12"/>
  <c r="L977" i="12"/>
  <c r="L978" i="12"/>
  <c r="L979" i="12"/>
  <c r="L980" i="12"/>
  <c r="L981" i="12"/>
  <c r="F981" i="12" s="1"/>
  <c r="L982" i="12"/>
  <c r="L983" i="12"/>
  <c r="L984" i="12"/>
  <c r="L985" i="12"/>
  <c r="L986" i="12"/>
  <c r="F986" i="12" s="1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F1000" i="12" s="1"/>
  <c r="L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F20" i="12" s="1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F52" i="12" s="1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F68" i="12" s="1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F84" i="12" s="1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F100" i="12" s="1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F116" i="12" s="1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F132" i="12" s="1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F148" i="12" s="1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F180" i="12" s="1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F196" i="12" s="1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F212" i="12" s="1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F228" i="12" s="1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F244" i="12" s="1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F260" i="12" s="1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F276" i="12" s="1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F308" i="12" s="1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F324" i="12" s="1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F340" i="12" s="1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F356" i="12" s="1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F372" i="12" s="1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F388" i="12" s="1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F404" i="12" s="1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F436" i="12" s="1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F452" i="12" s="1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F468" i="12" s="1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F484" i="12" s="1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F500" i="12" s="1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F516" i="12" s="1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F532" i="12" s="1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F564" i="12" s="1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F580" i="12" s="1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F596" i="12" s="1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F612" i="12" s="1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F628" i="12" s="1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F644" i="12" s="1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F660" i="12" s="1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F692" i="12" s="1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F708" i="12" s="1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F724" i="12" s="1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F740" i="12" s="1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F756" i="12" s="1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F772" i="12" s="1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F788" i="12" s="1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F820" i="12" s="1"/>
  <c r="J821" i="12"/>
  <c r="J822" i="12"/>
  <c r="J823" i="12"/>
  <c r="J824" i="12"/>
  <c r="J825" i="12"/>
  <c r="J826" i="12"/>
  <c r="J827" i="12"/>
  <c r="J828" i="12"/>
  <c r="F828" i="12" s="1"/>
  <c r="J829" i="12"/>
  <c r="J830" i="12"/>
  <c r="J831" i="12"/>
  <c r="J832" i="12"/>
  <c r="J833" i="12"/>
  <c r="J834" i="12"/>
  <c r="J835" i="12"/>
  <c r="J836" i="12"/>
  <c r="F836" i="12" s="1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F852" i="12" s="1"/>
  <c r="J853" i="12"/>
  <c r="J854" i="12"/>
  <c r="J855" i="12"/>
  <c r="J856" i="12"/>
  <c r="J857" i="12"/>
  <c r="J858" i="12"/>
  <c r="J859" i="12"/>
  <c r="J860" i="12"/>
  <c r="F860" i="12" s="1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F884" i="12" s="1"/>
  <c r="J885" i="12"/>
  <c r="J886" i="12"/>
  <c r="J887" i="12"/>
  <c r="J888" i="12"/>
  <c r="J889" i="12"/>
  <c r="J890" i="12"/>
  <c r="J891" i="12"/>
  <c r="J892" i="12"/>
  <c r="F892" i="12" s="1"/>
  <c r="J893" i="12"/>
  <c r="J894" i="12"/>
  <c r="J895" i="12"/>
  <c r="J896" i="12"/>
  <c r="J897" i="12"/>
  <c r="J898" i="12"/>
  <c r="J899" i="12"/>
  <c r="J900" i="12"/>
  <c r="F900" i="12" s="1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F916" i="12" s="1"/>
  <c r="J917" i="12"/>
  <c r="J918" i="12"/>
  <c r="J919" i="12"/>
  <c r="J920" i="12"/>
  <c r="J921" i="12"/>
  <c r="J922" i="12"/>
  <c r="J923" i="12"/>
  <c r="J924" i="12"/>
  <c r="F924" i="12" s="1"/>
  <c r="J925" i="12"/>
  <c r="J926" i="12"/>
  <c r="J927" i="12"/>
  <c r="J928" i="12"/>
  <c r="J929" i="12"/>
  <c r="J930" i="12"/>
  <c r="J931" i="12"/>
  <c r="J932" i="12"/>
  <c r="F932" i="12" s="1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F948" i="12" s="1"/>
  <c r="J949" i="12"/>
  <c r="J950" i="12"/>
  <c r="J951" i="12"/>
  <c r="J952" i="12"/>
  <c r="J953" i="12"/>
  <c r="J954" i="12"/>
  <c r="J955" i="12"/>
  <c r="J956" i="12"/>
  <c r="F956" i="12" s="1"/>
  <c r="J957" i="12"/>
  <c r="J958" i="12"/>
  <c r="J959" i="12"/>
  <c r="J960" i="12"/>
  <c r="J961" i="12"/>
  <c r="J962" i="12"/>
  <c r="J963" i="12"/>
  <c r="J964" i="12"/>
  <c r="F964" i="12" s="1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F980" i="12" s="1"/>
  <c r="J981" i="12"/>
  <c r="J982" i="12"/>
  <c r="J983" i="12"/>
  <c r="J984" i="12"/>
  <c r="J985" i="12"/>
  <c r="J986" i="12"/>
  <c r="J987" i="12"/>
  <c r="J988" i="12"/>
  <c r="F988" i="12" s="1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F18" i="12" s="1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F34" i="12" s="1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F50" i="12" s="1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F66" i="12" s="1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F82" i="12" s="1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F98" i="12" s="1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F114" i="12" s="1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F130" i="12" s="1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F146" i="12" s="1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F162" i="12" s="1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F178" i="12" s="1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F194" i="12" s="1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F210" i="12" s="1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F226" i="12" s="1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F242" i="12" s="1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F258" i="12" s="1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F274" i="12" s="1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F290" i="12" s="1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F306" i="12" s="1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F322" i="12" s="1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F338" i="12" s="1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F354" i="12" s="1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F370" i="12" s="1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F386" i="12" s="1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F402" i="12" s="1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F418" i="12" s="1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F434" i="12" s="1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F450" i="12" s="1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F466" i="12" s="1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F482" i="12" s="1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F498" i="12" s="1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F514" i="12" s="1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F530" i="12" s="1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F546" i="12" s="1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F562" i="12" s="1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F578" i="12" s="1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F594" i="12" s="1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F610" i="12" s="1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F626" i="12" s="1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F642" i="12" s="1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F658" i="12" s="1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F674" i="12" s="1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F690" i="12" s="1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F706" i="12" s="1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F722" i="12" s="1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F738" i="12" s="1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F754" i="12" s="1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F770" i="12" s="1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F786" i="12" s="1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F802" i="12" s="1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F818" i="12" s="1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F834" i="12" s="1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F850" i="12" s="1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F866" i="12" s="1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F882" i="12" s="1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F898" i="12" s="1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F914" i="12" s="1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F930" i="12" s="1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F946" i="12" s="1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F962" i="12" s="1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F978" i="12" s="1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F994" i="12" s="1"/>
  <c r="H995" i="12"/>
  <c r="H996" i="12"/>
  <c r="H997" i="12"/>
  <c r="H998" i="12"/>
  <c r="H999" i="12"/>
  <c r="H1000" i="12"/>
  <c r="H4" i="12"/>
  <c r="F808" i="12"/>
  <c r="F811" i="12"/>
  <c r="F812" i="12"/>
  <c r="F813" i="12"/>
  <c r="F815" i="12"/>
  <c r="F816" i="12"/>
  <c r="F821" i="12"/>
  <c r="F822" i="12"/>
  <c r="F823" i="12"/>
  <c r="F824" i="12"/>
  <c r="F825" i="12"/>
  <c r="F826" i="12"/>
  <c r="F827" i="12"/>
  <c r="F829" i="12"/>
  <c r="F831" i="12"/>
  <c r="F832" i="12"/>
  <c r="F833" i="12"/>
  <c r="F837" i="12"/>
  <c r="F838" i="12"/>
  <c r="F839" i="12"/>
  <c r="F841" i="12"/>
  <c r="F843" i="12"/>
  <c r="F844" i="12"/>
  <c r="F845" i="12"/>
  <c r="F846" i="12"/>
  <c r="F847" i="12"/>
  <c r="F848" i="12"/>
  <c r="F854" i="12"/>
  <c r="F855" i="12"/>
  <c r="F856" i="12"/>
  <c r="F857" i="12"/>
  <c r="F859" i="12"/>
  <c r="F861" i="12"/>
  <c r="F862" i="12"/>
  <c r="F863" i="12"/>
  <c r="F864" i="12"/>
  <c r="F865" i="12"/>
  <c r="F868" i="12"/>
  <c r="F869" i="12"/>
  <c r="F870" i="12"/>
  <c r="F871" i="12"/>
  <c r="F874" i="12"/>
  <c r="F875" i="12"/>
  <c r="F876" i="12"/>
  <c r="F877" i="12"/>
  <c r="F878" i="12"/>
  <c r="F879" i="12"/>
  <c r="F880" i="12"/>
  <c r="F886" i="12"/>
  <c r="F887" i="12"/>
  <c r="F888" i="12"/>
  <c r="F890" i="12"/>
  <c r="F891" i="12"/>
  <c r="F893" i="12"/>
  <c r="F894" i="12"/>
  <c r="F895" i="12"/>
  <c r="F896" i="12"/>
  <c r="F902" i="12"/>
  <c r="F903" i="12"/>
  <c r="F904" i="12"/>
  <c r="F907" i="12"/>
  <c r="F908" i="12"/>
  <c r="F909" i="12"/>
  <c r="F911" i="12"/>
  <c r="F912" i="12"/>
  <c r="F918" i="12"/>
  <c r="F919" i="12"/>
  <c r="F920" i="12"/>
  <c r="F922" i="12"/>
  <c r="F923" i="12"/>
  <c r="F925" i="12"/>
  <c r="F927" i="12"/>
  <c r="F928" i="12"/>
  <c r="F933" i="12"/>
  <c r="F934" i="12"/>
  <c r="F935" i="12"/>
  <c r="F936" i="12"/>
  <c r="F939" i="12"/>
  <c r="F940" i="12"/>
  <c r="F941" i="12"/>
  <c r="F943" i="12"/>
  <c r="F944" i="12"/>
  <c r="F949" i="12"/>
  <c r="F950" i="12"/>
  <c r="F951" i="12"/>
  <c r="F952" i="12"/>
  <c r="F953" i="12"/>
  <c r="F954" i="12"/>
  <c r="F955" i="12"/>
  <c r="F957" i="12"/>
  <c r="F959" i="12"/>
  <c r="F960" i="12"/>
  <c r="F961" i="12"/>
  <c r="F966" i="12"/>
  <c r="F967" i="12"/>
  <c r="F969" i="12"/>
  <c r="F971" i="12"/>
  <c r="F972" i="12"/>
  <c r="F973" i="12"/>
  <c r="F974" i="12"/>
  <c r="F975" i="12"/>
  <c r="F976" i="12"/>
  <c r="F982" i="12"/>
  <c r="F983" i="12"/>
  <c r="F984" i="12"/>
  <c r="F985" i="12"/>
  <c r="F987" i="12"/>
  <c r="F989" i="12"/>
  <c r="F990" i="12"/>
  <c r="F991" i="12"/>
  <c r="F992" i="12"/>
  <c r="F993" i="12"/>
  <c r="F996" i="12"/>
  <c r="F997" i="12"/>
  <c r="F998" i="12"/>
  <c r="F999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4" i="12"/>
  <c r="F805" i="12"/>
  <c r="F806" i="12"/>
  <c r="F807" i="12"/>
  <c r="F977" i="12" l="1"/>
  <c r="F945" i="12"/>
  <c r="F929" i="12"/>
  <c r="F913" i="12"/>
  <c r="F897" i="12"/>
  <c r="F849" i="12"/>
  <c r="F817" i="12"/>
  <c r="F995" i="12"/>
  <c r="F979" i="12"/>
  <c r="F963" i="12"/>
  <c r="F947" i="12"/>
  <c r="F931" i="12"/>
  <c r="F915" i="12"/>
  <c r="F899" i="12"/>
  <c r="F883" i="12"/>
  <c r="F867" i="12"/>
  <c r="F851" i="12"/>
  <c r="F835" i="12"/>
  <c r="F819" i="12"/>
  <c r="F803" i="12"/>
  <c r="F787" i="12"/>
  <c r="F771" i="12"/>
  <c r="F755" i="12"/>
  <c r="F739" i="12"/>
  <c r="F723" i="12"/>
  <c r="F707" i="12"/>
  <c r="F691" i="12"/>
  <c r="F675" i="12"/>
  <c r="F659" i="12"/>
  <c r="F643" i="12"/>
  <c r="F627" i="12"/>
  <c r="F611" i="12"/>
  <c r="F595" i="12"/>
  <c r="F579" i="12"/>
  <c r="F563" i="12"/>
  <c r="F547" i="12"/>
  <c r="F531" i="12"/>
  <c r="F515" i="12"/>
  <c r="F499" i="12"/>
  <c r="F483" i="12"/>
  <c r="F467" i="12"/>
  <c r="F451" i="12"/>
  <c r="F435" i="12"/>
  <c r="F419" i="12"/>
  <c r="F403" i="12"/>
  <c r="F387" i="12"/>
  <c r="F371" i="12"/>
  <c r="F355" i="12"/>
  <c r="F339" i="12"/>
  <c r="F323" i="12"/>
  <c r="F307" i="12"/>
  <c r="F291" i="12"/>
  <c r="F275" i="12"/>
  <c r="F259" i="12"/>
  <c r="F243" i="12"/>
  <c r="F227" i="12"/>
  <c r="F211" i="12"/>
  <c r="F195" i="12"/>
  <c r="F179" i="12"/>
  <c r="F163" i="12"/>
  <c r="F147" i="12"/>
  <c r="F131" i="12"/>
  <c r="F115" i="12"/>
  <c r="F99" i="12"/>
  <c r="F83" i="12"/>
  <c r="F67" i="12"/>
  <c r="F51" i="12"/>
  <c r="F35" i="12"/>
  <c r="F19" i="12"/>
  <c r="AL5" i="2" l="1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4" i="2"/>
  <c r="C152" i="10"/>
  <c r="C148" i="10"/>
  <c r="C147" i="10"/>
  <c r="C146" i="10"/>
  <c r="C145" i="10"/>
  <c r="C142" i="10"/>
  <c r="C141" i="10"/>
  <c r="C151" i="10" s="1"/>
  <c r="C136" i="10"/>
  <c r="C135" i="10"/>
  <c r="C134" i="10"/>
  <c r="C69" i="7"/>
  <c r="C68" i="7"/>
  <c r="C61" i="7"/>
  <c r="C62" i="7"/>
  <c r="C63" i="7"/>
  <c r="C64" i="7"/>
  <c r="C65" i="7"/>
  <c r="C66" i="7"/>
  <c r="C67" i="7"/>
  <c r="C60" i="7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N50" i="8"/>
  <c r="N49" i="8"/>
  <c r="N48" i="8"/>
  <c r="C41" i="8"/>
  <c r="C35" i="8"/>
  <c r="C34" i="8"/>
  <c r="C33" i="8"/>
  <c r="C32" i="8"/>
  <c r="C28" i="8"/>
  <c r="C27" i="8"/>
  <c r="C39" i="8" s="1"/>
  <c r="C20" i="8"/>
  <c r="C19" i="8"/>
  <c r="C18" i="8"/>
  <c r="C52" i="7"/>
  <c r="C32" i="6"/>
  <c r="C31" i="6"/>
  <c r="C30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49" i="10" l="1"/>
  <c r="C150" i="10"/>
  <c r="C38" i="8"/>
  <c r="C37" i="8"/>
  <c r="L85" i="2" l="1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84" i="2"/>
  <c r="E66" i="2" l="1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6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46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25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5" i="2"/>
  <c r="E5" i="2"/>
  <c r="A6" i="2"/>
  <c r="E6" i="2"/>
  <c r="A7" i="2"/>
  <c r="E7" i="2"/>
  <c r="A8" i="2"/>
  <c r="E8" i="2"/>
  <c r="A9" i="2"/>
  <c r="E9" i="2"/>
  <c r="A10" i="2"/>
  <c r="E10" i="2"/>
  <c r="A11" i="2"/>
  <c r="E11" i="2"/>
  <c r="A12" i="2"/>
  <c r="E12" i="2"/>
  <c r="A13" i="2"/>
  <c r="E13" i="2"/>
  <c r="A14" i="2"/>
  <c r="E14" i="2"/>
  <c r="A15" i="2"/>
  <c r="E15" i="2"/>
  <c r="A16" i="2"/>
  <c r="E16" i="2"/>
  <c r="A17" i="2"/>
  <c r="E17" i="2"/>
  <c r="A18" i="2"/>
  <c r="E18" i="2"/>
  <c r="A19" i="2"/>
  <c r="E19" i="2"/>
  <c r="A20" i="2"/>
  <c r="E20" i="2"/>
  <c r="A21" i="2"/>
  <c r="E21" i="2"/>
  <c r="A22" i="2"/>
  <c r="E22" i="2"/>
  <c r="A23" i="2"/>
  <c r="E23" i="2"/>
  <c r="A24" i="2"/>
  <c r="E24" i="2"/>
  <c r="E4" i="2"/>
  <c r="A4" i="2"/>
  <c r="AG8" i="2" l="1"/>
  <c r="AG24" i="2"/>
  <c r="AG40" i="2"/>
  <c r="AG56" i="2"/>
  <c r="AG72" i="2"/>
  <c r="AG88" i="2"/>
  <c r="AG9" i="2"/>
  <c r="AG25" i="2"/>
  <c r="AG41" i="2"/>
  <c r="AG57" i="2"/>
  <c r="AG73" i="2"/>
  <c r="AG89" i="2"/>
  <c r="AG10" i="2"/>
  <c r="AG26" i="2"/>
  <c r="AG42" i="2"/>
  <c r="AG58" i="2"/>
  <c r="AG74" i="2"/>
  <c r="AG90" i="2"/>
  <c r="AG11" i="2"/>
  <c r="AG27" i="2"/>
  <c r="AG43" i="2"/>
  <c r="AG59" i="2"/>
  <c r="AG75" i="2"/>
  <c r="AG91" i="2"/>
  <c r="AG12" i="2"/>
  <c r="AG28" i="2"/>
  <c r="AG44" i="2"/>
  <c r="AG60" i="2"/>
  <c r="AG76" i="2"/>
  <c r="AG92" i="2"/>
  <c r="AG13" i="2"/>
  <c r="AG29" i="2"/>
  <c r="AG45" i="2"/>
  <c r="AG61" i="2"/>
  <c r="AG77" i="2"/>
  <c r="AG4" i="2"/>
  <c r="AQ4" i="2" s="1"/>
  <c r="AG14" i="2"/>
  <c r="AG30" i="2"/>
  <c r="AG46" i="2"/>
  <c r="AG62" i="2"/>
  <c r="AG78" i="2"/>
  <c r="AG15" i="2"/>
  <c r="AG31" i="2"/>
  <c r="AG47" i="2"/>
  <c r="AG63" i="2"/>
  <c r="AG79" i="2"/>
  <c r="AG16" i="2"/>
  <c r="AG32" i="2"/>
  <c r="AG48" i="2"/>
  <c r="AG64" i="2"/>
  <c r="AG80" i="2"/>
  <c r="AG17" i="2"/>
  <c r="AG33" i="2"/>
  <c r="AG49" i="2"/>
  <c r="AG65" i="2"/>
  <c r="AG81" i="2"/>
  <c r="AG18" i="2"/>
  <c r="AG34" i="2"/>
  <c r="AG50" i="2"/>
  <c r="AG66" i="2"/>
  <c r="AG82" i="2"/>
  <c r="AG19" i="2"/>
  <c r="AG35" i="2"/>
  <c r="AG51" i="2"/>
  <c r="AG67" i="2"/>
  <c r="AG83" i="2"/>
  <c r="AG20" i="2"/>
  <c r="AG36" i="2"/>
  <c r="AG52" i="2"/>
  <c r="AG68" i="2"/>
  <c r="AG84" i="2"/>
  <c r="AG5" i="2"/>
  <c r="AG21" i="2"/>
  <c r="AG37" i="2"/>
  <c r="AG53" i="2"/>
  <c r="AG69" i="2"/>
  <c r="AG85" i="2"/>
  <c r="AG6" i="2"/>
  <c r="AG22" i="2"/>
  <c r="AG38" i="2"/>
  <c r="AG54" i="2"/>
  <c r="AG70" i="2"/>
  <c r="AG86" i="2"/>
  <c r="AG7" i="2"/>
  <c r="AG23" i="2"/>
  <c r="AG39" i="2"/>
  <c r="AG55" i="2"/>
  <c r="AG71" i="2"/>
  <c r="AG87" i="2"/>
  <c r="AD5" i="2"/>
  <c r="AK5" i="2" s="1"/>
  <c r="AD21" i="2"/>
  <c r="AK21" i="2" s="1"/>
  <c r="AD37" i="2"/>
  <c r="AK37" i="2" s="1"/>
  <c r="AD53" i="2"/>
  <c r="AK53" i="2" s="1"/>
  <c r="AD69" i="2"/>
  <c r="AK69" i="2" s="1"/>
  <c r="AD85" i="2"/>
  <c r="AK85" i="2" s="1"/>
  <c r="AF12" i="2"/>
  <c r="AD6" i="2"/>
  <c r="AK6" i="2" s="1"/>
  <c r="AD22" i="2"/>
  <c r="AK22" i="2" s="1"/>
  <c r="AD38" i="2"/>
  <c r="AK38" i="2" s="1"/>
  <c r="AD54" i="2"/>
  <c r="AK54" i="2" s="1"/>
  <c r="AF61" i="2"/>
  <c r="AD7" i="2"/>
  <c r="AK7" i="2" s="1"/>
  <c r="AD23" i="2"/>
  <c r="AK23" i="2" s="1"/>
  <c r="AD39" i="2"/>
  <c r="AK39" i="2" s="1"/>
  <c r="AD55" i="2"/>
  <c r="AK55" i="2" s="1"/>
  <c r="AD71" i="2"/>
  <c r="AK71" i="2" s="1"/>
  <c r="AD87" i="2"/>
  <c r="AK87" i="2" s="1"/>
  <c r="AF14" i="2"/>
  <c r="AF30" i="2"/>
  <c r="AF46" i="2"/>
  <c r="AF62" i="2"/>
  <c r="AF78" i="2"/>
  <c r="AD40" i="2"/>
  <c r="AK40" i="2" s="1"/>
  <c r="AD88" i="2"/>
  <c r="AK88" i="2" s="1"/>
  <c r="AD8" i="2"/>
  <c r="AK8" i="2" s="1"/>
  <c r="AD24" i="2"/>
  <c r="AK24" i="2" s="1"/>
  <c r="AD56" i="2"/>
  <c r="AK56" i="2" s="1"/>
  <c r="AD72" i="2"/>
  <c r="AK72" i="2" s="1"/>
  <c r="AD9" i="2"/>
  <c r="AK9" i="2" s="1"/>
  <c r="AD25" i="2"/>
  <c r="AK25" i="2" s="1"/>
  <c r="AD41" i="2"/>
  <c r="AK41" i="2" s="1"/>
  <c r="AD57" i="2"/>
  <c r="AK57" i="2" s="1"/>
  <c r="AD73" i="2"/>
  <c r="AK73" i="2" s="1"/>
  <c r="AD89" i="2"/>
  <c r="AK89" i="2" s="1"/>
  <c r="AF16" i="2"/>
  <c r="AF32" i="2"/>
  <c r="AF48" i="2"/>
  <c r="AF64" i="2"/>
  <c r="AF80" i="2"/>
  <c r="AD26" i="2"/>
  <c r="AK26" i="2" s="1"/>
  <c r="AD74" i="2"/>
  <c r="AK74" i="2" s="1"/>
  <c r="AF33" i="2"/>
  <c r="AF49" i="2"/>
  <c r="AF65" i="2"/>
  <c r="AF18" i="2"/>
  <c r="AF50" i="2"/>
  <c r="AF82" i="2"/>
  <c r="AD44" i="2"/>
  <c r="AK44" i="2" s="1"/>
  <c r="AD76" i="2"/>
  <c r="AK76" i="2" s="1"/>
  <c r="AF19" i="2"/>
  <c r="AF51" i="2"/>
  <c r="AF83" i="2"/>
  <c r="AF53" i="2"/>
  <c r="AF85" i="2"/>
  <c r="AD4" i="2"/>
  <c r="AF7" i="2"/>
  <c r="AF39" i="2"/>
  <c r="AF79" i="2"/>
  <c r="AD10" i="2"/>
  <c r="AK10" i="2" s="1"/>
  <c r="AD42" i="2"/>
  <c r="AK42" i="2" s="1"/>
  <c r="AD58" i="2"/>
  <c r="AK58" i="2" s="1"/>
  <c r="AD90" i="2"/>
  <c r="AK90" i="2" s="1"/>
  <c r="AF17" i="2"/>
  <c r="AF81" i="2"/>
  <c r="AF66" i="2"/>
  <c r="AD28" i="2"/>
  <c r="AK28" i="2" s="1"/>
  <c r="AD92" i="2"/>
  <c r="AK92" i="2" s="1"/>
  <c r="AF35" i="2"/>
  <c r="AF37" i="2"/>
  <c r="AF86" i="2"/>
  <c r="AF23" i="2"/>
  <c r="AF87" i="2"/>
  <c r="AD11" i="2"/>
  <c r="AK11" i="2" s="1"/>
  <c r="AD27" i="2"/>
  <c r="AK27" i="2" s="1"/>
  <c r="AD43" i="2"/>
  <c r="AK43" i="2" s="1"/>
  <c r="AD59" i="2"/>
  <c r="AK59" i="2" s="1"/>
  <c r="AD75" i="2"/>
  <c r="AK75" i="2" s="1"/>
  <c r="AD91" i="2"/>
  <c r="AK91" i="2" s="1"/>
  <c r="AF34" i="2"/>
  <c r="AD60" i="2"/>
  <c r="AK60" i="2" s="1"/>
  <c r="AF67" i="2"/>
  <c r="AF70" i="2"/>
  <c r="AF55" i="2"/>
  <c r="AD12" i="2"/>
  <c r="AK12" i="2" s="1"/>
  <c r="AF38" i="2"/>
  <c r="AF47" i="2"/>
  <c r="AD13" i="2"/>
  <c r="AK13" i="2" s="1"/>
  <c r="AD29" i="2"/>
  <c r="AK29" i="2" s="1"/>
  <c r="AD45" i="2"/>
  <c r="AK45" i="2" s="1"/>
  <c r="AD61" i="2"/>
  <c r="AK61" i="2" s="1"/>
  <c r="AD77" i="2"/>
  <c r="AK77" i="2" s="1"/>
  <c r="AF20" i="2"/>
  <c r="AF36" i="2"/>
  <c r="AF52" i="2"/>
  <c r="AF68" i="2"/>
  <c r="AF84" i="2"/>
  <c r="AF54" i="2"/>
  <c r="AF71" i="2"/>
  <c r="AD14" i="2"/>
  <c r="AK14" i="2" s="1"/>
  <c r="AD30" i="2"/>
  <c r="AK30" i="2" s="1"/>
  <c r="AD46" i="2"/>
  <c r="AK46" i="2" s="1"/>
  <c r="AD62" i="2"/>
  <c r="AK62" i="2" s="1"/>
  <c r="AD78" i="2"/>
  <c r="AK78" i="2" s="1"/>
  <c r="AF5" i="2"/>
  <c r="AF21" i="2"/>
  <c r="AF69" i="2"/>
  <c r="AD15" i="2"/>
  <c r="AK15" i="2" s="1"/>
  <c r="AD31" i="2"/>
  <c r="AK31" i="2" s="1"/>
  <c r="AD47" i="2"/>
  <c r="AK47" i="2" s="1"/>
  <c r="AD63" i="2"/>
  <c r="AK63" i="2" s="1"/>
  <c r="AD79" i="2"/>
  <c r="AK79" i="2" s="1"/>
  <c r="AF6" i="2"/>
  <c r="AF22" i="2"/>
  <c r="AF31" i="2"/>
  <c r="AD16" i="2"/>
  <c r="AK16" i="2" s="1"/>
  <c r="AD32" i="2"/>
  <c r="AK32" i="2" s="1"/>
  <c r="AD48" i="2"/>
  <c r="AK48" i="2" s="1"/>
  <c r="AD64" i="2"/>
  <c r="AK64" i="2" s="1"/>
  <c r="AD80" i="2"/>
  <c r="AK80" i="2" s="1"/>
  <c r="AD17" i="2"/>
  <c r="AK17" i="2" s="1"/>
  <c r="AD33" i="2"/>
  <c r="AK33" i="2" s="1"/>
  <c r="AD49" i="2"/>
  <c r="AK49" i="2" s="1"/>
  <c r="AD65" i="2"/>
  <c r="AK65" i="2" s="1"/>
  <c r="AD81" i="2"/>
  <c r="AK81" i="2" s="1"/>
  <c r="AF8" i="2"/>
  <c r="AF24" i="2"/>
  <c r="AF40" i="2"/>
  <c r="AF56" i="2"/>
  <c r="AF72" i="2"/>
  <c r="AF88" i="2"/>
  <c r="AF43" i="2"/>
  <c r="AF91" i="2"/>
  <c r="AF28" i="2"/>
  <c r="AF76" i="2"/>
  <c r="AD70" i="2"/>
  <c r="AK70" i="2" s="1"/>
  <c r="AF13" i="2"/>
  <c r="AF77" i="2"/>
  <c r="AD18" i="2"/>
  <c r="AK18" i="2" s="1"/>
  <c r="AD34" i="2"/>
  <c r="AK34" i="2" s="1"/>
  <c r="AD50" i="2"/>
  <c r="AK50" i="2" s="1"/>
  <c r="AD66" i="2"/>
  <c r="AK66" i="2" s="1"/>
  <c r="AD82" i="2"/>
  <c r="AK82" i="2" s="1"/>
  <c r="AF9" i="2"/>
  <c r="AF25" i="2"/>
  <c r="AF41" i="2"/>
  <c r="AF57" i="2"/>
  <c r="AF73" i="2"/>
  <c r="AF89" i="2"/>
  <c r="AD19" i="2"/>
  <c r="AK19" i="2" s="1"/>
  <c r="AD35" i="2"/>
  <c r="AK35" i="2" s="1"/>
  <c r="AD51" i="2"/>
  <c r="AK51" i="2" s="1"/>
  <c r="AD67" i="2"/>
  <c r="AK67" i="2" s="1"/>
  <c r="AD83" i="2"/>
  <c r="AK83" i="2" s="1"/>
  <c r="AF10" i="2"/>
  <c r="AF26" i="2"/>
  <c r="AF42" i="2"/>
  <c r="AF58" i="2"/>
  <c r="AF74" i="2"/>
  <c r="AF90" i="2"/>
  <c r="AF27" i="2"/>
  <c r="AF59" i="2"/>
  <c r="AF75" i="2"/>
  <c r="AF44" i="2"/>
  <c r="AF92" i="2"/>
  <c r="AD86" i="2"/>
  <c r="AK86" i="2" s="1"/>
  <c r="AF29" i="2"/>
  <c r="AF45" i="2"/>
  <c r="AF4" i="2"/>
  <c r="AF15" i="2"/>
  <c r="AF63" i="2"/>
  <c r="AD20" i="2"/>
  <c r="AK20" i="2" s="1"/>
  <c r="AD36" i="2"/>
  <c r="AK36" i="2" s="1"/>
  <c r="AD52" i="2"/>
  <c r="AK52" i="2" s="1"/>
  <c r="AD68" i="2"/>
  <c r="AK68" i="2" s="1"/>
  <c r="AD84" i="2"/>
  <c r="AK84" i="2" s="1"/>
  <c r="AF11" i="2"/>
  <c r="AF60" i="2"/>
  <c r="AP60" i="2" l="1"/>
  <c r="AN60" i="2"/>
  <c r="AO60" i="2"/>
  <c r="AN41" i="2"/>
  <c r="AO41" i="2"/>
  <c r="AP41" i="2"/>
  <c r="AN22" i="2"/>
  <c r="AO22" i="2"/>
  <c r="AP22" i="2"/>
  <c r="AP67" i="2"/>
  <c r="AN67" i="2"/>
  <c r="AO67" i="2"/>
  <c r="AN25" i="2"/>
  <c r="AO25" i="2"/>
  <c r="AP25" i="2"/>
  <c r="AN56" i="2"/>
  <c r="AO56" i="2"/>
  <c r="AP56" i="2"/>
  <c r="AN84" i="2"/>
  <c r="AO84" i="2"/>
  <c r="AP84" i="2"/>
  <c r="AN68" i="2"/>
  <c r="AO68" i="2"/>
  <c r="AP68" i="2"/>
  <c r="AP34" i="2"/>
  <c r="AN34" i="2"/>
  <c r="AO34" i="2"/>
  <c r="AN24" i="2"/>
  <c r="AO24" i="2"/>
  <c r="AP24" i="2"/>
  <c r="AN52" i="2"/>
  <c r="AO52" i="2"/>
  <c r="AP52" i="2"/>
  <c r="AN8" i="2"/>
  <c r="AO8" i="2"/>
  <c r="AP8" i="2"/>
  <c r="AN36" i="2"/>
  <c r="AO36" i="2"/>
  <c r="AP36" i="2"/>
  <c r="AP18" i="2"/>
  <c r="AN18" i="2"/>
  <c r="AO18" i="2"/>
  <c r="AP29" i="2"/>
  <c r="AN29" i="2"/>
  <c r="AO29" i="2"/>
  <c r="AN59" i="2"/>
  <c r="AP59" i="2"/>
  <c r="AO59" i="2"/>
  <c r="AN72" i="2"/>
  <c r="AO72" i="2"/>
  <c r="AP72" i="2"/>
  <c r="AN54" i="2"/>
  <c r="AO54" i="2"/>
  <c r="AP54" i="2"/>
  <c r="AN11" i="2"/>
  <c r="AP11" i="2"/>
  <c r="AO11" i="2"/>
  <c r="AN27" i="2"/>
  <c r="AP27" i="2"/>
  <c r="AO27" i="2"/>
  <c r="AN6" i="2"/>
  <c r="AO6" i="2"/>
  <c r="AP6" i="2"/>
  <c r="AN90" i="2"/>
  <c r="AO90" i="2"/>
  <c r="AP90" i="2"/>
  <c r="AN9" i="2"/>
  <c r="AO9" i="2"/>
  <c r="AP9" i="2"/>
  <c r="AN40" i="2"/>
  <c r="AO40" i="2"/>
  <c r="AP40" i="2"/>
  <c r="AN74" i="2"/>
  <c r="AO74" i="2"/>
  <c r="AP74" i="2"/>
  <c r="AN58" i="2"/>
  <c r="AO58" i="2"/>
  <c r="AP58" i="2"/>
  <c r="AN42" i="2"/>
  <c r="AO42" i="2"/>
  <c r="AP42" i="2"/>
  <c r="AN20" i="2"/>
  <c r="AO20" i="2"/>
  <c r="AP20" i="2"/>
  <c r="AP65" i="2"/>
  <c r="AN65" i="2"/>
  <c r="AO65" i="2"/>
  <c r="AP49" i="2"/>
  <c r="AN49" i="2"/>
  <c r="AO49" i="2"/>
  <c r="AP61" i="2"/>
  <c r="AN61" i="2"/>
  <c r="AO61" i="2"/>
  <c r="AP63" i="2"/>
  <c r="AN63" i="2"/>
  <c r="AO63" i="2"/>
  <c r="AN10" i="2"/>
  <c r="AO10" i="2"/>
  <c r="AP10" i="2"/>
  <c r="AP79" i="2"/>
  <c r="AN79" i="2"/>
  <c r="AO79" i="2"/>
  <c r="AP33" i="2"/>
  <c r="AN33" i="2"/>
  <c r="AO33" i="2"/>
  <c r="AN39" i="2"/>
  <c r="AO39" i="2"/>
  <c r="AP39" i="2"/>
  <c r="AN87" i="2"/>
  <c r="AO87" i="2"/>
  <c r="AP87" i="2"/>
  <c r="AN7" i="2"/>
  <c r="AO7" i="2"/>
  <c r="AP7" i="2"/>
  <c r="AN69" i="2"/>
  <c r="AO69" i="2"/>
  <c r="AP69" i="2"/>
  <c r="AP15" i="2"/>
  <c r="AN15" i="2"/>
  <c r="AO15" i="2"/>
  <c r="AP77" i="2"/>
  <c r="AN77" i="2"/>
  <c r="AO77" i="2"/>
  <c r="AN21" i="2"/>
  <c r="AO21" i="2"/>
  <c r="AP21" i="2"/>
  <c r="AP4" i="2"/>
  <c r="AO4" i="2"/>
  <c r="AN4" i="2"/>
  <c r="AP13" i="2"/>
  <c r="AN13" i="2"/>
  <c r="AO13" i="2"/>
  <c r="AN5" i="2"/>
  <c r="AO5" i="2"/>
  <c r="AP5" i="2"/>
  <c r="AP45" i="2"/>
  <c r="AN45" i="2"/>
  <c r="AO45" i="2"/>
  <c r="AN23" i="2"/>
  <c r="AO23" i="2"/>
  <c r="AP23" i="2"/>
  <c r="AP80" i="2"/>
  <c r="AN80" i="2"/>
  <c r="AO80" i="2"/>
  <c r="AN86" i="2"/>
  <c r="AO86" i="2"/>
  <c r="AP86" i="2"/>
  <c r="AN85" i="2"/>
  <c r="AO85" i="2"/>
  <c r="AP85" i="2"/>
  <c r="AP64" i="2"/>
  <c r="AN64" i="2"/>
  <c r="AO64" i="2"/>
  <c r="AP78" i="2"/>
  <c r="AN78" i="2"/>
  <c r="AO78" i="2"/>
  <c r="AP12" i="2"/>
  <c r="AN12" i="2"/>
  <c r="AO12" i="2"/>
  <c r="AP76" i="2"/>
  <c r="AN76" i="2"/>
  <c r="AO76" i="2"/>
  <c r="AN38" i="2"/>
  <c r="AO38" i="2"/>
  <c r="AP38" i="2"/>
  <c r="AN37" i="2"/>
  <c r="AO37" i="2"/>
  <c r="AP37" i="2"/>
  <c r="AN53" i="2"/>
  <c r="AO53" i="2"/>
  <c r="AP53" i="2"/>
  <c r="AP48" i="2"/>
  <c r="AN48" i="2"/>
  <c r="AO48" i="2"/>
  <c r="AP62" i="2"/>
  <c r="AN62" i="2"/>
  <c r="AO62" i="2"/>
  <c r="AP35" i="2"/>
  <c r="AN35" i="2"/>
  <c r="AO35" i="2"/>
  <c r="AP83" i="2"/>
  <c r="AN83" i="2"/>
  <c r="AO83" i="2"/>
  <c r="AP32" i="2"/>
  <c r="AN32" i="2"/>
  <c r="AO32" i="2"/>
  <c r="AP46" i="2"/>
  <c r="AN46" i="2"/>
  <c r="AO46" i="2"/>
  <c r="AN26" i="2"/>
  <c r="AO26" i="2"/>
  <c r="AP26" i="2"/>
  <c r="AP47" i="2"/>
  <c r="AN47" i="2"/>
  <c r="AO47" i="2"/>
  <c r="AP51" i="2"/>
  <c r="AN51" i="2"/>
  <c r="AO51" i="2"/>
  <c r="AP16" i="2"/>
  <c r="AN16" i="2"/>
  <c r="AO16" i="2"/>
  <c r="AP30" i="2"/>
  <c r="AN30" i="2"/>
  <c r="AO30" i="2"/>
  <c r="AP28" i="2"/>
  <c r="AN28" i="2"/>
  <c r="AO28" i="2"/>
  <c r="AP92" i="2"/>
  <c r="AN92" i="2"/>
  <c r="AO92" i="2"/>
  <c r="AN89" i="2"/>
  <c r="AO89" i="2"/>
  <c r="AP89" i="2"/>
  <c r="AN91" i="2"/>
  <c r="AP91" i="2"/>
  <c r="AO91" i="2"/>
  <c r="AP44" i="2"/>
  <c r="AN44" i="2"/>
  <c r="AO44" i="2"/>
  <c r="AN73" i="2"/>
  <c r="AO73" i="2"/>
  <c r="AP73" i="2"/>
  <c r="AN43" i="2"/>
  <c r="AP43" i="2"/>
  <c r="AO43" i="2"/>
  <c r="AN55" i="2"/>
  <c r="AO55" i="2"/>
  <c r="AP55" i="2"/>
  <c r="AN75" i="2"/>
  <c r="AP75" i="2"/>
  <c r="AO75" i="2"/>
  <c r="AN57" i="2"/>
  <c r="AO57" i="2"/>
  <c r="AP57" i="2"/>
  <c r="AN88" i="2"/>
  <c r="AO88" i="2"/>
  <c r="AP88" i="2"/>
  <c r="AP31" i="2"/>
  <c r="AN31" i="2"/>
  <c r="AO31" i="2"/>
  <c r="AN71" i="2"/>
  <c r="AO71" i="2"/>
  <c r="AP71" i="2"/>
  <c r="AN70" i="2"/>
  <c r="AO70" i="2"/>
  <c r="AP70" i="2"/>
  <c r="AP19" i="2"/>
  <c r="AN19" i="2"/>
  <c r="AO19" i="2"/>
  <c r="AP14" i="2"/>
  <c r="AN14" i="2"/>
  <c r="AO14" i="2"/>
  <c r="AP66" i="2"/>
  <c r="AN66" i="2"/>
  <c r="AO66" i="2"/>
  <c r="AP81" i="2"/>
  <c r="AN81" i="2"/>
  <c r="AO81" i="2"/>
  <c r="AP17" i="2"/>
  <c r="AN17" i="2"/>
  <c r="AO17" i="2"/>
  <c r="AP82" i="2"/>
  <c r="AN82" i="2"/>
  <c r="AO82" i="2"/>
  <c r="AP50" i="2"/>
  <c r="AN50" i="2"/>
  <c r="AO50" i="2"/>
  <c r="AK4" i="2"/>
  <c r="AJ11" i="2"/>
  <c r="AI11" i="2"/>
  <c r="AJ9" i="2"/>
  <c r="AI9" i="2"/>
  <c r="AJ38" i="2"/>
  <c r="AI38" i="2"/>
  <c r="AJ90" i="2"/>
  <c r="AI90" i="2"/>
  <c r="AJ22" i="2"/>
  <c r="AI22" i="2"/>
  <c r="AJ58" i="2"/>
  <c r="AI58" i="2"/>
  <c r="AJ76" i="2"/>
  <c r="AI76" i="2"/>
  <c r="AJ6" i="2"/>
  <c r="AI6" i="2"/>
  <c r="AJ70" i="2"/>
  <c r="AI70" i="2"/>
  <c r="AJ60" i="2"/>
  <c r="AI60" i="2"/>
  <c r="AJ42" i="2"/>
  <c r="AI42" i="2"/>
  <c r="AJ44" i="2"/>
  <c r="AI44" i="2"/>
  <c r="AI81" i="2"/>
  <c r="AJ81" i="2"/>
  <c r="AJ10" i="2"/>
  <c r="AI10" i="2"/>
  <c r="AJ72" i="2"/>
  <c r="AI72" i="2"/>
  <c r="AI84" i="2"/>
  <c r="AJ84" i="2"/>
  <c r="AI68" i="2"/>
  <c r="AJ68" i="2"/>
  <c r="AI52" i="2"/>
  <c r="AJ52" i="2"/>
  <c r="AI36" i="2"/>
  <c r="AJ36" i="2"/>
  <c r="AI20" i="2"/>
  <c r="AJ20" i="2"/>
  <c r="AI65" i="2"/>
  <c r="AJ65" i="2"/>
  <c r="AI78" i="2"/>
  <c r="AJ78" i="2"/>
  <c r="AJ56" i="2"/>
  <c r="AI56" i="2"/>
  <c r="AI49" i="2"/>
  <c r="AJ49" i="2"/>
  <c r="AI62" i="2"/>
  <c r="AJ62" i="2"/>
  <c r="AJ24" i="2"/>
  <c r="AI24" i="2"/>
  <c r="AJ86" i="2"/>
  <c r="AI86" i="2"/>
  <c r="AI33" i="2"/>
  <c r="AJ33" i="2"/>
  <c r="AI79" i="2"/>
  <c r="AJ79" i="2"/>
  <c r="AI46" i="2"/>
  <c r="AJ46" i="2"/>
  <c r="AJ77" i="2"/>
  <c r="AI77" i="2"/>
  <c r="AJ8" i="2"/>
  <c r="AI8" i="2"/>
  <c r="AJ87" i="2"/>
  <c r="AI87" i="2"/>
  <c r="AI17" i="2"/>
  <c r="AJ17" i="2"/>
  <c r="AI63" i="2"/>
  <c r="AJ63" i="2"/>
  <c r="AI30" i="2"/>
  <c r="AJ30" i="2"/>
  <c r="AJ61" i="2"/>
  <c r="AI61" i="2"/>
  <c r="AJ71" i="2"/>
  <c r="AI71" i="2"/>
  <c r="AI47" i="2"/>
  <c r="AJ47" i="2"/>
  <c r="AI14" i="2"/>
  <c r="AJ14" i="2"/>
  <c r="AI45" i="2"/>
  <c r="AJ45" i="2"/>
  <c r="AJ4" i="2"/>
  <c r="AI4" i="2"/>
  <c r="AJ55" i="2"/>
  <c r="AI55" i="2"/>
  <c r="AI80" i="2"/>
  <c r="AJ80" i="2"/>
  <c r="AI31" i="2"/>
  <c r="AJ31" i="2"/>
  <c r="AI29" i="2"/>
  <c r="AJ29" i="2"/>
  <c r="AJ92" i="2"/>
  <c r="AI92" i="2"/>
  <c r="AJ88" i="2"/>
  <c r="AI88" i="2"/>
  <c r="AJ39" i="2"/>
  <c r="AI39" i="2"/>
  <c r="AI85" i="2"/>
  <c r="AJ85" i="2"/>
  <c r="AI83" i="2"/>
  <c r="AJ83" i="2"/>
  <c r="AI82" i="2"/>
  <c r="AJ82" i="2"/>
  <c r="AI64" i="2"/>
  <c r="AJ64" i="2"/>
  <c r="AI15" i="2"/>
  <c r="AJ15" i="2"/>
  <c r="AI13" i="2"/>
  <c r="AJ13" i="2"/>
  <c r="AJ91" i="2"/>
  <c r="AI91" i="2"/>
  <c r="AJ28" i="2"/>
  <c r="AI28" i="2"/>
  <c r="AJ89" i="2"/>
  <c r="AI89" i="2"/>
  <c r="AJ40" i="2"/>
  <c r="AI40" i="2"/>
  <c r="AJ23" i="2"/>
  <c r="AI23" i="2"/>
  <c r="AI69" i="2"/>
  <c r="AJ69" i="2"/>
  <c r="AI67" i="2"/>
  <c r="AJ67" i="2"/>
  <c r="AI66" i="2"/>
  <c r="AJ66" i="2"/>
  <c r="AI48" i="2"/>
  <c r="AJ48" i="2"/>
  <c r="AJ75" i="2"/>
  <c r="AI75" i="2"/>
  <c r="AJ73" i="2"/>
  <c r="AI73" i="2"/>
  <c r="AJ7" i="2"/>
  <c r="AI7" i="2"/>
  <c r="AI53" i="2"/>
  <c r="AJ53" i="2"/>
  <c r="AI51" i="2"/>
  <c r="AJ51" i="2"/>
  <c r="AI50" i="2"/>
  <c r="AJ50" i="2"/>
  <c r="AI32" i="2"/>
  <c r="AJ32" i="2"/>
  <c r="AJ59" i="2"/>
  <c r="AI59" i="2"/>
  <c r="AJ57" i="2"/>
  <c r="AI57" i="2"/>
  <c r="AJ37" i="2"/>
  <c r="AI37" i="2"/>
  <c r="AI35" i="2"/>
  <c r="AJ35" i="2"/>
  <c r="AI34" i="2"/>
  <c r="AJ34" i="2"/>
  <c r="AI16" i="2"/>
  <c r="AJ16" i="2"/>
  <c r="AJ43" i="2"/>
  <c r="AI43" i="2"/>
  <c r="AJ74" i="2"/>
  <c r="AI74" i="2"/>
  <c r="AJ41" i="2"/>
  <c r="AI41" i="2"/>
  <c r="AJ21" i="2"/>
  <c r="AI21" i="2"/>
  <c r="AI19" i="2"/>
  <c r="AJ19" i="2"/>
  <c r="AI18" i="2"/>
  <c r="AJ18" i="2"/>
  <c r="AJ12" i="2"/>
  <c r="AI12" i="2"/>
  <c r="AJ27" i="2"/>
  <c r="AI27" i="2"/>
  <c r="AJ26" i="2"/>
  <c r="AI26" i="2"/>
  <c r="AJ25" i="2"/>
  <c r="AI25" i="2"/>
  <c r="AJ54" i="2"/>
  <c r="AI54" i="2"/>
  <c r="AJ5" i="2"/>
  <c r="AI5" i="2"/>
  <c r="F4" i="12"/>
</calcChain>
</file>

<file path=xl/sharedStrings.xml><?xml version="1.0" encoding="utf-8"?>
<sst xmlns="http://schemas.openxmlformats.org/spreadsheetml/2006/main" count="11416" uniqueCount="2944">
  <si>
    <t>Item</t>
  </si>
  <si>
    <t>Specification</t>
    <phoneticPr fontId="3" type="noConversion"/>
  </si>
  <si>
    <t>Unit</t>
  </si>
  <si>
    <t>Quantity</t>
    <phoneticPr fontId="3" type="noConversion"/>
  </si>
  <si>
    <t>재료비</t>
    <phoneticPr fontId="3" type="noConversion"/>
  </si>
  <si>
    <t>노무비</t>
    <phoneticPr fontId="3" type="noConversion"/>
  </si>
  <si>
    <t>경비</t>
    <phoneticPr fontId="3" type="noConversion"/>
  </si>
  <si>
    <t>장비코드
(equipment_code)</t>
    <phoneticPr fontId="3" type="noConversion"/>
  </si>
  <si>
    <t>STS 강관</t>
    <phoneticPr fontId="3" type="noConversion"/>
  </si>
  <si>
    <t>20A × 2.5T</t>
  </si>
  <si>
    <t>M</t>
  </si>
  <si>
    <t>KSD3576_STS304_VM_0000_20_2.5_10_FIT_STRAIGHT_J_WELD</t>
  </si>
  <si>
    <t>32A × 2.8T</t>
  </si>
  <si>
    <t>KSD3576_STS304_VM_0000_32_2.8_10_FIT_STRAIGHT_J_WELD</t>
  </si>
  <si>
    <t>50A × 2.8T</t>
  </si>
  <si>
    <t>KSD3576_STS304_VM_0000_50_2.8_10_FIT_STRAIGHT_J_WELD</t>
  </si>
  <si>
    <t>65A × 3T</t>
  </si>
  <si>
    <t>KSD3576_STS304_VM_0000_65_3_10_FIT_STRAIGHT_J_WELD</t>
  </si>
  <si>
    <t>80A × 3T</t>
  </si>
  <si>
    <t>KSD3576_STS304_VM_0000_80_3_10_FIT_STRAIGHT_J_WELD</t>
  </si>
  <si>
    <t>100A × 3T</t>
  </si>
  <si>
    <t>KSD3576_STS304_VM_0000_100_3_10_FIT_STRAIGHT_J_WELD</t>
  </si>
  <si>
    <t>125A × 3.5T</t>
  </si>
  <si>
    <t>KSD3576_STS304_VM_0000_125_3.5_10_FIT_STRAIGHT_J_WELD</t>
  </si>
  <si>
    <t>150A × 3.5T</t>
  </si>
  <si>
    <t>KSD3576_STS304_VM_0000_150_3.5_10_FIT_STRAIGHT_J_WELD</t>
  </si>
  <si>
    <t>200A × 4T</t>
  </si>
  <si>
    <t>KSD3576_STS304_VM_0000_200_4_10_FIT_STRAIGHT_J_WELD</t>
  </si>
  <si>
    <t>300A × 4.5T</t>
  </si>
  <si>
    <t>KSD3576_STS304_VM_0000_300_4.5_10_FIT_STRAIGHT_J_WELD</t>
  </si>
  <si>
    <t>90˚엘보 (STS)</t>
    <phoneticPr fontId="3" type="noConversion"/>
  </si>
  <si>
    <t>20A, 용접식(S/10S, Long)</t>
  </si>
  <si>
    <t>EA</t>
  </si>
  <si>
    <t>KSD3576_STS304_VM_0000_20_90_10_FIT_LELBOW_J_WELD</t>
  </si>
  <si>
    <t>32A, 용접식(S/10S, Long)</t>
  </si>
  <si>
    <t>KSD3576_STS304_VM_0000_32_90_10_FIT_LELBOW_J_WELD</t>
  </si>
  <si>
    <t>50A, 용접식(S/10S, Long)</t>
  </si>
  <si>
    <t>KSD3576_STS304_VM_0000_50_90_10_FIT_LELBOW_J_WELD</t>
  </si>
  <si>
    <t>65A, 용접식(S/10S, Long)</t>
  </si>
  <si>
    <t>KSD3576_STS304_VM_0000_65_90_10_FIT_LELBOW_J_WELD</t>
  </si>
  <si>
    <t>80A, 용접식(S/10S, Long)</t>
  </si>
  <si>
    <t>KSD3576_STS304_VM_0000_80_90_10_FIT_LELBOW_J_WELD</t>
  </si>
  <si>
    <t>100A, 용접식(S/10S, Long)</t>
  </si>
  <si>
    <t>KSD3576_STS304_VM_0000_100_90_10_FIT_LELBOW_J_WELD</t>
  </si>
  <si>
    <t>125A, 용접식(S/10S, Long)</t>
  </si>
  <si>
    <t>KSD3576_STS304_VM_0000_125_90_10_FIT_LELBOW_J_WELD</t>
  </si>
  <si>
    <t>150A, 용접식(S/10S, Long)</t>
  </si>
  <si>
    <t>KSD3576_STS304_VM_0000_150_90_10_FIT_LELBOW_J_WELD</t>
  </si>
  <si>
    <t>200A, 용접식(S/10S, Long)</t>
  </si>
  <si>
    <t>KSD3576_STS304_VM_0000_200_90_10_FIT_LELBOW_J_WELD</t>
  </si>
  <si>
    <t>45˚엘보 (STS)</t>
    <phoneticPr fontId="3" type="noConversion"/>
  </si>
  <si>
    <t>200A</t>
    <phoneticPr fontId="3" type="noConversion"/>
  </si>
  <si>
    <t>TEE. (STS)</t>
    <phoneticPr fontId="3" type="noConversion"/>
  </si>
  <si>
    <t>20A, 용접식(S/10S)</t>
  </si>
  <si>
    <t>KSD3576_STS304_VM_0000_20_10_FIT_TEE_J_WELD</t>
  </si>
  <si>
    <t>32A, 용접식(S/10S)</t>
  </si>
  <si>
    <t>KSD3576_STS304_VM_0000_32_10_FIT_TEE_J_WELD</t>
  </si>
  <si>
    <t>50A, 용접식(S/10S)</t>
  </si>
  <si>
    <t>KSD3576_STS304_VM_0000_50_10_FIT_TEE_J_WELD</t>
  </si>
  <si>
    <t>80A, 용접식(S/10S)</t>
  </si>
  <si>
    <t>KSD3576_STS304_VM_0000_80_10_FIT_TEE_J_WELD</t>
  </si>
  <si>
    <t>100A, 용접식(S/10S)</t>
  </si>
  <si>
    <t>KSD3576_STS304_VM_0000_100_10_FIT_TEE_J_WELD</t>
  </si>
  <si>
    <t>125A, 용접식(S/10S)</t>
  </si>
  <si>
    <t>KSD3576_STS304_VM_0000_125_10_FIT_TEE_J_WELD</t>
  </si>
  <si>
    <t>150A, 용접식(S/10S)</t>
  </si>
  <si>
    <t>KSD3576_STS304_VM_0000_150_10_FIT_TEE_J_WELD</t>
  </si>
  <si>
    <t>200A, 용접식(S/10S)</t>
  </si>
  <si>
    <t>KSD3576_STS304_VM_0000_200_10_FIT_TEE_J_WELD</t>
  </si>
  <si>
    <t>300A, 용접식(S/10S)</t>
  </si>
  <si>
    <t>KSD3576_STS304_VM_0000_300_10_FIT_TEE_J_WELD</t>
  </si>
  <si>
    <t>RED. (STS) - CON</t>
    <phoneticPr fontId="3" type="noConversion"/>
  </si>
  <si>
    <t>80Ax65A</t>
  </si>
  <si>
    <t>125Ax80A</t>
  </si>
  <si>
    <t>125Ax100A</t>
  </si>
  <si>
    <t>150Ax125A</t>
  </si>
  <si>
    <t>200Ax150A</t>
  </si>
  <si>
    <t>300Ax200A</t>
  </si>
  <si>
    <t>H-COUPLING (STS)</t>
  </si>
  <si>
    <t>20A</t>
  </si>
  <si>
    <t>50A</t>
  </si>
  <si>
    <t>FLANGE (STS)</t>
    <phoneticPr fontId="3" type="noConversion"/>
  </si>
  <si>
    <t>20A, 용접식(S/10S), SOFF</t>
  </si>
  <si>
    <t>KSD3576_STS304_VM_0000_20_10_FIT_FLNG_J_FLANGE</t>
  </si>
  <si>
    <t>32A, 용접식(S/10S), SOFF</t>
  </si>
  <si>
    <t>KSD3576_STS304_VM_0000_32_10_FIT_FLNG_J_FLANGE</t>
  </si>
  <si>
    <t>50A, 용접식(S/10S), SOFF</t>
  </si>
  <si>
    <t>KSD3576_STS304_VM_0000_50_10_FIT_FLNG_J_FLANGE</t>
  </si>
  <si>
    <t>65A, 용접식(S/10S), SOFF</t>
  </si>
  <si>
    <t>KSD3576_STS304_VM_0000_65_10_FIT_FLNG_J_FLANGE</t>
  </si>
  <si>
    <t>80A, 용접식(S/10S), SOFF</t>
  </si>
  <si>
    <t>KSD3576_STS304_VM_0000_80_10_FIT_FLNG_J_FLANGE</t>
  </si>
  <si>
    <t>100A, 용접식(S/10S), SOFF</t>
  </si>
  <si>
    <t>KSD3576_STS304_VM_0000_100_10_FIT_FLNG_J_FLANGE</t>
  </si>
  <si>
    <t>125A, 용접식(S/10S), SOFF</t>
  </si>
  <si>
    <t>KSD3576_STS304_VM_0000_125_10_FIT_FLNG_J_FLANGE</t>
  </si>
  <si>
    <t>150A, 용접식(S/10S), SOFF</t>
  </si>
  <si>
    <t>KSD3576_STS304_VM_0000_150_10_FIT_FLNG_J_FLANGE</t>
  </si>
  <si>
    <t>200A, 용접식(S/10S), SOFF</t>
  </si>
  <si>
    <t>KSD3576_STS304_VM_0000_200_10_FIT_FLNG_J_FLANGE</t>
  </si>
  <si>
    <t>300A, 용접식(S/10S), SOFF</t>
  </si>
  <si>
    <t>KSD3576_STS304_VM_0000_300_10_FIT_FLNG_J_FLANGE</t>
  </si>
  <si>
    <t>B/FLANGE (STS)</t>
    <phoneticPr fontId="3" type="noConversion"/>
  </si>
  <si>
    <t>20A, 용접식(S/10S), BLFF</t>
  </si>
  <si>
    <t>KSD3576_STS304_VM_0000_20_10_FIT_BLDFLNG_J_FLANGE</t>
  </si>
  <si>
    <t>32A, 용접식(S/10S), BLFF</t>
  </si>
  <si>
    <t>KSD3576_STS304_VM_0000_32_10_FIT_BLDFLNG_J_FLANGE</t>
  </si>
  <si>
    <t>50A, 용접식(S/10S), BLFF</t>
  </si>
  <si>
    <t>KSD3576_STS304_VM_0000_50_10_FIT_BLDFLNG_J_FLANGE</t>
  </si>
  <si>
    <t>80A, 용접식(S/10S), BLFF</t>
  </si>
  <si>
    <t>KSD3576_STS304_VM_0000_80_10_FIT_BLDFLNG_J_FLANGE</t>
  </si>
  <si>
    <t>100A, 용접식(S/10S), BLFF</t>
  </si>
  <si>
    <t>KSD3576_STS304_VM_0000_100_10_FIT_BLDFLNG_J_FLANGE</t>
  </si>
  <si>
    <t>150A, 용접식(S/10S), BLFF</t>
  </si>
  <si>
    <t>KSD3576_STS304_VM_0000_150_10_FIT_BLDFLNG_J_FLANGE</t>
  </si>
  <si>
    <t>200A, 용접식(S/10S), BLFF</t>
  </si>
  <si>
    <t>KSD3576_STS304_VM_0000_200_10_FIT_BLDFLNG_J_FLANGE</t>
  </si>
  <si>
    <t>SPP(백) 강관</t>
    <phoneticPr fontId="3" type="noConversion"/>
  </si>
  <si>
    <t>50A, SPP, 백관, 반제품</t>
  </si>
  <si>
    <t>SPP_GV_VM_0000_50_FIT_STRAIGHT_J_WELD</t>
  </si>
  <si>
    <t>80A, SPP, 백관, 반제품</t>
  </si>
  <si>
    <t>SPP_GV_VM_0000_80_FIT_STRAIGHT_J_WELD</t>
  </si>
  <si>
    <t>150A, SPP, 백관, 반제품</t>
  </si>
  <si>
    <t>SPP_GV_VM_0000_150_FIT_STRAIGHT_J_WELD</t>
  </si>
  <si>
    <t>엘보90(SPPW)</t>
    <phoneticPr fontId="3" type="noConversion"/>
  </si>
  <si>
    <t>80A, 용접식(철, Long)</t>
  </si>
  <si>
    <t>SPP_GV_VM_0000_80_90_FIT_LELBOW_J_WELD</t>
  </si>
  <si>
    <t>150A, 용접식(철, Long)</t>
  </si>
  <si>
    <t>SPP_GV_VM_0000_150_90_FIT_LELBOW_J_WELD</t>
  </si>
  <si>
    <t>90˚엘보 (SPP백)</t>
    <phoneticPr fontId="3" type="noConversion"/>
  </si>
  <si>
    <t>80A, 용접식(철)</t>
  </si>
  <si>
    <t>SPP_GV_VM_0000_80_FIT_TEE_J_WELD</t>
  </si>
  <si>
    <t>150A, 용접식(철)</t>
  </si>
  <si>
    <t>SPP_GV_VM_0000_150_FIT_TEE_J_WELD</t>
  </si>
  <si>
    <t>FLANGE (SS400)</t>
  </si>
  <si>
    <t>50A, 10kg, SOFF</t>
  </si>
  <si>
    <t>SPP_GV_VM_DONGYOUNGTPC_50_10_FIT_FLNG_J_FLANGE</t>
  </si>
  <si>
    <t>80A, 10kg, SOFF</t>
  </si>
  <si>
    <t>SPP_GV_VM_DONGYOUNGTPC_80_10_FIT_FLNG_J_FLANGE</t>
  </si>
  <si>
    <t>150A, 10kg, SOFF</t>
  </si>
  <si>
    <t>SPP_GV_VM_DONGYOUNGTPC_150_10_FIT_FLNG_J_FLANGE</t>
  </si>
  <si>
    <t>PE 파이프</t>
  </si>
  <si>
    <t>20A, SDR11, PE80</t>
  </si>
  <si>
    <t>PE80_VM_PIPEBANK_20_SDR11_FIT_STRAIGHT_J_FUSION</t>
  </si>
  <si>
    <t>90˚엘보 (PE), 융착식</t>
  </si>
  <si>
    <t>PE80_VM_PIPEBANK_20_90_FIT_LELBOW_J_FUSION</t>
  </si>
  <si>
    <t>TEE. (PE), 융착식</t>
  </si>
  <si>
    <t>PE80_VM_PIPEBANK_20_20_FIT_TEE_J_FUSION</t>
  </si>
  <si>
    <t>FLANGE (PE)</t>
  </si>
  <si>
    <t>20A, SOFF</t>
    <phoneticPr fontId="3" type="noConversion"/>
  </si>
  <si>
    <t>PE80_VM_PIPEBANK_20_FIT_FLNG_J_FUSION</t>
  </si>
  <si>
    <t>BL. FLANGE (PE)</t>
  </si>
  <si>
    <t>게이트밸브 (주철제)</t>
    <phoneticPr fontId="3" type="noConversion"/>
  </si>
  <si>
    <t>50A, 후렌지식, 10K</t>
  </si>
  <si>
    <t>P_VAV0103_VM_0000_50_10_J_FLANGE</t>
  </si>
  <si>
    <t>65A, 후렌지식, 10K</t>
  </si>
  <si>
    <t>P_VAV0103_VM_0000_65_10_J_FLANGE</t>
  </si>
  <si>
    <t>80A, 후렌지식, 10K</t>
  </si>
  <si>
    <t>P_VAV0103_VM_0000_80_10_J_FLANGE</t>
  </si>
  <si>
    <t>100A, 후렌지식, 10K</t>
  </si>
  <si>
    <t>P_VAV0103_VM_0000_100_10_J_FLANGE</t>
  </si>
  <si>
    <t>125A, 후렌지식, 10K</t>
  </si>
  <si>
    <t>P_VAV0103_VM_0000_125_10_J_FLANGE</t>
  </si>
  <si>
    <t>150A, 후렌지식, 10K</t>
  </si>
  <si>
    <t>P_VAV0103_VM_0000_150_10_J_FLANGE</t>
  </si>
  <si>
    <t>200A, 후렌지식, 10K</t>
  </si>
  <si>
    <t>P_VAV0103_VM_0000_200_10_J_FLANGE</t>
  </si>
  <si>
    <t>체크밸브 (주철제)</t>
  </si>
  <si>
    <t>P_VAV0402_VM_0000_50_10_J_FLANGE</t>
  </si>
  <si>
    <t>P_VAV0402_VM_0000_80_10_J_FLANGE</t>
  </si>
  <si>
    <t>P_VAV0402_VM_0000_150_10_J_FLANGE</t>
  </si>
  <si>
    <t>P_VAV0402_VM_0000_200_10_J_FLANGE</t>
  </si>
  <si>
    <t>버터플라이밸브 (주철제)</t>
  </si>
  <si>
    <t>50A, 10K, G/O</t>
  </si>
  <si>
    <t>P_VAV0302_VM_JD_MACH_50_10_J_FLANGE</t>
  </si>
  <si>
    <t>80A, 10K, G/O</t>
  </si>
  <si>
    <t>P_VAV0302_VM_JD_MACH_80_10_J_FLANGE</t>
  </si>
  <si>
    <t>150A, 10K, G/O</t>
  </si>
  <si>
    <t>P_VAV0302_VM_JD_MACH_150_10_J_FLANGE</t>
  </si>
  <si>
    <t>볼밸브 (PVC,PP)</t>
  </si>
  <si>
    <t>20A, 나사식</t>
  </si>
  <si>
    <t>P_VAV0203_VM_0000_20_J_THREAD</t>
  </si>
  <si>
    <t>플렉시블죠인트</t>
    <phoneticPr fontId="3" type="noConversion"/>
  </si>
  <si>
    <t>50A, 10K</t>
  </si>
  <si>
    <t>P_VAV0702_VM_0000_50_10_J_FLANGE</t>
  </si>
  <si>
    <t>65A, 10K</t>
  </si>
  <si>
    <t>P_VAV0702_VM_0000_65_10_J_FLANGE</t>
  </si>
  <si>
    <t>80A, 10K</t>
  </si>
  <si>
    <t>P_VAV0702_VM_0000_80_10_J_FLANGE</t>
  </si>
  <si>
    <t>150A, 10K</t>
  </si>
  <si>
    <t>P_VAV0702_VM_0000_150_10_J_FLANGE</t>
  </si>
  <si>
    <t>200A, 10K</t>
  </si>
  <si>
    <t>P_VAV0702_VM_0000_200_10_J_FLANGE</t>
  </si>
  <si>
    <t>STS플랜지접합</t>
  </si>
  <si>
    <t>개소</t>
  </si>
  <si>
    <t>호표222</t>
  </si>
  <si>
    <t>호표223</t>
  </si>
  <si>
    <t>호표224</t>
  </si>
  <si>
    <t>호표225</t>
  </si>
  <si>
    <t>호표226</t>
  </si>
  <si>
    <t>호표227</t>
  </si>
  <si>
    <t>호표228</t>
  </si>
  <si>
    <t>호표230</t>
  </si>
  <si>
    <t>호표197</t>
  </si>
  <si>
    <t>호표198</t>
  </si>
  <si>
    <t>호표201</t>
  </si>
  <si>
    <t>STS배관설치공사(옥내-용접)</t>
  </si>
  <si>
    <t>호표61</t>
  </si>
  <si>
    <t>호표63</t>
  </si>
  <si>
    <t>호표65</t>
  </si>
  <si>
    <t>호표66</t>
  </si>
  <si>
    <t>호표67</t>
  </si>
  <si>
    <t>호표69</t>
  </si>
  <si>
    <t>호표70</t>
  </si>
  <si>
    <t>호표71</t>
  </si>
  <si>
    <t>호표73</t>
  </si>
  <si>
    <t>호표76</t>
  </si>
  <si>
    <t>강관설치공사(옥내-용접)</t>
  </si>
  <si>
    <t>호표9</t>
  </si>
  <si>
    <t>호표11</t>
  </si>
  <si>
    <t>호표15</t>
  </si>
  <si>
    <t>STS배관용접</t>
  </si>
  <si>
    <t>호표98</t>
  </si>
  <si>
    <t>호표100</t>
  </si>
  <si>
    <t>호표102</t>
  </si>
  <si>
    <t>호표103</t>
  </si>
  <si>
    <t>호표104</t>
  </si>
  <si>
    <t>호표106</t>
  </si>
  <si>
    <t>호표107</t>
  </si>
  <si>
    <t>호표108</t>
  </si>
  <si>
    <t>호표110</t>
  </si>
  <si>
    <t>호표113</t>
  </si>
  <si>
    <t>호표141</t>
  </si>
  <si>
    <t>밸브설치(나사식)</t>
  </si>
  <si>
    <t>호표364</t>
  </si>
  <si>
    <t>밸브설치(플랜지식)</t>
  </si>
  <si>
    <t>호표349</t>
  </si>
  <si>
    <t>호표350</t>
  </si>
  <si>
    <t>호표351</t>
  </si>
  <si>
    <t>호표353</t>
  </si>
  <si>
    <t>호표354</t>
  </si>
  <si>
    <t>호표355</t>
  </si>
  <si>
    <t>호표356</t>
  </si>
  <si>
    <t>밸브설치(버터플라이)</t>
  </si>
  <si>
    <t>호표326</t>
  </si>
  <si>
    <t>일위대가목록 (배관)</t>
    <phoneticPr fontId="3" type="noConversion"/>
  </si>
  <si>
    <t>No.</t>
    <phoneticPr fontId="3" type="noConversion"/>
  </si>
  <si>
    <t>Quantity</t>
  </si>
  <si>
    <t>비고</t>
    <phoneticPr fontId="3" type="noConversion"/>
  </si>
  <si>
    <t>호표1</t>
  </si>
  <si>
    <t>6A TON</t>
  </si>
  <si>
    <t>ton</t>
  </si>
  <si>
    <t>호표2</t>
  </si>
  <si>
    <t>8A TON</t>
  </si>
  <si>
    <t>호표3</t>
  </si>
  <si>
    <t>10A TON</t>
  </si>
  <si>
    <t>호표4</t>
  </si>
  <si>
    <t>15A TON</t>
  </si>
  <si>
    <t>호표5</t>
  </si>
  <si>
    <t>20A TON</t>
  </si>
  <si>
    <t>호표6</t>
  </si>
  <si>
    <t>25A TON</t>
  </si>
  <si>
    <t>호표7</t>
  </si>
  <si>
    <t>32A TON</t>
  </si>
  <si>
    <t>호표8</t>
  </si>
  <si>
    <t>40A TON</t>
  </si>
  <si>
    <t>50A TON</t>
  </si>
  <si>
    <t>호표10</t>
  </si>
  <si>
    <t>65A TON</t>
  </si>
  <si>
    <t>80A TON</t>
  </si>
  <si>
    <t>호표12</t>
  </si>
  <si>
    <t>90A TON</t>
  </si>
  <si>
    <t>호표13</t>
  </si>
  <si>
    <t>100A TON</t>
  </si>
  <si>
    <t>호표14</t>
  </si>
  <si>
    <t>125A TON</t>
  </si>
  <si>
    <t>150A TON</t>
  </si>
  <si>
    <t>호표16</t>
  </si>
  <si>
    <t>175A TON</t>
  </si>
  <si>
    <t>호표17</t>
  </si>
  <si>
    <t>200A TON</t>
  </si>
  <si>
    <t>호표18</t>
  </si>
  <si>
    <t>225A TON</t>
  </si>
  <si>
    <t>호표19</t>
  </si>
  <si>
    <t>250A TON</t>
  </si>
  <si>
    <t>호표20</t>
  </si>
  <si>
    <t>300A TON</t>
  </si>
  <si>
    <t>호표21</t>
  </si>
  <si>
    <t>350A TON</t>
  </si>
  <si>
    <t>호표22</t>
  </si>
  <si>
    <t>400A TON</t>
  </si>
  <si>
    <t>호표23</t>
  </si>
  <si>
    <t>450A TON</t>
  </si>
  <si>
    <t>호표24</t>
  </si>
  <si>
    <t>500A TON</t>
  </si>
  <si>
    <t>호표25</t>
  </si>
  <si>
    <t>550A TON</t>
  </si>
  <si>
    <t>호표26</t>
  </si>
  <si>
    <t>600A TON</t>
  </si>
  <si>
    <t>호표27</t>
  </si>
  <si>
    <t>650A TON</t>
  </si>
  <si>
    <t>호표28</t>
  </si>
  <si>
    <t>700A TON</t>
  </si>
  <si>
    <t>호표29</t>
  </si>
  <si>
    <t>750A TON</t>
  </si>
  <si>
    <t>호표30</t>
  </si>
  <si>
    <t>800A TON</t>
  </si>
  <si>
    <t>호표31</t>
  </si>
  <si>
    <t>850A TON</t>
  </si>
  <si>
    <t>호표32</t>
  </si>
  <si>
    <t>900A TON</t>
  </si>
  <si>
    <t>호표33</t>
  </si>
  <si>
    <t>1000A TON</t>
  </si>
  <si>
    <t>호표34</t>
  </si>
  <si>
    <t>1100A TON</t>
  </si>
  <si>
    <t>호표35</t>
  </si>
  <si>
    <t>1200A TON</t>
  </si>
  <si>
    <t>호표36</t>
  </si>
  <si>
    <t>1350A TON</t>
  </si>
  <si>
    <t>호표37</t>
  </si>
  <si>
    <t>1500A TON</t>
  </si>
  <si>
    <t>호표38</t>
  </si>
  <si>
    <t>압력배관용 강관설치공사(옥내-용접)</t>
  </si>
  <si>
    <t>호표39</t>
  </si>
  <si>
    <t>호표40</t>
  </si>
  <si>
    <t>호표41</t>
  </si>
  <si>
    <t>호표42</t>
  </si>
  <si>
    <t>호표43</t>
  </si>
  <si>
    <t>호표44</t>
  </si>
  <si>
    <t>호표45</t>
  </si>
  <si>
    <t>호표46</t>
  </si>
  <si>
    <t>호표47</t>
  </si>
  <si>
    <t>호표48</t>
  </si>
  <si>
    <t>호표49</t>
  </si>
  <si>
    <t>호표50</t>
  </si>
  <si>
    <t>호표51</t>
  </si>
  <si>
    <t>호표52</t>
  </si>
  <si>
    <t>호표53</t>
  </si>
  <si>
    <t>호표54</t>
  </si>
  <si>
    <t>호표55</t>
  </si>
  <si>
    <t>호표56</t>
  </si>
  <si>
    <t>호표57</t>
  </si>
  <si>
    <t>호표58</t>
  </si>
  <si>
    <t>호표59</t>
  </si>
  <si>
    <t>호표60</t>
  </si>
  <si>
    <t>호표62</t>
  </si>
  <si>
    <t>호표64</t>
  </si>
  <si>
    <t>호표68</t>
  </si>
  <si>
    <t>호표72</t>
  </si>
  <si>
    <t>호표74</t>
  </si>
  <si>
    <t>호표75</t>
  </si>
  <si>
    <t>호표77</t>
  </si>
  <si>
    <t>호표78</t>
  </si>
  <si>
    <t>호표79</t>
  </si>
  <si>
    <t>호표80</t>
  </si>
  <si>
    <t>호표81</t>
  </si>
  <si>
    <t>호표82</t>
  </si>
  <si>
    <t>호표83</t>
  </si>
  <si>
    <t>호표84</t>
  </si>
  <si>
    <t>호표85</t>
  </si>
  <si>
    <t>호표86</t>
  </si>
  <si>
    <t>호표87</t>
  </si>
  <si>
    <t>호표88</t>
  </si>
  <si>
    <t>호표89</t>
  </si>
  <si>
    <t>호표90</t>
  </si>
  <si>
    <t>호표91</t>
  </si>
  <si>
    <t>호표92</t>
  </si>
  <si>
    <t>호표93</t>
  </si>
  <si>
    <t>호표94</t>
  </si>
  <si>
    <t>6A 개소</t>
  </si>
  <si>
    <t>호표95</t>
  </si>
  <si>
    <t>8A 개소</t>
  </si>
  <si>
    <t>호표96</t>
  </si>
  <si>
    <t>10A 개소</t>
  </si>
  <si>
    <t>호표97</t>
  </si>
  <si>
    <t>15A 개소</t>
  </si>
  <si>
    <t>20A 개소</t>
  </si>
  <si>
    <t>호표99</t>
  </si>
  <si>
    <t>25A 개소</t>
  </si>
  <si>
    <t>32A 개소</t>
  </si>
  <si>
    <t>호표101</t>
  </si>
  <si>
    <t>40A 개소</t>
  </si>
  <si>
    <t>50A 개소</t>
  </si>
  <si>
    <t>65A 개소</t>
  </si>
  <si>
    <t>80A 개소</t>
  </si>
  <si>
    <t>호표105</t>
  </si>
  <si>
    <t>90A 개소</t>
  </si>
  <si>
    <t>100A 개소</t>
  </si>
  <si>
    <t>125A 개소</t>
  </si>
  <si>
    <t>150A 개소</t>
  </si>
  <si>
    <t>호표109</t>
  </si>
  <si>
    <t>175A 개소</t>
  </si>
  <si>
    <t>200A 개소</t>
  </si>
  <si>
    <t>호표111</t>
  </si>
  <si>
    <t>225A 개소</t>
  </si>
  <si>
    <t>호표112</t>
  </si>
  <si>
    <t>250A 개소</t>
  </si>
  <si>
    <t>300A 개소</t>
  </si>
  <si>
    <t>호표114</t>
  </si>
  <si>
    <t>350A 개소</t>
  </si>
  <si>
    <t>호표115</t>
  </si>
  <si>
    <t>400A 개소</t>
  </si>
  <si>
    <t>호표116</t>
  </si>
  <si>
    <t>450A 개소</t>
  </si>
  <si>
    <t>호표117</t>
  </si>
  <si>
    <t>500A 개소</t>
  </si>
  <si>
    <t>호표118</t>
  </si>
  <si>
    <t>550A 개소</t>
  </si>
  <si>
    <t>호표119</t>
  </si>
  <si>
    <t>600A 개소</t>
  </si>
  <si>
    <t>호표120</t>
  </si>
  <si>
    <t>650A 개소</t>
  </si>
  <si>
    <t>호표121</t>
  </si>
  <si>
    <t>700A 개소</t>
  </si>
  <si>
    <t>호표122</t>
  </si>
  <si>
    <t>750A 개소</t>
  </si>
  <si>
    <t>호표123</t>
  </si>
  <si>
    <t>800A 개소</t>
  </si>
  <si>
    <t>호표124</t>
  </si>
  <si>
    <t>850A 개소</t>
  </si>
  <si>
    <t>호표125</t>
  </si>
  <si>
    <t>900A 개소</t>
  </si>
  <si>
    <t>호표126</t>
  </si>
  <si>
    <t>1000A 개소</t>
  </si>
  <si>
    <t>호표127</t>
  </si>
  <si>
    <t>1100A 개소</t>
  </si>
  <si>
    <t>호표128</t>
  </si>
  <si>
    <t>1200A 개소</t>
  </si>
  <si>
    <t>호표129</t>
  </si>
  <si>
    <t>1350A 개소</t>
  </si>
  <si>
    <t>호표130</t>
  </si>
  <si>
    <t>1500A 개소</t>
  </si>
  <si>
    <t>호표131</t>
  </si>
  <si>
    <t>PVC관설치공사(접착제 접합)</t>
  </si>
  <si>
    <t>30A m</t>
  </si>
  <si>
    <t>m</t>
  </si>
  <si>
    <t>호표132</t>
  </si>
  <si>
    <t>35A m</t>
  </si>
  <si>
    <t>호표133</t>
  </si>
  <si>
    <t>40A m</t>
  </si>
  <si>
    <t>호표134</t>
  </si>
  <si>
    <t>50A m</t>
  </si>
  <si>
    <t>호표135</t>
  </si>
  <si>
    <t>65A m</t>
  </si>
  <si>
    <t>호표136</t>
  </si>
  <si>
    <t>75A m</t>
  </si>
  <si>
    <t>호표137</t>
  </si>
  <si>
    <t>100A m</t>
  </si>
  <si>
    <t>호표138</t>
  </si>
  <si>
    <t>125A m</t>
  </si>
  <si>
    <t>호표139</t>
  </si>
  <si>
    <t>150A m</t>
  </si>
  <si>
    <t>호표140</t>
  </si>
  <si>
    <t>200A m</t>
  </si>
  <si>
    <t>PE관설치공사(버트융착식접합)</t>
  </si>
  <si>
    <t>호표142</t>
  </si>
  <si>
    <t>호표143</t>
  </si>
  <si>
    <t>호표144</t>
  </si>
  <si>
    <t>호표145</t>
  </si>
  <si>
    <t>63A 개소</t>
  </si>
  <si>
    <t>호표146</t>
  </si>
  <si>
    <t>75A 개소</t>
  </si>
  <si>
    <t>호표147</t>
  </si>
  <si>
    <t>호표148</t>
  </si>
  <si>
    <t>110A 개소</t>
  </si>
  <si>
    <t>호표149</t>
  </si>
  <si>
    <t>호표150</t>
  </si>
  <si>
    <t>140A 개소</t>
  </si>
  <si>
    <t>호표151</t>
  </si>
  <si>
    <t>160A 개소</t>
  </si>
  <si>
    <t>호표152</t>
  </si>
  <si>
    <t>180A 개소</t>
  </si>
  <si>
    <t>호표153</t>
  </si>
  <si>
    <t>호표154</t>
  </si>
  <si>
    <t>호표155</t>
  </si>
  <si>
    <t>호표156</t>
  </si>
  <si>
    <t>280A 개소</t>
  </si>
  <si>
    <t>호표157</t>
  </si>
  <si>
    <t>315A 개소</t>
  </si>
  <si>
    <t>호표158</t>
  </si>
  <si>
    <t>355A 개소</t>
  </si>
  <si>
    <t>호표159</t>
  </si>
  <si>
    <t>호표160</t>
  </si>
  <si>
    <t>FRP 부설 및 접합</t>
  </si>
  <si>
    <t>호표161</t>
  </si>
  <si>
    <t>호표162</t>
  </si>
  <si>
    <t>호표163</t>
  </si>
  <si>
    <t>호표164</t>
  </si>
  <si>
    <t>호표165</t>
  </si>
  <si>
    <t>호표166</t>
  </si>
  <si>
    <t>호표167</t>
  </si>
  <si>
    <t>호표168</t>
  </si>
  <si>
    <t>호표169</t>
  </si>
  <si>
    <t>호표170</t>
  </si>
  <si>
    <t>호표171</t>
  </si>
  <si>
    <t>호표172</t>
  </si>
  <si>
    <t>호표173</t>
  </si>
  <si>
    <t>호표174</t>
  </si>
  <si>
    <t>호표175</t>
  </si>
  <si>
    <t>호표176</t>
  </si>
  <si>
    <t>호표177</t>
  </si>
  <si>
    <t>1650A 개소</t>
  </si>
  <si>
    <t>호표178</t>
  </si>
  <si>
    <t>FRP 관설치</t>
  </si>
  <si>
    <t>호표179</t>
  </si>
  <si>
    <t>호표180</t>
  </si>
  <si>
    <t>호표181</t>
  </si>
  <si>
    <t>호표182</t>
  </si>
  <si>
    <t>호표183</t>
  </si>
  <si>
    <t>호표184</t>
  </si>
  <si>
    <t>호표185</t>
  </si>
  <si>
    <t>호표186</t>
  </si>
  <si>
    <t>호표187</t>
  </si>
  <si>
    <t>호표188</t>
  </si>
  <si>
    <t>호표189</t>
  </si>
  <si>
    <t>호표190</t>
  </si>
  <si>
    <t>호표191</t>
  </si>
  <si>
    <t>호표192</t>
  </si>
  <si>
    <t>호표193</t>
  </si>
  <si>
    <t>호표194</t>
  </si>
  <si>
    <t>호표195</t>
  </si>
  <si>
    <t>호표196</t>
  </si>
  <si>
    <t>탄소강플랜지접합</t>
  </si>
  <si>
    <t>호표199</t>
  </si>
  <si>
    <t>호표200</t>
  </si>
  <si>
    <t>호표202</t>
  </si>
  <si>
    <t>호표203</t>
  </si>
  <si>
    <t>호표204</t>
  </si>
  <si>
    <t>호표205</t>
  </si>
  <si>
    <t>호표206</t>
  </si>
  <si>
    <t>호표207</t>
  </si>
  <si>
    <t>호표208</t>
  </si>
  <si>
    <t>호표209</t>
  </si>
  <si>
    <t>호표210</t>
  </si>
  <si>
    <t>호표211</t>
  </si>
  <si>
    <t>호표212</t>
  </si>
  <si>
    <t>호표213</t>
  </si>
  <si>
    <t>호표214</t>
  </si>
  <si>
    <t>호표215</t>
  </si>
  <si>
    <t>호표216</t>
  </si>
  <si>
    <t>호표217</t>
  </si>
  <si>
    <t>호표218</t>
  </si>
  <si>
    <t>1800A 개소</t>
  </si>
  <si>
    <t>호표219</t>
  </si>
  <si>
    <t>2000A 개소</t>
  </si>
  <si>
    <t>호표220</t>
  </si>
  <si>
    <t>2200A 개소</t>
  </si>
  <si>
    <t>호표221</t>
  </si>
  <si>
    <t>2400A 개소</t>
  </si>
  <si>
    <t>호표229</t>
  </si>
  <si>
    <t>호표231</t>
  </si>
  <si>
    <t>호표232</t>
  </si>
  <si>
    <t>호표233</t>
  </si>
  <si>
    <t>호표234</t>
  </si>
  <si>
    <t>호표235</t>
  </si>
  <si>
    <t>호표236</t>
  </si>
  <si>
    <t>호표237</t>
  </si>
  <si>
    <t>호표238</t>
  </si>
  <si>
    <t>호표239</t>
  </si>
  <si>
    <t>호표240</t>
  </si>
  <si>
    <t>호표241</t>
  </si>
  <si>
    <t>호표242</t>
  </si>
  <si>
    <t>호표243</t>
  </si>
  <si>
    <t>호표244</t>
  </si>
  <si>
    <t>호표245</t>
  </si>
  <si>
    <t>호표246</t>
  </si>
  <si>
    <t>호표247</t>
  </si>
  <si>
    <t>호표248</t>
  </si>
  <si>
    <t>PVC플랜지접합</t>
  </si>
  <si>
    <t>호표249</t>
  </si>
  <si>
    <t>호표250</t>
  </si>
  <si>
    <t>호표251</t>
  </si>
  <si>
    <t>호표252</t>
  </si>
  <si>
    <t>호표253</t>
  </si>
  <si>
    <t>호표254</t>
  </si>
  <si>
    <t>호표255</t>
  </si>
  <si>
    <t>호표256</t>
  </si>
  <si>
    <t>호표257</t>
  </si>
  <si>
    <t>호표258</t>
  </si>
  <si>
    <t>호표259</t>
  </si>
  <si>
    <t>호표260</t>
  </si>
  <si>
    <t>호표261</t>
  </si>
  <si>
    <t>호표262</t>
  </si>
  <si>
    <t>호표263</t>
  </si>
  <si>
    <t>호표264</t>
  </si>
  <si>
    <t>호표265</t>
  </si>
  <si>
    <t>호표266</t>
  </si>
  <si>
    <t>호표267</t>
  </si>
  <si>
    <t>호표268</t>
  </si>
  <si>
    <t>호표269</t>
  </si>
  <si>
    <t>호표270</t>
  </si>
  <si>
    <t>호표271</t>
  </si>
  <si>
    <t>호표272</t>
  </si>
  <si>
    <t>호표273</t>
  </si>
  <si>
    <t>호표274</t>
  </si>
  <si>
    <t>PE플랜지접합</t>
  </si>
  <si>
    <t>호표275</t>
  </si>
  <si>
    <t>호표276</t>
  </si>
  <si>
    <t>호표277</t>
  </si>
  <si>
    <t>호표278</t>
  </si>
  <si>
    <t>호표279</t>
  </si>
  <si>
    <t>호표280</t>
  </si>
  <si>
    <t>호표281</t>
  </si>
  <si>
    <t>호표282</t>
  </si>
  <si>
    <t>호표283</t>
  </si>
  <si>
    <t>호표284</t>
  </si>
  <si>
    <t>호표285</t>
  </si>
  <si>
    <t>호표286</t>
  </si>
  <si>
    <t>호표287</t>
  </si>
  <si>
    <t>호표288</t>
  </si>
  <si>
    <t>호표289</t>
  </si>
  <si>
    <t>호표290</t>
  </si>
  <si>
    <t>호표291</t>
  </si>
  <si>
    <t>호표292</t>
  </si>
  <si>
    <t>호표293</t>
  </si>
  <si>
    <t>호표294</t>
  </si>
  <si>
    <t>호표295</t>
  </si>
  <si>
    <t>호표296</t>
  </si>
  <si>
    <t>호표297</t>
  </si>
  <si>
    <t>호표298</t>
  </si>
  <si>
    <t>호표299</t>
  </si>
  <si>
    <t>호표300</t>
  </si>
  <si>
    <t>FRP플랜지접합</t>
  </si>
  <si>
    <t>호표301</t>
  </si>
  <si>
    <t>호표302</t>
  </si>
  <si>
    <t>호표303</t>
  </si>
  <si>
    <t>호표304</t>
  </si>
  <si>
    <t>호표305</t>
  </si>
  <si>
    <t>호표306</t>
  </si>
  <si>
    <t>호표307</t>
  </si>
  <si>
    <t>호표308</t>
  </si>
  <si>
    <t>호표309</t>
  </si>
  <si>
    <t>호표310</t>
  </si>
  <si>
    <t>호표311</t>
  </si>
  <si>
    <t>호표312</t>
  </si>
  <si>
    <t>호표313</t>
  </si>
  <si>
    <t>호표314</t>
  </si>
  <si>
    <t>호표315</t>
  </si>
  <si>
    <t>호표316</t>
  </si>
  <si>
    <t>호표317</t>
  </si>
  <si>
    <t>호표318</t>
  </si>
  <si>
    <t>호표319</t>
  </si>
  <si>
    <t>호표320</t>
  </si>
  <si>
    <t>호표321</t>
  </si>
  <si>
    <t>호표322</t>
  </si>
  <si>
    <t>호표323</t>
  </si>
  <si>
    <t>호표324</t>
  </si>
  <si>
    <t>호표325</t>
  </si>
  <si>
    <t>호표327</t>
  </si>
  <si>
    <t>호표328</t>
  </si>
  <si>
    <t>호표329</t>
  </si>
  <si>
    <t>호표330</t>
  </si>
  <si>
    <t>호표331</t>
  </si>
  <si>
    <t>호표332</t>
  </si>
  <si>
    <t>호표333</t>
  </si>
  <si>
    <t>호표334</t>
  </si>
  <si>
    <t>호표335</t>
  </si>
  <si>
    <t>호표336</t>
  </si>
  <si>
    <t>호표337</t>
  </si>
  <si>
    <t>호표338</t>
  </si>
  <si>
    <t/>
  </si>
  <si>
    <t>호표339</t>
  </si>
  <si>
    <t>호표340</t>
  </si>
  <si>
    <t>호표341</t>
  </si>
  <si>
    <t>호표342</t>
  </si>
  <si>
    <t>1600A 개소</t>
  </si>
  <si>
    <t>호표343</t>
  </si>
  <si>
    <t>호표344</t>
  </si>
  <si>
    <t>호표345</t>
  </si>
  <si>
    <t>호표346</t>
  </si>
  <si>
    <t>2100A 개소</t>
  </si>
  <si>
    <t>호표347</t>
  </si>
  <si>
    <t>호표348</t>
  </si>
  <si>
    <t>50A 이하 개당</t>
  </si>
  <si>
    <t>개</t>
  </si>
  <si>
    <t>65A 개당</t>
  </si>
  <si>
    <t>80A 개당</t>
  </si>
  <si>
    <t>호표352</t>
  </si>
  <si>
    <t>90A 개당</t>
  </si>
  <si>
    <t>100A 개당</t>
  </si>
  <si>
    <t>125A 개당</t>
  </si>
  <si>
    <t>150A 개당</t>
  </si>
  <si>
    <t>200A 개당</t>
  </si>
  <si>
    <t>호표357</t>
  </si>
  <si>
    <t>250A 개당</t>
  </si>
  <si>
    <t>호표358</t>
  </si>
  <si>
    <t>300A 개당</t>
  </si>
  <si>
    <t>호표359</t>
  </si>
  <si>
    <t>350A 개당</t>
  </si>
  <si>
    <t>호표360</t>
  </si>
  <si>
    <t>400A 개당</t>
  </si>
  <si>
    <t>호표361</t>
  </si>
  <si>
    <t>450A 개당</t>
  </si>
  <si>
    <t>호표362</t>
  </si>
  <si>
    <t>500A 개당</t>
  </si>
  <si>
    <t>호표363</t>
  </si>
  <si>
    <t>600A 개당</t>
  </si>
  <si>
    <t>25A 이하 개당</t>
  </si>
  <si>
    <t>호표365</t>
  </si>
  <si>
    <t>32A 개당</t>
  </si>
  <si>
    <t>호표366</t>
  </si>
  <si>
    <t>40A 개당</t>
  </si>
  <si>
    <t>호표367</t>
  </si>
  <si>
    <t>50A 개당</t>
  </si>
  <si>
    <t>호표368</t>
  </si>
  <si>
    <t>호표369</t>
  </si>
  <si>
    <t>호표370</t>
  </si>
  <si>
    <t>호표371</t>
  </si>
  <si>
    <t>밸브설치(나사식)</t>
    <phoneticPr fontId="3" type="noConversion"/>
  </si>
  <si>
    <t>호표372</t>
  </si>
  <si>
    <t xml:space="preserve">압력계설치  15A, STS  개소 </t>
    <phoneticPr fontId="3" type="noConversion"/>
  </si>
  <si>
    <t xml:space="preserve">15A  개소 </t>
    <phoneticPr fontId="3" type="noConversion"/>
  </si>
  <si>
    <t>SPP(흑)강관</t>
    <phoneticPr fontId="3" type="noConversion"/>
  </si>
  <si>
    <t>s_productnm_NONE</t>
    <phoneticPr fontId="3" type="noConversion"/>
  </si>
  <si>
    <t>s_easpecific_NONE</t>
    <phoneticPr fontId="3" type="noConversion"/>
  </si>
  <si>
    <t>품명</t>
    <phoneticPr fontId="3" type="noConversion"/>
  </si>
  <si>
    <t>규격</t>
    <phoneticPr fontId="3" type="noConversion"/>
  </si>
  <si>
    <t>직경</t>
    <phoneticPr fontId="3" type="noConversion"/>
  </si>
  <si>
    <t>i_diaa_phi_mm</t>
    <phoneticPr fontId="3" type="noConversion"/>
  </si>
  <si>
    <t>장비유형</t>
    <phoneticPr fontId="3" type="noConversion"/>
  </si>
  <si>
    <t>equipment_type</t>
    <phoneticPr fontId="3" type="noConversion"/>
  </si>
  <si>
    <t>접합방식</t>
    <phoneticPr fontId="3" type="noConversion"/>
  </si>
  <si>
    <t>피팅방식</t>
    <phoneticPr fontId="3" type="noConversion"/>
  </si>
  <si>
    <t>코드</t>
    <phoneticPr fontId="3" type="noConversion"/>
  </si>
  <si>
    <t>FIT_STRAIGHT</t>
  </si>
  <si>
    <t>FIT_STRAIGHT</t>
    <phoneticPr fontId="3" type="noConversion"/>
  </si>
  <si>
    <t>J_WELD</t>
  </si>
  <si>
    <t>J_WELD</t>
    <phoneticPr fontId="3" type="noConversion"/>
  </si>
  <si>
    <t>i_fitting_NONE</t>
    <phoneticPr fontId="3" type="noConversion"/>
  </si>
  <si>
    <t>s_joining_NONE</t>
    <phoneticPr fontId="3" type="noConversion"/>
  </si>
  <si>
    <t>equipment_code</t>
    <phoneticPr fontId="3" type="noConversion"/>
  </si>
  <si>
    <t>SPP_BK</t>
  </si>
  <si>
    <t>SPP_BK</t>
    <phoneticPr fontId="3" type="noConversion"/>
  </si>
  <si>
    <t>호표4</t>
    <phoneticPr fontId="3" type="noConversion"/>
  </si>
  <si>
    <t>호표5</t>
    <phoneticPr fontId="3" type="noConversion"/>
  </si>
  <si>
    <t>SPP_GV</t>
  </si>
  <si>
    <t>SPP_GV</t>
    <phoneticPr fontId="3" type="noConversion"/>
  </si>
  <si>
    <t>SPP(백)강관</t>
    <phoneticPr fontId="3" type="noConversion"/>
  </si>
  <si>
    <t>SPPS370</t>
  </si>
  <si>
    <t>SPPS370</t>
    <phoneticPr fontId="3" type="noConversion"/>
  </si>
  <si>
    <t>SPPS(흑) 강관</t>
  </si>
  <si>
    <t>호표41</t>
    <phoneticPr fontId="3" type="noConversion"/>
  </si>
  <si>
    <t>호표42</t>
    <phoneticPr fontId="3" type="noConversion"/>
  </si>
  <si>
    <t>호표43</t>
    <phoneticPr fontId="3" type="noConversion"/>
  </si>
  <si>
    <t>호표44</t>
    <phoneticPr fontId="3" type="noConversion"/>
  </si>
  <si>
    <t>SPPS410</t>
  </si>
  <si>
    <t>SPPS410</t>
    <phoneticPr fontId="3" type="noConversion"/>
  </si>
  <si>
    <t>SPPS(백) 강관</t>
    <phoneticPr fontId="3" type="noConversion"/>
  </si>
  <si>
    <t>KSD3576_STS304_VM_0000_15_2.5_10_FIT_STRAIGHT_J_WELD</t>
  </si>
  <si>
    <t>KSD3576_STS304_VM_0000_25_2.8_10_FIT_STRAIGHT_J_WELD</t>
  </si>
  <si>
    <t>KSD3576_STS304_VM_0000_40_2.8_10_FIT_STRAIGHT_J_WELD</t>
  </si>
  <si>
    <t>KSD3576_STS304_VM_0000_250_4_10_FIT_STRAIGHT_J_WELD</t>
  </si>
  <si>
    <t>KSD3576_STS304_VM_0000_350_4.5_10_FIT_STRAIGHT_J_WELD</t>
  </si>
  <si>
    <t>KSD3576_STS304_VM_0000_400_5_10_FIT_STRAIGHT_J_WELD</t>
  </si>
  <si>
    <t>KSD3576_STS304_VM_0000_450_5_10_FIT_STRAIGHT_J_WELD</t>
  </si>
  <si>
    <t>KSD3576_STS304_VM_0000_500_5.5_10_FIT_STRAIGHT_J_WELD</t>
  </si>
  <si>
    <t>KSD3576_STS304_VM_0000_550_5.5_10_FIT_STRAIGHT_J_WELD</t>
  </si>
  <si>
    <t>KSD3576_STS304_VM_0000_600_6_10_FIT_STRAIGHT_J_WELD</t>
  </si>
  <si>
    <t>KSD3576_STS304_VM_0000_650_6_10_FIT_STRAIGHT_J_WELD</t>
  </si>
  <si>
    <t>KSD3576_STS304_VM_0000_700_7_10_FIT_STRAIGHT_J_WELD</t>
  </si>
  <si>
    <t>KSD3576_STS304_VM_0000_750_7_10_FIT_STRAIGHT_J_WELD</t>
  </si>
  <si>
    <t>KSD3576_STS304_VM_0000_800_7_10_FIT_STRAIGHT_J_WELD</t>
  </si>
  <si>
    <t>STS 강관</t>
  </si>
  <si>
    <t>15A × 2.5T</t>
  </si>
  <si>
    <t>25A × 2.8T</t>
  </si>
  <si>
    <t>40A × 2.8T</t>
  </si>
  <si>
    <t>250A × 4T</t>
  </si>
  <si>
    <t>350A × 4.5T</t>
  </si>
  <si>
    <t>400A × 5T</t>
  </si>
  <si>
    <t>450A × 5T</t>
  </si>
  <si>
    <t>500A × 5.5T</t>
  </si>
  <si>
    <t>550A × 5.5T</t>
  </si>
  <si>
    <t>600A × 6T</t>
  </si>
  <si>
    <t>650A × 6T</t>
  </si>
  <si>
    <t>700A × 7T</t>
  </si>
  <si>
    <t>750A × 7T</t>
  </si>
  <si>
    <t>800A × 7T</t>
  </si>
  <si>
    <t>호표60</t>
    <phoneticPr fontId="3" type="noConversion"/>
  </si>
  <si>
    <t>호표69</t>
    <phoneticPr fontId="3" type="noConversion"/>
  </si>
  <si>
    <t>호표70</t>
    <phoneticPr fontId="3" type="noConversion"/>
  </si>
  <si>
    <t>KSD3576_STS316L_VM_0000_15_2.5_10_FIT_STRAIGHT_J_WELD</t>
  </si>
  <si>
    <t>KSD3576_STS316L_VM_0000_20_2.5_10_FIT_STRAIGHT_J_WELD</t>
  </si>
  <si>
    <t>KSD3576_STS316L_VM_0000_25_2.8_10_FIT_STRAIGHT_J_WELD</t>
  </si>
  <si>
    <t>KSD3576_STS316L_VM_0000_32_2.8_10_FIT_STRAIGHT_J_WELD</t>
  </si>
  <si>
    <t>KSD3576_STS316L_VM_0000_40_2.8_10_FIT_STRAIGHT_J_WELD</t>
  </si>
  <si>
    <t>KSD3576_STS316L_VM_0000_50_2.8_10_FIT_STRAIGHT_J_WELD</t>
  </si>
  <si>
    <t>KSD3576_STS316L_VM_0000_65_3_10_FIT_STRAIGHT_J_WELD</t>
  </si>
  <si>
    <t>KSD3576_STS316L_VM_0000_80_3_10_FIT_STRAIGHT_J_WELD</t>
  </si>
  <si>
    <t>KSD3576_STS316L_VM_0000_100_3_10_FIT_STRAIGHT_J_WELD</t>
  </si>
  <si>
    <t>KSD3576_STS316L_VM_0000_125_3.5_10_FIT_STRAIGHT_J_WELD</t>
  </si>
  <si>
    <t>KSD3576_STS316L_VM_0000_150_3.5_10_FIT_STRAIGHT_J_WELD</t>
  </si>
  <si>
    <t>KSD3576_STS316L_VM_0000_200_4_10_FIT_STRAIGHT_J_WELD</t>
  </si>
  <si>
    <t>KSD3576_STS316L_VM_0000_250_4_10_FIT_STRAIGHT_J_WELD</t>
  </si>
  <si>
    <t>KSD3576_STS316L_VM_0000_300_4.5_10_FIT_STRAIGHT_J_WELD</t>
  </si>
  <si>
    <t>KSD3576_STS316L_VM_0000_350_4.5_10_FIT_STRAIGHT_J_WELD</t>
  </si>
  <si>
    <t>KSD3576_STS316L_VM_0000_400_5_10_FIT_STRAIGHT_J_WELD</t>
  </si>
  <si>
    <t>KSD3576_STS316L_VM_0000_450_5_10_FIT_STRAIGHT_J_WELD</t>
  </si>
  <si>
    <t>KSD3576_STS316L_VM_0000_500_5.5_10_FIT_STRAIGHT_J_WELD</t>
  </si>
  <si>
    <t>KSD3576_STS316L_VM_0000_550_5.5_10_FIT_STRAIGHT_J_WELD</t>
  </si>
  <si>
    <t>KSD3576_STS316L_VM_0000_600_6_10_FIT_STRAIGHT_J_WELD</t>
  </si>
  <si>
    <t>KSD3576_STS316L_VM_0000_650_6_10_FIT_STRAIGHT_J_WELD</t>
  </si>
  <si>
    <t>KSD3576_STS316L_VM_0000_700_7_10_FIT_STRAIGHT_J_WELD</t>
  </si>
  <si>
    <t>KSD3576_STS316L_VM_0000_750_7_10_FIT_STRAIGHT_J_WELD</t>
  </si>
  <si>
    <t>KSD3576_STS316L_VM_0000_800_7_10_FIT_STRAIGHT_J_WELD</t>
  </si>
  <si>
    <t>PE80_VM_PIPEBANK_25_SDR11_FIT_STRAIGHT_J_FUSION</t>
  </si>
  <si>
    <t>PE80_VM_PIPEBANK_32_SDR11_FIT_STRAIGHT_J_FUSION</t>
  </si>
  <si>
    <t>PE80_VM_PIPEBANK_40_SDR11_FIT_STRAIGHT_J_FUSION</t>
  </si>
  <si>
    <t>PE80_VM_PIPEBANK_50_SDR11_FIT_STRAIGHT_J_FUSION</t>
  </si>
  <si>
    <t>PE80_VM_PIPEBANK_63_SDR11_FIT_STRAIGHT_J_FUSION</t>
  </si>
  <si>
    <t>PE80_VM_PIPEBANK_75_SDR11_FIT_STRAIGHT_J_FUSION</t>
  </si>
  <si>
    <t>PE80_VM_PIPEBANK_90_SDR11_FIT_STRAIGHT_J_FUSION</t>
  </si>
  <si>
    <t>PE80_VM_PIPEBANK_110_SDR11_FIT_STRAIGHT_J_FUSION</t>
  </si>
  <si>
    <t>PE80_VM_PIPEBANK_140_SDR11_FIT_STRAIGHT_J_FUSION</t>
  </si>
  <si>
    <t>PE80_VM_PIPEBANK_160_SDR11_FIT_STRAIGHT_J_FUSION</t>
  </si>
  <si>
    <t>PE80_VM_PIPEBANK_225_SDR11_FIT_STRAIGHT_J_FUSION</t>
  </si>
  <si>
    <t>PE80_VM_PIPEBANK_280_SDR11_FIT_STRAIGHT_J_FUSION</t>
  </si>
  <si>
    <t>PE80_VM_PIPEBANK_315_SDR11_FIT_STRAIGHT_J_FUSION</t>
  </si>
  <si>
    <t>PE80_VM_PIPEBANK_355_SDR11_FIT_STRAIGHT_J_FUSION</t>
  </si>
  <si>
    <t>PE80_VM_PIPEBANK_400_SDR11_FIT_STRAIGHT_J_FUSION</t>
  </si>
  <si>
    <t>PE80_VM_PIPEBANK_450_SDR11_FIT_STRAIGHT_J_FUSION</t>
  </si>
  <si>
    <t>PE80_VM_PIPEBANK_500_SDR11_FIT_STRAIGHT_J_FUSION</t>
  </si>
  <si>
    <t>PE80_VM_PIPEBANK_560_SDR11_FIT_STRAIGHT_J_FUSION</t>
  </si>
  <si>
    <t>PE80_VM_PIPEBANK_630_SDR11_FIT_STRAIGHT_J_FUSION</t>
  </si>
  <si>
    <t>PE80_VM_DONGWONPET_20_SDR11_FIT_STRAIGHT_J_FUSION</t>
  </si>
  <si>
    <t>PE80_VM_DONGWONPET_25_SDR11_FIT_STRAIGHT_J_FUSION</t>
  </si>
  <si>
    <t>PE80_VM_DONGWONPET_32_SDR11_FIT_STRAIGHT_J_FUSION</t>
  </si>
  <si>
    <t>PE80_VM_DONGWONPET_40_SDR11_FIT_STRAIGHT_J_FUSION</t>
  </si>
  <si>
    <t>PE80_VM_DONGWONPET_50_SDR11_FIT_STRAIGHT_J_FUSION</t>
  </si>
  <si>
    <t>PE80_VM_DONGWONPET_63_SDR11_FIT_STRAIGHT_J_FUSION</t>
  </si>
  <si>
    <t>PE80_VM_DONGWONPET_75_SDR11_FIT_STRAIGHT_J_FUSION</t>
  </si>
  <si>
    <t>PE80_VM_DONGWONPET_90_SDR11_FIT_STRAIGHT_J_FUSION</t>
  </si>
  <si>
    <t>PE80_VM_DONGWONPET_110_SDR11_FIT_STRAIGHT_J_FUSION</t>
  </si>
  <si>
    <t>PE80_VM_DONGWONPET_140_SDR11_FIT_STRAIGHT_J_FUSION</t>
  </si>
  <si>
    <t>PE80_VM_DONGWONPET_160_SDR11_FIT_STRAIGHT_J_FUSION</t>
  </si>
  <si>
    <t>PE80_VM_DONGWONPET_225_SDR11_FIT_STRAIGHT_J_FUSION</t>
  </si>
  <si>
    <t>PE80_VM_DONGWONPET_280_SDR11_FIT_STRAIGHT_J_FUSION</t>
  </si>
  <si>
    <t>PE80_VM_DONGWONPET_315_SDR11_FIT_STRAIGHT_J_FUSION</t>
  </si>
  <si>
    <t>PE80_VM_DONGWONPET_355_SDR11_FIT_STRAIGHT_J_FUSION</t>
  </si>
  <si>
    <t>PE80_VM_DONGWONPET_400_SDR11_FIT_STRAIGHT_J_FUSION</t>
  </si>
  <si>
    <t>PE80_VM_DONGWONPET_450_SDR11_FIT_STRAIGHT_J_FUSION</t>
  </si>
  <si>
    <t>PE80_VM_DONGWONPET_500_SDR11_FIT_STRAIGHT_J_FUSION</t>
  </si>
  <si>
    <t>PE80_VM_DONGWONPET_560_SDR11_FIT_STRAIGHT_J_FUSION</t>
  </si>
  <si>
    <t>PE80_VM_DONGWONPET_630_SDR11_FIT_STRAIGHT_J_FUSION</t>
  </si>
  <si>
    <t>PE80</t>
  </si>
  <si>
    <t>25A, SDR11, PE80</t>
  </si>
  <si>
    <t>32A, SDR11, PE80</t>
  </si>
  <si>
    <t>40A, SDR11, PE80</t>
  </si>
  <si>
    <t>50A, SDR11, PE80</t>
  </si>
  <si>
    <t>63A, SDR11, PE80</t>
  </si>
  <si>
    <t>75A, SDR11, PE80</t>
  </si>
  <si>
    <t>90A, SDR11, PE80</t>
  </si>
  <si>
    <t>110A, SDR11, PE80</t>
  </si>
  <si>
    <t>140A, SDR11, PE80</t>
  </si>
  <si>
    <t>160A, SDR11, PE80</t>
  </si>
  <si>
    <t>225A, SDR11, PE80</t>
  </si>
  <si>
    <t>280A, SDR11, PE80</t>
  </si>
  <si>
    <t>315A, SDR11, PE80</t>
  </si>
  <si>
    <t>355A, SDR11, PE80</t>
  </si>
  <si>
    <t>400A, SDR11, PE80</t>
  </si>
  <si>
    <t>450A, SDR11, PE80</t>
  </si>
  <si>
    <t>500A, SDR11, PE80</t>
  </si>
  <si>
    <t>560A, SDR11, PE80</t>
  </si>
  <si>
    <t>630A, SDR11, PE80</t>
  </si>
  <si>
    <t>J_FUSION</t>
  </si>
  <si>
    <t>호표141</t>
    <phoneticPr fontId="3" type="noConversion"/>
  </si>
  <si>
    <t>호표142</t>
    <phoneticPr fontId="3" type="noConversion"/>
  </si>
  <si>
    <t>호표143</t>
    <phoneticPr fontId="3" type="noConversion"/>
  </si>
  <si>
    <t>호표144</t>
    <phoneticPr fontId="3" type="noConversion"/>
  </si>
  <si>
    <t>호표145</t>
    <phoneticPr fontId="3" type="noConversion"/>
  </si>
  <si>
    <t>호표146</t>
    <phoneticPr fontId="3" type="noConversion"/>
  </si>
  <si>
    <t>호표147</t>
    <phoneticPr fontId="3" type="noConversion"/>
  </si>
  <si>
    <t>호표148</t>
    <phoneticPr fontId="3" type="noConversion"/>
  </si>
  <si>
    <t>호표149</t>
    <phoneticPr fontId="3" type="noConversion"/>
  </si>
  <si>
    <t>호표150</t>
    <phoneticPr fontId="3" type="noConversion"/>
  </si>
  <si>
    <t>호표154</t>
    <phoneticPr fontId="3" type="noConversion"/>
  </si>
  <si>
    <t>호표156</t>
    <phoneticPr fontId="3" type="noConversion"/>
  </si>
  <si>
    <t>호표157</t>
    <phoneticPr fontId="3" type="noConversion"/>
  </si>
  <si>
    <t>GRP_PIPE_VM_LEAPS_150_FIT_STRAIGHT_J_FLANGE</t>
  </si>
  <si>
    <t>GRP_PIPE_VM_LEAPS_200_FIT_STRAIGHT_J_FLANGE</t>
  </si>
  <si>
    <t>GRP_PIPE_VM_LEAPS_250_FIT_STRAIGHT_J_FLANGE</t>
  </si>
  <si>
    <t>GRP_PIPE_VM_LEAPS_300_FIT_STRAIGHT_J_FLANGE</t>
  </si>
  <si>
    <t>GRP_PIPE_VM_LEAPS_350_FIT_STRAIGHT_J_FLANGE</t>
  </si>
  <si>
    <t>GRP_PIPE_VM_LEAPS_400_FIT_STRAIGHT_J_FLANGE</t>
  </si>
  <si>
    <t>GRP_PIPE_VM_LEAPS_450_FIT_STRAIGHT_J_FLANGE</t>
  </si>
  <si>
    <t>GRP_PIPE_VM_LEAPS_500_FIT_STRAIGHT_J_FLANGE</t>
  </si>
  <si>
    <t>GRP_PIPE_VM_LEAPS_600_FIT_STRAIGHT_J_FLANGE</t>
  </si>
  <si>
    <t>GRP_PIPE_VM_LEAPS_700_FIT_STRAIGHT_J_FLANGE</t>
  </si>
  <si>
    <t>GRP_PIPE_VM_LEAPS_800_FIT_STRAIGHT_J_FLANGE</t>
  </si>
  <si>
    <t>GRP_PIPE_VM_LEAPS_900_FIT_STRAIGHT_J_FLANGE</t>
  </si>
  <si>
    <t>GRP_PIPE_VM_LEAPS_1000_FIT_STRAIGHT_J_FLANGE</t>
  </si>
  <si>
    <t>GRP_PIPE_VM_LEAPS_1100_FIT_STRAIGHT_J_FLANGE</t>
  </si>
  <si>
    <t>GRP_PIPE_VM_LEAPS_1200_FIT_STRAIGHT_J_FLANGE</t>
  </si>
  <si>
    <t>GRP_PIPE_VM_LEAPS_1350_FIT_STRAIGHT_J_FLANGE</t>
  </si>
  <si>
    <t>GRP_PIPE_VM_LEAPS_1500_FIT_STRAIGHT_J_FLANGE</t>
  </si>
  <si>
    <t>GRP_PIPE_VM_LEAPS_1650_FIT_STRAIGHT_J_FLANGE</t>
  </si>
  <si>
    <t>GRP_PIPE</t>
  </si>
  <si>
    <t>J_FLANGE</t>
  </si>
  <si>
    <t>FRP 파이프</t>
  </si>
  <si>
    <t>150A, 하수 2-4종 SGRP-012</t>
  </si>
  <si>
    <t>200A, 하수 2-4종 SGRP-012</t>
  </si>
  <si>
    <t>250A, 하수 2-4종 SGRP-012</t>
  </si>
  <si>
    <t>300A, 하수 2-4종 SGRP-012</t>
  </si>
  <si>
    <t>350A, 하수 2-4종 SGRP-012</t>
  </si>
  <si>
    <t>400A, 하수 2-4종 SGRP-012</t>
  </si>
  <si>
    <t>450A, 하수 2-4종 SGRP-012</t>
  </si>
  <si>
    <t>500A, 하수 2-4종 SGRP-012</t>
  </si>
  <si>
    <t>600A, 하수 2-4종 SGRP-012</t>
  </si>
  <si>
    <t>700A, 하수 2-4종 SGRP-012</t>
  </si>
  <si>
    <t>800A, 하수 2-4종 SGRP-012</t>
  </si>
  <si>
    <t>900A, 하수 2-4종 SGRP-012</t>
  </si>
  <si>
    <t>1000A, 하수 2-4종 SGRP-012</t>
  </si>
  <si>
    <t>1100A, 하수 2-4종 SGRP-012</t>
  </si>
  <si>
    <t>1200A, 하수 2-4종 SGRP-012</t>
  </si>
  <si>
    <t>1350A, 하수 2-4종 SGRP-012</t>
  </si>
  <si>
    <t>1500A, 하수 2-4종 SGRP-012</t>
  </si>
  <si>
    <t>1650A, 하수 2-4종 SGRP-012</t>
  </si>
  <si>
    <t>호표161</t>
    <phoneticPr fontId="3" type="noConversion"/>
  </si>
  <si>
    <t>호표162</t>
    <phoneticPr fontId="3" type="noConversion"/>
  </si>
  <si>
    <t>호표163</t>
    <phoneticPr fontId="3" type="noConversion"/>
  </si>
  <si>
    <t>호표164</t>
    <phoneticPr fontId="3" type="noConversion"/>
  </si>
  <si>
    <t>호표165</t>
    <phoneticPr fontId="3" type="noConversion"/>
  </si>
  <si>
    <t>호표166</t>
    <phoneticPr fontId="3" type="noConversion"/>
  </si>
  <si>
    <t>호표167</t>
    <phoneticPr fontId="3" type="noConversion"/>
  </si>
  <si>
    <t>호표168</t>
    <phoneticPr fontId="3" type="noConversion"/>
  </si>
  <si>
    <t>호표169</t>
    <phoneticPr fontId="3" type="noConversion"/>
  </si>
  <si>
    <t>호표170</t>
    <phoneticPr fontId="3" type="noConversion"/>
  </si>
  <si>
    <t>호표171</t>
    <phoneticPr fontId="3" type="noConversion"/>
  </si>
  <si>
    <t>호표172</t>
    <phoneticPr fontId="3" type="noConversion"/>
  </si>
  <si>
    <t>호표173</t>
    <phoneticPr fontId="3" type="noConversion"/>
  </si>
  <si>
    <t>호표174</t>
    <phoneticPr fontId="3" type="noConversion"/>
  </si>
  <si>
    <t>호표175</t>
    <phoneticPr fontId="3" type="noConversion"/>
  </si>
  <si>
    <t>호표176</t>
    <phoneticPr fontId="3" type="noConversion"/>
  </si>
  <si>
    <t>호표177</t>
    <phoneticPr fontId="3" type="noConversion"/>
  </si>
  <si>
    <t>설치</t>
    <phoneticPr fontId="3" type="noConversion"/>
  </si>
  <si>
    <t>용접</t>
    <phoneticPr fontId="3" type="noConversion"/>
  </si>
  <si>
    <t>SPP_BK_VM_DONGYOUNGTPC_15_10_FIT_FLNG_J_FLANGE</t>
  </si>
  <si>
    <t>SPP_BK_VM_DONGYOUNGTPC_20_10_FIT_FLNG_J_FLANGE</t>
  </si>
  <si>
    <t>SPP_BK_VM_DONGYOUNGTPC_25_10_FIT_FLNG_J_FLANGE</t>
  </si>
  <si>
    <t>SPP_BK_VM_DONGYOUNGTPC_32_10_FIT_FLNG_J_FLANGE</t>
  </si>
  <si>
    <t>SPP_BK_VM_DONGYOUNGTPC_40_10_FIT_FLNG_J_FLANGE</t>
  </si>
  <si>
    <t>SPP_BK_VM_DONGYOUNGTPC_50_10_FIT_FLNG_J_FLANGE</t>
  </si>
  <si>
    <t>SPP_BK_VM_DONGYOUNGTPC_65_10_FIT_FLNG_J_FLANGE</t>
  </si>
  <si>
    <t>SPP_BK_VM_DONGYOUNGTPC_80_10_FIT_FLNG_J_FLANGE</t>
  </si>
  <si>
    <t>SPP_BK_VM_DONGYOUNGTPC_100_10_FIT_FLNG_J_FLANGE</t>
  </si>
  <si>
    <t>SPP_BK_VM_DONGYOUNGTPC_125_10_FIT_FLNG_J_FLANGE</t>
  </si>
  <si>
    <t>SPP_BK_VM_DONGYOUNGTPC_150_10_FIT_FLNG_J_FLANGE</t>
  </si>
  <si>
    <t>SPP_BK_VM_DONGYOUNGTPC_200_10_FIT_FLNG_J_FLANGE</t>
  </si>
  <si>
    <t>SPP_BK_VM_DONGYOUNGTPC_250_10_FIT_FLNG_J_FLANGE</t>
  </si>
  <si>
    <t>SPP_BK_VM_DONGYOUNGTPC_300_10_FIT_FLNG_J_FLANGE</t>
  </si>
  <si>
    <t>SPP_BK_VM_DONGYOUNGTPC_350_10_FIT_FLNG_J_FLANGE</t>
  </si>
  <si>
    <t>SPP_BK_VM_DONGYOUNGTPC_400_10_FIT_FLNG_J_FLANGE</t>
  </si>
  <si>
    <t>SPP_BK_VM_DONGYOUNGTPC_450_10_FIT_FLNG_J_FLANGE</t>
  </si>
  <si>
    <t>SPP_BK_VM_DONGYOUNGTPC_500_10_FIT_FLNG_J_FLANGE</t>
  </si>
  <si>
    <t>SPP_GV_VM_DONGYOUNGTPC_15_10_FIT_FLNG_J_FLANGE</t>
  </si>
  <si>
    <t>SPP_GV_VM_DONGYOUNGTPC_20_10_FIT_FLNG_J_FLANGE</t>
  </si>
  <si>
    <t>SPP_GV_VM_DONGYOUNGTPC_25_10_FIT_FLNG_J_FLANGE</t>
  </si>
  <si>
    <t>SPP_GV_VM_DONGYOUNGTPC_32_10_FIT_FLNG_J_FLANGE</t>
  </si>
  <si>
    <t>SPP_GV_VM_DONGYOUNGTPC_40_10_FIT_FLNG_J_FLANGE</t>
  </si>
  <si>
    <t>SPP_GV_VM_DONGYOUNGTPC_65_10_FIT_FLNG_J_FLANGE</t>
  </si>
  <si>
    <t>SPP_GV_VM_DONGYOUNGTPC_100_10_FIT_FLNG_J_FLANGE</t>
  </si>
  <si>
    <t>SPP_GV_VM_DONGYOUNGTPC_125_10_FIT_FLNG_J_FLANGE</t>
  </si>
  <si>
    <t>SPP_GV_VM_DONGYOUNGTPC_200_10_FIT_FLNG_J_FLANGE</t>
  </si>
  <si>
    <t>SPP_GV_VM_DONGYOUNGTPC_250_10_FIT_FLNG_J_FLANGE</t>
  </si>
  <si>
    <t>SPP_GV_VM_DONGYOUNGTPC_300_10_FIT_FLNG_J_FLANGE</t>
  </si>
  <si>
    <t>SPP_GV_VM_DONGYOUNGTPC_350_10_FIT_FLNG_J_FLANGE</t>
  </si>
  <si>
    <t>SPP_GV_VM_DONGYOUNGTPC_400_10_FIT_FLNG_J_FLANGE</t>
  </si>
  <si>
    <t>SPP_GV_VM_DONGYOUNGTPC_450_10_FIT_FLNG_J_FLANGE</t>
  </si>
  <si>
    <t>SPP_GV_VM_DONGYOUNGTPC_500_10_FIT_FLNG_J_FLANGE</t>
  </si>
  <si>
    <t>SPPS370_VM_DONGYOUNGTPC_15_10_FIT_FLNG_J_FLANGE</t>
  </si>
  <si>
    <t>SPPS370_VM_DONGYOUNGTPC_20_10_FIT_FLNG_J_FLANGE</t>
  </si>
  <si>
    <t>SPPS370_VM_DONGYOUNGTPC_25_10_FIT_FLNG_J_FLANGE</t>
  </si>
  <si>
    <t>SPPS370_VM_DONGYOUNGTPC_32_10_FIT_FLNG_J_FLANGE</t>
  </si>
  <si>
    <t>SPPS370_VM_DONGYOUNGTPC_40_10_FIT_FLNG_J_FLANGE</t>
  </si>
  <si>
    <t>SPPS370_VM_DONGYOUNGTPC_50_10_FIT_FLNG_J_FLANGE</t>
  </si>
  <si>
    <t>SPPS370_VM_DONGYOUNGTPC_65_10_FIT_FLNG_J_FLANGE</t>
  </si>
  <si>
    <t>SPPS370_VM_DONGYOUNGTPC_80_10_FIT_FLNG_J_FLANGE</t>
  </si>
  <si>
    <t>SPPS370_VM_DONGYOUNGTPC_100_10_FIT_FLNG_J_FLANGE</t>
  </si>
  <si>
    <t>SPPS370_VM_DONGYOUNGTPC_125_10_FIT_FLNG_J_FLANGE</t>
  </si>
  <si>
    <t>SPPS370_VM_DONGYOUNGTPC_150_10_FIT_FLNG_J_FLANGE</t>
  </si>
  <si>
    <t>SPPS370_VM_DONGYOUNGTPC_200_10_FIT_FLNG_J_FLANGE</t>
  </si>
  <si>
    <t>SPPS370_VM_DONGYOUNGTPC_250_10_FIT_FLNG_J_FLANGE</t>
  </si>
  <si>
    <t>SPPS370_VM_DONGYOUNGTPC_300_10_FIT_FLNG_J_FLANGE</t>
  </si>
  <si>
    <t>SPPS370_VM_DONGYOUNGTPC_350_10_FIT_FLNG_J_FLANGE</t>
  </si>
  <si>
    <t>SPPS370_VM_DONGYOUNGTPC_400_10_FIT_FLNG_J_FLANGE</t>
  </si>
  <si>
    <t>SPPS370_VM_DONGYOUNGTPC_450_10_FIT_FLNG_J_FLANGE</t>
  </si>
  <si>
    <t>SPPS370_VM_DONGYOUNGTPC_500_10_FIT_FLNG_J_FLANGE</t>
  </si>
  <si>
    <t>SPPS410_VM_DONGYOUNGTPC_15_10_FIT_FLNG_J_FLANGE</t>
  </si>
  <si>
    <t>SPPS410_VM_DONGYOUNGTPC_20_10_FIT_FLNG_J_FLANGE</t>
  </si>
  <si>
    <t>SPPS410_VM_DONGYOUNGTPC_25_10_FIT_FLNG_J_FLANGE</t>
  </si>
  <si>
    <t>SPPS410_VM_DONGYOUNGTPC_32_10_FIT_FLNG_J_FLANGE</t>
  </si>
  <si>
    <t>SPPS410_VM_DONGYOUNGTPC_40_10_FIT_FLNG_J_FLANGE</t>
  </si>
  <si>
    <t>SPPS410_VM_DONGYOUNGTPC_50_10_FIT_FLNG_J_FLANGE</t>
  </si>
  <si>
    <t>SPPS410_VM_DONGYOUNGTPC_65_10_FIT_FLNG_J_FLANGE</t>
  </si>
  <si>
    <t>SPPS410_VM_DONGYOUNGTPC_80_10_FIT_FLNG_J_FLANGE</t>
  </si>
  <si>
    <t>SPPS410_VM_DONGYOUNGTPC_100_10_FIT_FLNG_J_FLANGE</t>
  </si>
  <si>
    <t>SPPS410_VM_DONGYOUNGTPC_125_10_FIT_FLNG_J_FLANGE</t>
  </si>
  <si>
    <t>SPPS410_VM_DONGYOUNGTPC_150_10_FIT_FLNG_J_FLANGE</t>
  </si>
  <si>
    <t>SPPS410_VM_DONGYOUNGTPC_200_10_FIT_FLNG_J_FLANGE</t>
  </si>
  <si>
    <t>SPPS410_VM_DONGYOUNGTPC_250_10_FIT_FLNG_J_FLANGE</t>
  </si>
  <si>
    <t>SPPS410_VM_DONGYOUNGTPC_300_10_FIT_FLNG_J_FLANGE</t>
  </si>
  <si>
    <t>SPPS410_VM_DONGYOUNGTPC_350_10_FIT_FLNG_J_FLANGE</t>
  </si>
  <si>
    <t>SPPS410_VM_DONGYOUNGTPC_400_10_FIT_FLNG_J_FLANGE</t>
  </si>
  <si>
    <t>SPPS410_VM_DONGYOUNGTPC_450_10_FIT_FLNG_J_FLANGE</t>
  </si>
  <si>
    <t>SPPS410_VM_DONGYOUNGTPC_500_10_FIT_FLNG_J_FLANGE</t>
  </si>
  <si>
    <t>FIT_FLNG</t>
  </si>
  <si>
    <t>15A, 10kg, SOFF</t>
  </si>
  <si>
    <t>20A, 10kg, SOFF</t>
  </si>
  <si>
    <t>25A, 10kg, SOFF</t>
  </si>
  <si>
    <t>32A, 10kg, SOFF</t>
  </si>
  <si>
    <t>40A, 10kg, SOFF</t>
  </si>
  <si>
    <t>65A, 10kg, SOFF</t>
  </si>
  <si>
    <t>100A, 10kg, SOFF</t>
  </si>
  <si>
    <t>125A, 10kg, SOFF</t>
  </si>
  <si>
    <t>200A, 10kg, SOFF</t>
  </si>
  <si>
    <t>250A, 10kg, SOFF</t>
  </si>
  <si>
    <t>300A, 10kg, SOFF</t>
  </si>
  <si>
    <t>350A, 10kg, SOFF</t>
  </si>
  <si>
    <t>400A, 10kg, SOFF</t>
  </si>
  <si>
    <t>450A, 10kg, SOFF</t>
  </si>
  <si>
    <t>500A, 10kg, SOFF</t>
  </si>
  <si>
    <t>호표196</t>
    <phoneticPr fontId="3" type="noConversion"/>
  </si>
  <si>
    <t>호표197</t>
    <phoneticPr fontId="3" type="noConversion"/>
  </si>
  <si>
    <t>호표198</t>
    <phoneticPr fontId="3" type="noConversion"/>
  </si>
  <si>
    <t>호표199</t>
    <phoneticPr fontId="3" type="noConversion"/>
  </si>
  <si>
    <t>호표200</t>
    <phoneticPr fontId="3" type="noConversion"/>
  </si>
  <si>
    <t>SPP_BK_VM_DONGYOUNGTPC_15_10_FIT_BLDFLNG_J_FLANGE</t>
  </si>
  <si>
    <t>SPP_BK_VM_DONGYOUNGTPC_20_10_FIT_BLDFLNG_J_FLANGE</t>
  </si>
  <si>
    <t>SPP_BK_VM_DONGYOUNGTPC_25_10_FIT_BLDFLNG_J_FLANGE</t>
  </si>
  <si>
    <t>SPP_BK_VM_DONGYOUNGTPC_32_10_FIT_BLDFLNG_J_FLANGE</t>
  </si>
  <si>
    <t>SPP_BK_VM_DONGYOUNGTPC_40_10_FIT_BLDFLNG_J_FLANGE</t>
  </si>
  <si>
    <t>SPP_BK_VM_DONGYOUNGTPC_50_10_FIT_BLDFLNG_J_FLANGE</t>
  </si>
  <si>
    <t>SPP_BK_VM_DONGYOUNGTPC_65_10_FIT_BLDFLNG_J_FLANGE</t>
  </si>
  <si>
    <t>SPP_BK_VM_DONGYOUNGTPC_80_10_FIT_BLDFLNG_J_FLANGE</t>
  </si>
  <si>
    <t>SPP_BK_VM_DONGYOUNGTPC_100_10_FIT_BLDFLNG_J_FLANGE</t>
  </si>
  <si>
    <t>SPP_BK_VM_DONGYOUNGTPC_125_10_FIT_BLDFLNG_J_FLANGE</t>
  </si>
  <si>
    <t>SPP_BK_VM_DONGYOUNGTPC_150_10_FIT_BLDFLNG_J_FLANGE</t>
  </si>
  <si>
    <t>SPP_BK_VM_DONGYOUNGTPC_200_10_FIT_BLDFLNG_J_FLANGE</t>
  </si>
  <si>
    <t>SPP_BK_VM_DONGYOUNGTPC_250_10_FIT_BLDFLNG_J_FLANGE</t>
  </si>
  <si>
    <t>SPP_BK_VM_DONGYOUNGTPC_300_10_FIT_BLDFLNG_J_FLANGE</t>
  </si>
  <si>
    <t>SPP_BK_VM_DONGYOUNGTPC_350_10_FIT_BLDFLNG_J_FLANGE</t>
  </si>
  <si>
    <t>SPP_BK_VM_DONGYOUNGTPC_400_10_FIT_BLDFLNG_J_FLANGE</t>
  </si>
  <si>
    <t>SPP_BK_VM_DONGYOUNGTPC_450_10_FIT_BLDFLNG_J_FLANGE</t>
  </si>
  <si>
    <t>SPP_BK_VM_DONGYOUNGTPC_500_10_FIT_BLDFLNG_J_FLANGE</t>
  </si>
  <si>
    <t>SPP_GV_VM_DONGYOUNGTPC_15_10_FIT_BLDFLNG_J_FLANGE</t>
  </si>
  <si>
    <t>SPP_GV_VM_DONGYOUNGTPC_20_10_FIT_BLDFLNG_J_FLANGE</t>
  </si>
  <si>
    <t>SPP_GV_VM_DONGYOUNGTPC_25_10_FIT_BLDFLNG_J_FLANGE</t>
  </si>
  <si>
    <t>SPP_GV_VM_DONGYOUNGTPC_32_10_FIT_BLDFLNG_J_FLANGE</t>
  </si>
  <si>
    <t>SPP_GV_VM_DONGYOUNGTPC_40_10_FIT_BLDFLNG_J_FLANGE</t>
  </si>
  <si>
    <t>SPP_GV_VM_DONGYOUNGTPC_50_10_FIT_BLDFLNG_J_FLANGE</t>
  </si>
  <si>
    <t>SPP_GV_VM_DONGYOUNGTPC_65_10_FIT_BLDFLNG_J_FLANGE</t>
  </si>
  <si>
    <t>SPP_GV_VM_DONGYOUNGTPC_80_10_FIT_BLDFLNG_J_FLANGE</t>
  </si>
  <si>
    <t>SPP_GV_VM_DONGYOUNGTPC_100_10_FIT_BLDFLNG_J_FLANGE</t>
  </si>
  <si>
    <t>SPP_GV_VM_DONGYOUNGTPC_125_10_FIT_BLDFLNG_J_FLANGE</t>
  </si>
  <si>
    <t>SPP_GV_VM_DONGYOUNGTPC_150_10_FIT_BLDFLNG_J_FLANGE</t>
  </si>
  <si>
    <t>SPP_GV_VM_DONGYOUNGTPC_200_10_FIT_BLDFLNG_J_FLANGE</t>
  </si>
  <si>
    <t>SPP_GV_VM_DONGYOUNGTPC_250_10_FIT_BLDFLNG_J_FLANGE</t>
  </si>
  <si>
    <t>SPP_GV_VM_DONGYOUNGTPC_300_10_FIT_BLDFLNG_J_FLANGE</t>
  </si>
  <si>
    <t>SPP_GV_VM_DONGYOUNGTPC_350_10_FIT_BLDFLNG_J_FLANGE</t>
  </si>
  <si>
    <t>SPP_GV_VM_DONGYOUNGTPC_400_10_FIT_BLDFLNG_J_FLANGE</t>
  </si>
  <si>
    <t>SPP_GV_VM_DONGYOUNGTPC_450_10_FIT_BLDFLNG_J_FLANGE</t>
  </si>
  <si>
    <t>SPP_GV_VM_DONGYOUNGTPC_500_10_FIT_BLDFLNG_J_FLANGE</t>
  </si>
  <si>
    <t>SPPS370_VM_DONGYOUNGTPC_15_10_FIT_BLDFLNG_J_FLANGE</t>
  </si>
  <si>
    <t>SPPS370_VM_DONGYOUNGTPC_20_10_FIT_BLDFLNG_J_FLANGE</t>
  </si>
  <si>
    <t>SPPS370_VM_DONGYOUNGTPC_25_10_FIT_BLDFLNG_J_FLANGE</t>
  </si>
  <si>
    <t>SPPS370_VM_DONGYOUNGTPC_32_10_FIT_BLDFLNG_J_FLANGE</t>
  </si>
  <si>
    <t>SPPS370_VM_DONGYOUNGTPC_40_10_FIT_BLDFLNG_J_FLANGE</t>
  </si>
  <si>
    <t>SPPS370_VM_DONGYOUNGTPC_50_10_FIT_BLDFLNG_J_FLANGE</t>
  </si>
  <si>
    <t>SPPS370_VM_DONGYOUNGTPC_65_10_FIT_BLDFLNG_J_FLANGE</t>
  </si>
  <si>
    <t>SPPS370_VM_DONGYOUNGTPC_80_10_FIT_BLDFLNG_J_FLANGE</t>
  </si>
  <si>
    <t>SPPS370_VM_DONGYOUNGTPC_100_10_FIT_BLDFLNG_J_FLANGE</t>
  </si>
  <si>
    <t>SPPS370_VM_DONGYOUNGTPC_125_10_FIT_BLDFLNG_J_FLANGE</t>
  </si>
  <si>
    <t>SPPS370_VM_DONGYOUNGTPC_150_10_FIT_BLDFLNG_J_FLANGE</t>
  </si>
  <si>
    <t>SPPS370_VM_DONGYOUNGTPC_200_10_FIT_BLDFLNG_J_FLANGE</t>
  </si>
  <si>
    <t>SPPS370_VM_DONGYOUNGTPC_250_10_FIT_BLDFLNG_J_FLANGE</t>
  </si>
  <si>
    <t>SPPS370_VM_DONGYOUNGTPC_300_10_FIT_BLDFLNG_J_FLANGE</t>
  </si>
  <si>
    <t>SPPS370_VM_DONGYOUNGTPC_350_10_FIT_BLDFLNG_J_FLANGE</t>
  </si>
  <si>
    <t>SPPS370_VM_DONGYOUNGTPC_400_10_FIT_BLDFLNG_J_FLANGE</t>
  </si>
  <si>
    <t>SPPS370_VM_DONGYOUNGTPC_450_10_FIT_BLDFLNG_J_FLANGE</t>
  </si>
  <si>
    <t>SPPS370_VM_DONGYOUNGTPC_500_10_FIT_BLDFLNG_J_FLANGE</t>
  </si>
  <si>
    <t>SPPS410_VM_DONGYOUNGTPC_15_10_FIT_BLDFLNG_J_FLANGE</t>
  </si>
  <si>
    <t>SPPS410_VM_DONGYOUNGTPC_20_10_FIT_BLDFLNG_J_FLANGE</t>
  </si>
  <si>
    <t>SPPS410_VM_DONGYOUNGTPC_25_10_FIT_BLDFLNG_J_FLANGE</t>
  </si>
  <si>
    <t>SPPS410_VM_DONGYOUNGTPC_32_10_FIT_BLDFLNG_J_FLANGE</t>
  </si>
  <si>
    <t>SPPS410_VM_DONGYOUNGTPC_40_10_FIT_BLDFLNG_J_FLANGE</t>
  </si>
  <si>
    <t>SPPS410_VM_DONGYOUNGTPC_50_10_FIT_BLDFLNG_J_FLANGE</t>
  </si>
  <si>
    <t>SPPS410_VM_DONGYOUNGTPC_65_10_FIT_BLDFLNG_J_FLANGE</t>
  </si>
  <si>
    <t>SPPS410_VM_DONGYOUNGTPC_80_10_FIT_BLDFLNG_J_FLANGE</t>
  </si>
  <si>
    <t>SPPS410_VM_DONGYOUNGTPC_100_10_FIT_BLDFLNG_J_FLANGE</t>
  </si>
  <si>
    <t>SPPS410_VM_DONGYOUNGTPC_125_10_FIT_BLDFLNG_J_FLANGE</t>
  </si>
  <si>
    <t>SPPS410_VM_DONGYOUNGTPC_150_10_FIT_BLDFLNG_J_FLANGE</t>
  </si>
  <si>
    <t>SPPS410_VM_DONGYOUNGTPC_200_10_FIT_BLDFLNG_J_FLANGE</t>
  </si>
  <si>
    <t>SPPS410_VM_DONGYOUNGTPC_250_10_FIT_BLDFLNG_J_FLANGE</t>
  </si>
  <si>
    <t>SPPS410_VM_DONGYOUNGTPC_300_10_FIT_BLDFLNG_J_FLANGE</t>
  </si>
  <si>
    <t>SPPS410_VM_DONGYOUNGTPC_350_10_FIT_BLDFLNG_J_FLANGE</t>
  </si>
  <si>
    <t>SPPS410_VM_DONGYOUNGTPC_400_10_FIT_BLDFLNG_J_FLANGE</t>
  </si>
  <si>
    <t>SPPS410_VM_DONGYOUNGTPC_450_10_FIT_BLDFLNG_J_FLANGE</t>
  </si>
  <si>
    <t>SPPS410_VM_DONGYOUNGTPC_500_10_FIT_BLDFLNG_J_FLANGE</t>
  </si>
  <si>
    <t>B/FLANGE (SS400)</t>
  </si>
  <si>
    <t>15A, 10kg, BLFF</t>
  </si>
  <si>
    <t>20A, 10kg, BLFF</t>
  </si>
  <si>
    <t>25A, 10kg, BLFF</t>
  </si>
  <si>
    <t>32A, 10kg, BLFF</t>
  </si>
  <si>
    <t>40A, 10kg, BLFF</t>
  </si>
  <si>
    <t>50A, 10kg, BLFF</t>
  </si>
  <si>
    <t>65A, 10kg, BLFF</t>
  </si>
  <si>
    <t>80A, 10kg, BLFF</t>
  </si>
  <si>
    <t>100A, 10kg, BLFF</t>
  </si>
  <si>
    <t>125A, 10kg, BLFF</t>
  </si>
  <si>
    <t>150A, 10kg, BLFF</t>
  </si>
  <si>
    <t>200A, 10kg, BLFF</t>
  </si>
  <si>
    <t>250A, 10kg, BLFF</t>
  </si>
  <si>
    <t>300A, 10kg, BLFF</t>
  </si>
  <si>
    <t>350A, 10kg, BLFF</t>
  </si>
  <si>
    <t>400A, 10kg, BLFF</t>
  </si>
  <si>
    <t>450A, 10kg, BLFF</t>
  </si>
  <si>
    <t>500A, 10kg, BLFF</t>
  </si>
  <si>
    <t>FIT_BLDFLNG</t>
  </si>
  <si>
    <t>KSD3576_STS304_VM_0000_15_10_FIT_FLNG_J_FLANGE</t>
  </si>
  <si>
    <t>KSD3576_STS304_VM_0000_25_10_FIT_FLNG_J_FLANGE</t>
  </si>
  <si>
    <t>KSD3576_STS304_VM_0000_40_10_FIT_FLNG_J_FLANGE</t>
  </si>
  <si>
    <t>KSD3576_STS304_VM_0000_250_10_FIT_FLNG_J_FLANGE</t>
  </si>
  <si>
    <t>KSD3576_STS304_VM_0000_350_10_FIT_FLNG_J_FLANGE</t>
  </si>
  <si>
    <t>KSD3576_STS304_VM_0000_400_10_FIT_FLNG_J_FLANGE</t>
  </si>
  <si>
    <t>KSD3576_STS316L_VM_0000_15_10_FIT_FLNG_J_FLANGE</t>
  </si>
  <si>
    <t>KSD3576_STS316L_VM_0000_20_10_FIT_FLNG_J_FLANGE</t>
  </si>
  <si>
    <t>KSD3576_STS316L_VM_0000_25_10_FIT_FLNG_J_FLANGE</t>
  </si>
  <si>
    <t>KSD3576_STS316L_VM_0000_32_10_FIT_FLNG_J_FLANGE</t>
  </si>
  <si>
    <t>KSD3576_STS316L_VM_0000_40_10_FIT_FLNG_J_FLANGE</t>
  </si>
  <si>
    <t>KSD3576_STS316L_VM_0000_50_10_FIT_FLNG_J_FLANGE</t>
  </si>
  <si>
    <t>KSD3576_STS316L_VM_0000_65_10_FIT_FLNG_J_FLANGE</t>
  </si>
  <si>
    <t>KSD3576_STS316L_VM_0000_80_10_FIT_FLNG_J_FLANGE</t>
  </si>
  <si>
    <t>KSD3576_STS316L_VM_0000_100_10_FIT_FLNG_J_FLANGE</t>
  </si>
  <si>
    <t>KSD3576_STS316L_VM_0000_125_10_FIT_FLNG_J_FLANGE</t>
  </si>
  <si>
    <t>KSD3576_STS316L_VM_0000_150_10_FIT_FLNG_J_FLANGE</t>
  </si>
  <si>
    <t>KSD3576_STS316L_VM_0000_200_10_FIT_FLNG_J_FLANGE</t>
  </si>
  <si>
    <t>KSD3576_STS316L_VM_0000_250_10_FIT_FLNG_J_FLANGE</t>
  </si>
  <si>
    <t>KSD3576_STS316L_VM_0000_300_10_FIT_FLNG_J_FLANGE</t>
  </si>
  <si>
    <t>KSD3576_STS316L_VM_0000_350_10_FIT_FLNG_J_FLANGE</t>
  </si>
  <si>
    <t>KSD3576_STS316L_VM_0000_400_10_FIT_FLNG_J_FLANGE</t>
  </si>
  <si>
    <t>KSD3576_STS304</t>
  </si>
  <si>
    <t>KSD3576_STS316L</t>
  </si>
  <si>
    <t>FLANGE (STS)</t>
  </si>
  <si>
    <t>15A, 용접식(S/10S), SOFF</t>
  </si>
  <si>
    <t>25A, 용접식(S/10S), SOFF</t>
  </si>
  <si>
    <t>40A, 용접식(S/10S), SOFF</t>
  </si>
  <si>
    <t>250A, 용접식(S/10S), SOFF</t>
  </si>
  <si>
    <t>350A, 용접식(S/10S), SOFF</t>
  </si>
  <si>
    <t>400A, 용접식(S/10S), SOFF</t>
  </si>
  <si>
    <t>PE80_VM_PIPEBANK_25_FIT_FLNG_J_FUSION</t>
  </si>
  <si>
    <t>PE80_VM_PIPEBANK_32_FIT_FLNG_J_FUSION</t>
  </si>
  <si>
    <t>PE80_VM_PIPEBANK_40_FIT_FLNG_J_FUSION</t>
  </si>
  <si>
    <t>PE80_VM_PIPEBANK_50_FIT_FLNG_J_FUSION</t>
  </si>
  <si>
    <t>PE80_VM_PIPEBANK_63_FIT_FLNG_J_FUSION</t>
  </si>
  <si>
    <t>PE80_VM_PIPEBANK_75_FIT_FLNG_J_FUSION</t>
  </si>
  <si>
    <t>PE80_VM_PIPEBANK_90_FIT_FLNG_J_FUSION</t>
  </si>
  <si>
    <t>PE80_VM_PIPEBANK_110_FIT_FLNG_J_FUSION</t>
  </si>
  <si>
    <t>PE80_VM_PIPEBANK_140_FIT_FLNG_J_FUSION</t>
  </si>
  <si>
    <t>PE80_VM_PIPEBANK_160_FIT_FLNG_J_FUSION</t>
  </si>
  <si>
    <t>PE80_VM_PIPEBANK_225_FIT_FLNG_J_FUSION</t>
  </si>
  <si>
    <t>PE80_VM_PIPEBANK_280_FIT_FLNG_J_FUSION</t>
  </si>
  <si>
    <t>PE80_VM_PIPEBANK_315_FIT_FLNG_J_FUSION</t>
  </si>
  <si>
    <t>PE80_VM_PIPEBANK_355_FIT_FLNG_J_FUSION</t>
  </si>
  <si>
    <t>PE80_VM_PIPEBANK_400_FIT_FLNG_J_FUSION</t>
  </si>
  <si>
    <t>PE80_VM_PIPEBANK_450_FIT_FLNG_J_FUSION</t>
  </si>
  <si>
    <t>PE80_VM_PIPEBANK_500_FIT_FLNG_J_FUSION</t>
  </si>
  <si>
    <t>PE80_VM_PIPEBANK_560_FIT_FLNG_J_FUSION</t>
  </si>
  <si>
    <t>PE80_VM_PIPEBANK_630_FIT_FLNG_J_FUSION</t>
  </si>
  <si>
    <t>PE80_VM_PIPEBANK_710_FIT_FLNG_J_FUSION</t>
  </si>
  <si>
    <t>PE80_VM_PIPEBANK_800_FIT_FLNG_J_FUSION</t>
  </si>
  <si>
    <t>20A, SOFF</t>
  </si>
  <si>
    <t>25A, SOFF</t>
  </si>
  <si>
    <t>32A, SOFF</t>
  </si>
  <si>
    <t>40A, SOFF</t>
  </si>
  <si>
    <t>50A, SOFF</t>
  </si>
  <si>
    <t>63A, SOFF</t>
  </si>
  <si>
    <t>75A, SOFF</t>
  </si>
  <si>
    <t>90A, SOFF</t>
  </si>
  <si>
    <t>110A, SOFF</t>
  </si>
  <si>
    <t>140A, SOFF</t>
  </si>
  <si>
    <t>160A, SOFF</t>
  </si>
  <si>
    <t>225A, SOFF</t>
  </si>
  <si>
    <t>280A, SOFF</t>
  </si>
  <si>
    <t>315A, SOFF</t>
  </si>
  <si>
    <t>355A, SOFF</t>
  </si>
  <si>
    <t>400A, SOFF</t>
  </si>
  <si>
    <t>450A, SOFF</t>
  </si>
  <si>
    <t>500A, SOFF</t>
  </si>
  <si>
    <t>560A, SOFF</t>
  </si>
  <si>
    <t>630A, SOFF</t>
  </si>
  <si>
    <t>710A, SOFF</t>
  </si>
  <si>
    <t>800A, SOFF</t>
  </si>
  <si>
    <t>GRP_PIPE_VM_SPACEPRO_50_10_FIT_FLNG_J_FLANGE</t>
  </si>
  <si>
    <t>GRP_PIPE_VM_SPACEPRO_80_10_FIT_FLNG_J_FLANGE</t>
  </si>
  <si>
    <t>GRP_PIPE_VM_SPACEPRO_100_10_FIT_FLNG_J_FLANGE</t>
  </si>
  <si>
    <t>GRP_PIPE_VM_SPACEPRO_150_10_FIT_FLNG_J_FLANGE</t>
  </si>
  <si>
    <t>GRP_PIPE_VM_SPACEPRO_200_10_FIT_FLNG_J_FLANGE</t>
  </si>
  <si>
    <t>GRP_PIPE_VM_SPACEPRO_250_10_FIT_FLNG_J_FLANGE</t>
  </si>
  <si>
    <t>GRP_PIPE_VM_SPACEPRO_300_10_FIT_FLNG_J_FLANGE</t>
  </si>
  <si>
    <t>GRP_PIPE_VM_SPACEPRO_350_10_FIT_FLNG_J_FLANGE</t>
  </si>
  <si>
    <t>GRP_PIPE_VM_SPACEPRO_400_10_FIT_FLNG_J_FLANGE</t>
  </si>
  <si>
    <t>GRP_PIPE_VM_SPACEPRO_450_10_FIT_FLNG_J_FLANGE</t>
  </si>
  <si>
    <t>GRP_PIPE_VM_SPACEPRO_500_10_FIT_FLNG_J_FLANGE</t>
  </si>
  <si>
    <t>GRP_PIPE_VM_SPACEPRO_600_10_FIT_FLNG_J_FLANGE</t>
  </si>
  <si>
    <t>GRP_PIPE_VM_SPACEPRO_700_10_FIT_FLNG_J_FLANGE</t>
  </si>
  <si>
    <t>GRP_PIPE_VM_SPACEPRO_800_10_FIT_FLNG_J_FLANGE</t>
  </si>
  <si>
    <t>GRP_PIPE_VM_SPACEPRO_900_10_FIT_FLNG_J_FLANGE</t>
  </si>
  <si>
    <t>GRP_PIPE_VM_SPACEPRO_1000_10_FIT_FLNG_J_FLANGE</t>
  </si>
  <si>
    <t>GRP_PIPE_VM_SPACEPRO_1200_10_FIT_FLNG_J_FLANGE</t>
  </si>
  <si>
    <t>GRP_PIPE_VM_SPACEPRO_1500_10_FIT_FLNG_J_FLANGE</t>
  </si>
  <si>
    <t>GRP_PIPE_VM_SPACEPRO_1600_10_FIT_FLNG_J_FLANGE</t>
  </si>
  <si>
    <t>GRP_PIPE_VM_SPACEPRO_1800_10_FIT_FLNG_J_FLANGE</t>
  </si>
  <si>
    <t>GRP_PIPE_VM_SPACEPRO_2000_10_FIT_FLNG_J_FLANGE</t>
  </si>
  <si>
    <t>GRP_PIPE_VM_SPACEPRO_2200_10_FIT_FLNG_J_FLANGE</t>
  </si>
  <si>
    <t>GRP_PIPE_VM_SPACEPRO_2400_10_FIT_FLNG_J_FLANGE</t>
  </si>
  <si>
    <t>GRP_PIPE_VM_SPACEPRO_2600_10_FIT_FLNG_J_FLANGE</t>
  </si>
  <si>
    <t>GRP_PIPE_VM_SPACEPRO_2800_10_FIT_FLNG_J_FLANGE</t>
  </si>
  <si>
    <t>GRP_PIPE_VM_SPACEPRO_3000_10_FIT_FLNG_J_FLANGE</t>
  </si>
  <si>
    <t>GRP_PIPE_VM_SPACEPRO_3200_10_FIT_FLNG_J_FLANGE</t>
  </si>
  <si>
    <t>GRP_PIPE_VM_SPACEPRO_3400_10_FIT_FLNG_J_FLANGE</t>
  </si>
  <si>
    <t>GRP_PIPE_VM_SPACEPRO_3600_10_FIT_FLNG_J_FLANGE</t>
  </si>
  <si>
    <t>FLANGE (FRP)</t>
  </si>
  <si>
    <t>50A, WELDING NECK, 10bar</t>
  </si>
  <si>
    <t>80A, WELDING NECK, 10bar</t>
  </si>
  <si>
    <t>100A, WELDING NECK, 10bar</t>
  </si>
  <si>
    <t>150A, WELDING NECK, 10bar</t>
  </si>
  <si>
    <t>200A, WELDING NECK, 10bar</t>
  </si>
  <si>
    <t>250A, WELDING NECK, 10bar</t>
  </si>
  <si>
    <t>300A, WELDING NECK, 10bar</t>
  </si>
  <si>
    <t>350A, WELDING NECK, 10bar</t>
  </si>
  <si>
    <t>400A, WELDING NECK, 10bar</t>
  </si>
  <si>
    <t>450A, WELDING NECK, 10bar</t>
  </si>
  <si>
    <t>500A, WELDING NECK, 10bar</t>
  </si>
  <si>
    <t>600A, WELDING NECK, 10bar</t>
  </si>
  <si>
    <t>700A, WELDING NECK, 10bar</t>
  </si>
  <si>
    <t>800A, WELDING NECK, 10bar</t>
  </si>
  <si>
    <t>900A, WELDING NECK, 10bar</t>
  </si>
  <si>
    <t>1000A, WELDING NECK, 10bar</t>
  </si>
  <si>
    <t>1200A, WELDING NECK, 10bar</t>
  </si>
  <si>
    <t>1500A, WELDING NECK, 10bar</t>
  </si>
  <si>
    <t>1600A, WELDING NECK, 10bar</t>
  </si>
  <si>
    <t>1800A, WELDING NECK, 10bar</t>
  </si>
  <si>
    <t>2000A, WELDING NECK, 10bar</t>
  </si>
  <si>
    <t>2200A, WELDING NECK, 10bar</t>
  </si>
  <si>
    <t>2400A, WELDING NECK, 10bar</t>
  </si>
  <si>
    <t>2600A, WELDING NECK, 10bar</t>
  </si>
  <si>
    <t>2800A, WELDING NECK, 10bar</t>
  </si>
  <si>
    <t>3000A, WELDING NECK, 10bar</t>
  </si>
  <si>
    <t>3200A, WELDING NECK, 10bar</t>
  </si>
  <si>
    <t>3400A, WELDING NECK, 10bar</t>
  </si>
  <si>
    <t>3600A, WELDING NECK, 10bar</t>
  </si>
  <si>
    <t>P_VAV0301_VM_JD_MACH_40_10_J_FLANGE</t>
  </si>
  <si>
    <t>P_VAV0301_VM_JD_MACH_50_10_J_FLANGE</t>
  </si>
  <si>
    <t>P_VAV0301_VM_JD_MACH_65_10_J_FLANGE</t>
  </si>
  <si>
    <t>P_VAV0301_VM_JD_MACH_80_10_J_FLANGE</t>
  </si>
  <si>
    <t>P_VAV0301_VM_JD_MACH_100_10_J_FLANGE</t>
  </si>
  <si>
    <t>P_VAV0301_VM_JD_MACH_125_10_J_FLANGE</t>
  </si>
  <si>
    <t>P_VAV0301_VM_JD_MACH_150_10_J_FLANGE</t>
  </si>
  <si>
    <t>P_VAV0302_VM_JD_MACH_40_10_J_FLANGE</t>
  </si>
  <si>
    <t>P_VAV0302_VM_JD_MACH_65_10_J_FLANGE</t>
  </si>
  <si>
    <t>P_VAV0302_VM_JD_MACH_100_10_J_FLANGE</t>
  </si>
  <si>
    <t>P_VAV0302_VM_JD_MACH_125_10_J_FLANGE</t>
  </si>
  <si>
    <t>P_VAV0302_VM_JD_MACH_200_10_J_FLANGE</t>
  </si>
  <si>
    <t>P_VAV0302_VM_JD_MACH_250_10_J_FLANGE</t>
  </si>
  <si>
    <t>P_VAV0302_VM_JD_MACH_300_10_J_FLANGE</t>
  </si>
  <si>
    <t>P_VAV0302_VM_JD_MACH_350_10_J_FLANGE</t>
  </si>
  <si>
    <t>P_VAV0302_VM_JD_MACH_400_10_J_FLANGE</t>
  </si>
  <si>
    <t>P_VAV0302_VM_JD_MACH_450_10_J_FLANGE</t>
  </si>
  <si>
    <t>P_VAV0302_VM_JD_MACH_500_10_J_FLANGE</t>
  </si>
  <si>
    <t>P_VAV0303_VM_KJ_IND_200_10_J_FLANGE</t>
  </si>
  <si>
    <t>P_VAV0303_VM_KJ_IND_250_10_J_FLANGE</t>
  </si>
  <si>
    <t>P_VAV0303_VM_KJ_IND_300_10_J_FLANGE</t>
  </si>
  <si>
    <t>P_VAV0303_VM_KJ_IND_350_10_J_FLANGE</t>
  </si>
  <si>
    <t>P_VAV0303_VM_KJ_IND_400_10_J_FLANGE</t>
  </si>
  <si>
    <t>P_VAV0303_VM_KJ_IND_450_10_J_FLANGE</t>
  </si>
  <si>
    <t>P_VAV0303_VM_KJ_IND_500_10_J_FLANGE</t>
  </si>
  <si>
    <t>P_VAV0303_VM_KJ_IND_600_10_J_FLANGE</t>
  </si>
  <si>
    <t>P_VAV0303_VM_KJ_IND_700_10_J_FLANGE</t>
  </si>
  <si>
    <t>P_VAV0303_VM_KJ_IND_800_10_J_FLANGE</t>
  </si>
  <si>
    <t>P_VAV0303_VM_KJ_IND_900_10_J_FLANGE</t>
  </si>
  <si>
    <t>P_VAV0303_VM_KJ_IND_1000_10_J_FLANGE</t>
  </si>
  <si>
    <t>P_VAV0303_VM_KJ_IND_1100_10_J_FLANGE</t>
  </si>
  <si>
    <t>P_VAV0303_VM_KJ_IND_1200_10_J_FLANGE</t>
  </si>
  <si>
    <t>P_VAV0303_VM_KJ_IND_1350_10_J_FLANGE</t>
  </si>
  <si>
    <t>P_VAV0303_VM_KJ_IND_1500_10_J_FLANGE</t>
  </si>
  <si>
    <t>P_VAV0303_VM_KJ_IND_1600_10_J_FLANGE</t>
  </si>
  <si>
    <t>P_VAV0303_VM_KJ_IND_1650_10_J_FLANGE</t>
  </si>
  <si>
    <t>P_VAV0303_VM_KJ_IND_1800_10_J_FLANGE</t>
  </si>
  <si>
    <t>P_VAV0303_VM_KJ_IND_2000_10_J_FLANGE</t>
  </si>
  <si>
    <t>P_VAV0303_VM_KJ_IND_2100_10_J_FLANGE</t>
  </si>
  <si>
    <t>P_VAV0303_VM_KJ_IND_2200_10_J_FLANGE</t>
  </si>
  <si>
    <t>P_VAV0303_VM_HD_VALVE_200_10_J_FLANGE</t>
  </si>
  <si>
    <t>P_VAV0303_VM_HD_VALVE_250_10_J_FLANGE</t>
  </si>
  <si>
    <t>P_VAV0303_VM_HD_VALVE_300_10_J_FLANGE</t>
  </si>
  <si>
    <t>P_VAV0303_VM_HD_VALVE_350_10_J_FLANGE</t>
  </si>
  <si>
    <t>P_VAV0303_VM_HD_VALVE_400_10_J_FLANGE</t>
  </si>
  <si>
    <t>P_VAV0303_VM_HD_VALVE_450_10_J_FLANGE</t>
  </si>
  <si>
    <t>P_VAV0303_VM_HD_VALVE_500_10_J_FLANGE</t>
  </si>
  <si>
    <t>P_VAV0303_VM_HD_VALVE_600_10_J_FLANGE</t>
  </si>
  <si>
    <t>P_VAV0303_VM_HD_VALVE_700_10_J_FLANGE</t>
  </si>
  <si>
    <t>P_VAV0303_VM_HD_VALVE_800_10_J_FLANGE</t>
  </si>
  <si>
    <t>P_VAV0303_VM_HD_VALVE_900_10_J_FLANGE</t>
  </si>
  <si>
    <t>P_VAV0303_VM_HD_VALVE_1000_10_J_FLANGE</t>
  </si>
  <si>
    <t>P_VAV0303_VM_HD_VALVE_1100_10_J_FLANGE</t>
  </si>
  <si>
    <t>P_VAV0303_VM_HD_VALVE_1200_10_J_FLANGE</t>
  </si>
  <si>
    <t>P_VAV0303_VM_HD_VALVE_1350_10_J_FLANGE</t>
  </si>
  <si>
    <t>P_VAV0303_VM_HD_VALVE_1500_10_J_FLANGE</t>
  </si>
  <si>
    <t>P_VAV0303_VM_HD_VALVE_1650_10_J_FLANGE</t>
  </si>
  <si>
    <t>P_VAV0303_VM_HD_VALVE_1800_10_J_FLANGE</t>
  </si>
  <si>
    <t>P_VAV0303_VM_HD_VALVE_2000_10_J_FLANGE</t>
  </si>
  <si>
    <t>P_VAV0303_VM_HD_VALVE_2100_10_J_FLANGE</t>
  </si>
  <si>
    <t>P_VAV0303_VM_HD_VALVE_2200_10_J_FLANGE</t>
  </si>
  <si>
    <t>P_VAV0303_VM_HD_VALVE_2300_10_J_FLANGE</t>
  </si>
  <si>
    <t>P_VAV0303_VM_HD_VALVE_2400_10_J_FLANGE</t>
  </si>
  <si>
    <t>P_VAV0303_VM_DONGYANG_VAV_200_10_J_FLANGE</t>
  </si>
  <si>
    <t>P_VAV0303_VM_DONGYANG_VAV_250_10_J_FLANGE</t>
  </si>
  <si>
    <t>P_VAV0303_VM_DONGYANG_VAV_300_10_J_FLANGE</t>
  </si>
  <si>
    <t>P_VAV0303_VM_DONGYANG_VAV_350_10_J_FLANGE</t>
  </si>
  <si>
    <t>P_VAV0303_VM_DONGYANG_VAV_400_10_J_FLANGE</t>
  </si>
  <si>
    <t>P_VAV0303_VM_DONGYANG_VAV_450_10_J_FLANGE</t>
  </si>
  <si>
    <t>P_VAV0303_VM_DONGYANG_VAV_500_10_J_FLANGE</t>
  </si>
  <si>
    <t>P_VAV0303_VM_DONGYANG_VAV_600_10_J_FLANGE</t>
  </si>
  <si>
    <t>P_VAV0303_VM_DONGYANG_VAV_700_10_J_FLANGE</t>
  </si>
  <si>
    <t>P_VAV0303_VM_DONGYANG_VAV_800_10_J_FLANGE</t>
  </si>
  <si>
    <t>P_VAV0303_VM_DONGYANG_VAV_900_10_J_FLANGE</t>
  </si>
  <si>
    <t>P_VAV0303_VM_DONGYANG_VAV_1000_10_J_FLANGE</t>
  </si>
  <si>
    <t>P_VAV0303_VM_DONGYANG_VAV_1100_10_J_FLANGE</t>
  </si>
  <si>
    <t>P_VAV0303_VM_DONGYANG_VAV_1200_10_J_FLANGE</t>
  </si>
  <si>
    <t>P_VAV0303_VM_DONGYANG_VAV_1350_10_J_FLANGE</t>
  </si>
  <si>
    <t>P_VAV0303_VM_DONGYANG_VAV_1500_10_J_FLANGE</t>
  </si>
  <si>
    <t>P_VAV0303_VM_DONGYANG_VAV_1600_10_J_FLANGE</t>
  </si>
  <si>
    <t>P_VAV0303_VM_DONGYANG_VAV_1650_10_J_FLANGE</t>
  </si>
  <si>
    <t>P_VAV0303_VM_DONGYANG_VAV_1800_10_J_FLANGE</t>
  </si>
  <si>
    <t>P_VAV0303_VM_DONGYANG_VAV_2000_10_J_FLANGE</t>
  </si>
  <si>
    <t>P_VAV0303_VM_DONGYANG_VAV_2100_10_J_FLANGE</t>
  </si>
  <si>
    <t>P_VAV0303_VM_DONGYANG_VAV_2200_10_J_FLANGE</t>
  </si>
  <si>
    <t>P_VAV0301</t>
  </si>
  <si>
    <t>P_VAV0302</t>
  </si>
  <si>
    <t>P_VAV0303</t>
  </si>
  <si>
    <t>40A, 10K, L/O</t>
  </si>
  <si>
    <t>50A, 10K, L/O</t>
  </si>
  <si>
    <t>65A, 10K, L/O</t>
  </si>
  <si>
    <t>80A, 10K, L/O</t>
  </si>
  <si>
    <t>100A, 10K, L/O</t>
  </si>
  <si>
    <t>125A, 10K, L/O</t>
  </si>
  <si>
    <t>150A, 10K, L/O</t>
  </si>
  <si>
    <t>40A, 10K, G/O</t>
  </si>
  <si>
    <t>65A, 10K, G/O</t>
  </si>
  <si>
    <t>100A, 10K, G/O</t>
  </si>
  <si>
    <t>125A, 10K, G/O</t>
  </si>
  <si>
    <t>200A, 10K, G/O</t>
  </si>
  <si>
    <t>250A, 10K, G/O</t>
  </si>
  <si>
    <t>300A, 10K, G/O</t>
  </si>
  <si>
    <t>350A, 10K, G/O</t>
  </si>
  <si>
    <t>400A, 10K, G/O</t>
  </si>
  <si>
    <t>450A, 10K, G/O</t>
  </si>
  <si>
    <t>500A, 10K, G/O</t>
  </si>
  <si>
    <t>200A, 10K, Soft Seat</t>
  </si>
  <si>
    <t>250A, 10K, Soft Seat</t>
  </si>
  <si>
    <t>300A, 10K, Soft Seat</t>
  </si>
  <si>
    <t>350A, 10K, Soft Seat</t>
  </si>
  <si>
    <t>400A, 10K, Soft Seat</t>
  </si>
  <si>
    <t>450A, 10K, Soft Seat</t>
  </si>
  <si>
    <t>500A, 10K, Soft Seat</t>
  </si>
  <si>
    <t>600A, 10K, Soft Seat</t>
  </si>
  <si>
    <t>700A, 10K, Soft Seat</t>
  </si>
  <si>
    <t>800A, 10K, Soft Seat</t>
  </si>
  <si>
    <t>900A, 10K, Soft Seat</t>
  </si>
  <si>
    <t>1000A, 10K, Soft Seat</t>
  </si>
  <si>
    <t>1100A, 10K, Soft Seat</t>
  </si>
  <si>
    <t>1200A, 10K, Soft Seat</t>
  </si>
  <si>
    <t>1350A, 10K, Soft Seat</t>
  </si>
  <si>
    <t>1500A, 10K, Soft Seat</t>
  </si>
  <si>
    <t>1600A, 10K, Soft Seat</t>
  </si>
  <si>
    <t>1650A, 10K, Soft Seat</t>
  </si>
  <si>
    <t>1800A, 10K, Soft Seat</t>
  </si>
  <si>
    <t>2000A, 10K, Soft Seat</t>
  </si>
  <si>
    <t>2100A, 10K, Soft Seat</t>
  </si>
  <si>
    <t>2200A, 10K, Soft Seat</t>
  </si>
  <si>
    <t>2300A, 10K, Soft Seat</t>
  </si>
  <si>
    <t>2400A, 10K, Soft Seat</t>
  </si>
  <si>
    <t>15A, 나사식, 10K</t>
  </si>
  <si>
    <t>호표348</t>
    <phoneticPr fontId="3" type="noConversion"/>
  </si>
  <si>
    <t>P_VAV0101_VM_0000_15_10_J_THREAD</t>
  </si>
  <si>
    <t>P_VAV0101_VM_0000_20_10_J_THREAD</t>
  </si>
  <si>
    <t>P_VAV0101_VM_0000_25_10_J_THREAD</t>
  </si>
  <si>
    <t>P_VAV0101_VM_0000_32_10_J_THREAD</t>
  </si>
  <si>
    <t>P_VAV0101_VM_0000_40_10_J_THREAD</t>
  </si>
  <si>
    <t>P_VAV0101_VM_0000_50_10_J_THREAD</t>
  </si>
  <si>
    <t>P_VAV0101_VM_0000_65_10_J_THREAD</t>
  </si>
  <si>
    <t>P_VAV0101_VM_0000_80_10_J_THREAD</t>
  </si>
  <si>
    <t>P_VAV0103_VM_0000_40_10_J_FLANGE</t>
  </si>
  <si>
    <t>P_VAV0103_VM_0000_250_10_J_FLANGE</t>
  </si>
  <si>
    <t>P_VAV0103_VM_0000_300_10_J_FLANGE</t>
  </si>
  <si>
    <t>P_VAV0201_VM_0000_15_10_J_THREAD</t>
  </si>
  <si>
    <t>P_VAV0201_VM_0000_20_10_J_THREAD</t>
  </si>
  <si>
    <t>P_VAV0201_VM_0000_25_10_J_THREAD</t>
  </si>
  <si>
    <t>P_VAV0201_VM_0000_32_10_J_THREAD</t>
  </si>
  <si>
    <t>P_VAV0201_VM_0000_40_10_J_THREAD</t>
  </si>
  <si>
    <t>P_VAV0201_VM_0000_50_10_J_THREAD</t>
  </si>
  <si>
    <t>P_VAV0202_VM_SUNWON_VAL_15_10_STS304_J_THREAD</t>
  </si>
  <si>
    <t>P_VAV0202_VM_SUNWON_VAL_20_10_STS304_J_THREAD</t>
  </si>
  <si>
    <t>P_VAV0202_VM_SUNWON_VAL_25_10_STS304_J_THREAD</t>
  </si>
  <si>
    <t>P_VAV0202_VM_SUNWON_VAL_32_10_STS304_J_THREAD</t>
  </si>
  <si>
    <t>P_VAV0202_VM_SUNWON_VAL_40_10_STS304_J_THREAD</t>
  </si>
  <si>
    <t>P_VAV0202_VM_SUNWON_VAL_50_10_STS304_J_THREAD</t>
  </si>
  <si>
    <t>P_VAV0202_VM_SUNWON_VAL_65_10_STS304_J_THREAD</t>
  </si>
  <si>
    <t>P_VAV0202_VM_SUNWON_VAL_80_10_STS304_J_THREAD</t>
  </si>
  <si>
    <t>P_VAV0202_VM_SUNWON_VAL_15_10_STS304_J_FLANGE</t>
  </si>
  <si>
    <t>P_VAV0202_VM_SUNWON_VAL_20_10_STS304_J_FLANGE</t>
  </si>
  <si>
    <t>P_VAV0202_VM_SUNWON_VAL_25_10_STS304_J_FLANGE</t>
  </si>
  <si>
    <t>P_VAV0202_VM_SUNWON_VAL_32_10_STS304_J_FLANGE</t>
  </si>
  <si>
    <t>P_VAV0202_VM_SUNWON_VAL_40_10_STS304_J_FLANGE</t>
  </si>
  <si>
    <t>P_VAV0202_VM_SUNWON_VAL_50_10_STS304_J_FLANGE</t>
  </si>
  <si>
    <t>P_VAV0202_VM_SUNWON_VAL_65_10_STS304_J_FLANGE</t>
  </si>
  <si>
    <t>P_VAV0202_VM_SUNWON_VAL_80_10_STS304_J_FLANGE</t>
  </si>
  <si>
    <t>P_VAV0202_VM_SUNWON_VAL_100_10_STS304_J_FLANGE</t>
  </si>
  <si>
    <t>P_VAV0202_VM_SUNWON_VAL_125_10_STS304_J_FLANGE</t>
  </si>
  <si>
    <t>P_VAV0202_VM_SUNWON_VAL_150_10_STS304_J_FLANGE</t>
  </si>
  <si>
    <t>P_VAV0202_VM_SUNWON_VAL_200_10_STS304_J_FLANGE</t>
  </si>
  <si>
    <t>P_VAV0202_VM_SUNWON_VAL_250_10_STS304_J_FLANGE</t>
  </si>
  <si>
    <t>P_VAV0202_VM_SUNWON_VAL_300_10_STS304_J_FLANGE</t>
  </si>
  <si>
    <t>P_VAV0203_VM_0000_15_J_THREAD</t>
  </si>
  <si>
    <t>P_VAV0203_VM_0000_25_J_THREAD</t>
  </si>
  <si>
    <t>P_VAV0203_VM_0000_30_J_THREAD</t>
  </si>
  <si>
    <t>P_VAV0203_VM_0000_40_J_THREAD</t>
  </si>
  <si>
    <t>P_VAV0203_VM_0000_50_J_THREAD</t>
  </si>
  <si>
    <t>P_VAV0203_VM_0000_15_J_FLANGE</t>
  </si>
  <si>
    <t>P_VAV0203_VM_0000_20_J_FLANGE</t>
  </si>
  <si>
    <t>P_VAV0203_VM_0000_25_J_FLANGE</t>
  </si>
  <si>
    <t>P_VAV0203_VM_0000_30_J_FLANGE</t>
  </si>
  <si>
    <t>P_VAV0203_VM_0000_40_J_FLANGE</t>
  </si>
  <si>
    <t>P_VAV0203_VM_0000_50_J_FLANGE</t>
  </si>
  <si>
    <t>P_VAV0203_VM_0000_65_J_FLANGE</t>
  </si>
  <si>
    <t>P_VAV0203_VM_0000_80_J_FLANGE</t>
  </si>
  <si>
    <t>P_VAV0203_VM_0000_100_J_FLANGE</t>
  </si>
  <si>
    <t>P_VAV0203_VM_0000_125_J_FLANGE</t>
  </si>
  <si>
    <t>P_VAV0203_VM_0000_150_J_FLANGE</t>
  </si>
  <si>
    <t>P_VAV0204_VM_0000_8_10_J_THREAD</t>
  </si>
  <si>
    <t>P_VAV0204_VM_0000_10_10_J_THREAD</t>
  </si>
  <si>
    <t>P_VAV0204_VM_0000_15_10_J_THREAD</t>
  </si>
  <si>
    <t>P_VAV0204_VM_0000_20_10_J_THREAD</t>
  </si>
  <si>
    <t>P_VAV0204_VM_0000_25_10_J_THREAD</t>
  </si>
  <si>
    <t>P_VAV0204_VM_0000_32_10_J_THREAD</t>
  </si>
  <si>
    <t>P_VAV0204_VM_0000_40_10_J_THREAD</t>
  </si>
  <si>
    <t>P_VAV0204_VM_0000_50_10_J_THREAD</t>
  </si>
  <si>
    <t>P_VAV0204_VM_0000_65_10_J_THREAD</t>
  </si>
  <si>
    <t>P_VAV0204_VM_0000_80_10_J_THREAD</t>
  </si>
  <si>
    <t>P_VAV0101</t>
  </si>
  <si>
    <t>P_VAV0103</t>
  </si>
  <si>
    <t>P_VAV0201</t>
  </si>
  <si>
    <t>P_VAV0202</t>
  </si>
  <si>
    <t>P_VAV0203</t>
  </si>
  <si>
    <t>P_VAV0204</t>
  </si>
  <si>
    <t>J_THREAD</t>
  </si>
  <si>
    <t>게이트밸브 (청동제)</t>
  </si>
  <si>
    <t>20A, 나사식, 10K</t>
  </si>
  <si>
    <t>25A, 나사식, 10K</t>
  </si>
  <si>
    <t>32A, 나사식, 10K</t>
  </si>
  <si>
    <t>40A, 나사식, 10K</t>
  </si>
  <si>
    <t>50A, 나사식, 10K</t>
  </si>
  <si>
    <t>65A, 나사식, 10K</t>
  </si>
  <si>
    <t>80A, 나사식, 10K</t>
  </si>
  <si>
    <t>게이트밸브 (주철제)</t>
  </si>
  <si>
    <t>40A, 후렌지식, 10K</t>
  </si>
  <si>
    <t>250A, 후렌지식, 10K</t>
  </si>
  <si>
    <t>300A, 후렌지식, 10K</t>
  </si>
  <si>
    <t>볼밸브 (청동제)</t>
  </si>
  <si>
    <t>볼밸브 (STS)</t>
  </si>
  <si>
    <t>15A, 후렌지식, 10K</t>
  </si>
  <si>
    <t>20A, 후렌지식, 10K</t>
  </si>
  <si>
    <t>25A, 후렌지식, 10K</t>
  </si>
  <si>
    <t>32A, 후렌지식, 10K</t>
  </si>
  <si>
    <t>15A, 나사식</t>
  </si>
  <si>
    <t>25A, 나사식</t>
  </si>
  <si>
    <t>30A, 나사식</t>
  </si>
  <si>
    <t>40A, 나사식</t>
  </si>
  <si>
    <t>50A, 나사식</t>
  </si>
  <si>
    <t>15A, 후렌지식</t>
  </si>
  <si>
    <t>20A, 후렌지식</t>
  </si>
  <si>
    <t>25A, 후렌지식</t>
  </si>
  <si>
    <t>30A, 후렌지식</t>
  </si>
  <si>
    <t>40A, 후렌지식</t>
  </si>
  <si>
    <t>50A, 후렌지식</t>
  </si>
  <si>
    <t>65A, 후렌지식</t>
  </si>
  <si>
    <t>80A, 후렌지식</t>
  </si>
  <si>
    <t>100A, 후렌지식</t>
  </si>
  <si>
    <t>125A, 후렌지식</t>
  </si>
  <si>
    <t>150A, 후렌지식</t>
  </si>
  <si>
    <t>볼밸브 (황동제)</t>
  </si>
  <si>
    <t>8A, 나사식, 10K</t>
  </si>
  <si>
    <t>10A, 나사식, 10K</t>
  </si>
  <si>
    <t>KSD3576_STS304_VM_0000_20_10_FIT_BLDFLNG_J_FLANGE</t>
    <phoneticPr fontId="3" type="noConversion"/>
  </si>
  <si>
    <t>KSD3576_STS304_VM_0000_15_10_FIT_BLDFLNG_J_FLANGE</t>
  </si>
  <si>
    <t>KSD3576_STS304_VM_0000_25_10_FIT_BLDFLNG_J_FLANGE</t>
  </si>
  <si>
    <t>KSD3576_STS304_VM_0000_40_10_FIT_BLDFLNG_J_FLANGE</t>
  </si>
  <si>
    <t>KSD3576_STS304_VM_0000_65_10_FIT_BLDFLNG_J_FLANGE</t>
  </si>
  <si>
    <t>KSD3576_STS304_VM_0000_125_10_FIT_BLDFLNG_J_FLANGE</t>
  </si>
  <si>
    <t>KSD3576_STS304_VM_0000_250_10_FIT_BLDFLNG_J_FLANGE</t>
  </si>
  <si>
    <t>KSD3576_STS304_VM_0000_300_10_FIT_BLDFLNG_J_FLANGE</t>
  </si>
  <si>
    <t>KSD3576_STS304_VM_0000_350_10_FIT_BLDFLNG_J_FLANGE</t>
  </si>
  <si>
    <t>KSD3576_STS304_VM_0000_400_10_FIT_BLDFLNG_J_FLANGE</t>
  </si>
  <si>
    <t>KSD3576_STS316L_VM_0000_15_10_FIT_BLDFLNG_J_FLANGE</t>
  </si>
  <si>
    <t>KSD3576_STS316L_VM_0000_20_10_FIT_BLDFLNG_J_FLANGE</t>
  </si>
  <si>
    <t>KSD3576_STS316L_VM_0000_25_10_FIT_BLDFLNG_J_FLANGE</t>
  </si>
  <si>
    <t>KSD3576_STS316L_VM_0000_32_10_FIT_BLDFLNG_J_FLANGE</t>
  </si>
  <si>
    <t>KSD3576_STS316L_VM_0000_40_10_FIT_BLDFLNG_J_FLANGE</t>
  </si>
  <si>
    <t>KSD3576_STS316L_VM_0000_50_10_FIT_BLDFLNG_J_FLANGE</t>
  </si>
  <si>
    <t>KSD3576_STS316L_VM_0000_65_10_FIT_BLDFLNG_J_FLANGE</t>
  </si>
  <si>
    <t>KSD3576_STS316L_VM_0000_80_10_FIT_BLDFLNG_J_FLANGE</t>
  </si>
  <si>
    <t>KSD3576_STS316L_VM_0000_100_10_FIT_BLDFLNG_J_FLANGE</t>
  </si>
  <si>
    <t>KSD3576_STS316L_VM_0000_125_10_FIT_BLDFLNG_J_FLANGE</t>
  </si>
  <si>
    <t>KSD3576_STS316L_VM_0000_150_10_FIT_BLDFLNG_J_FLANGE</t>
  </si>
  <si>
    <t>KSD3576_STS316L_VM_0000_200_10_FIT_BLDFLNG_J_FLANGE</t>
  </si>
  <si>
    <t>KSD3576_STS316L_VM_0000_250_10_FIT_BLDFLNG_J_FLANGE</t>
  </si>
  <si>
    <t>KSD3576_STS316L_VM_0000_300_10_FIT_BLDFLNG_J_FLANGE</t>
  </si>
  <si>
    <t>KSD3576_STS316L_VM_0000_350_10_FIT_BLDFLNG_J_FLANGE</t>
  </si>
  <si>
    <t>KSD3576_STS316L_VM_0000_400_10_FIT_BLDFLNG_J_FLANGE</t>
  </si>
  <si>
    <t>B/FLANGE (STS)</t>
  </si>
  <si>
    <t>15A, 용접식(S/10S), BLFF</t>
  </si>
  <si>
    <t>25A, 용접식(S/10S), BLFF</t>
  </si>
  <si>
    <t>40A, 용접식(S/10S), BLFF</t>
  </si>
  <si>
    <t>65A, 용접식(S/10S), BLFF</t>
  </si>
  <si>
    <t>125A, 용접식(S/10S), BLFF</t>
  </si>
  <si>
    <t>250A, 용접식(S/10S), BLFF</t>
  </si>
  <si>
    <t>300A, 용접식(S/10S), BLFF</t>
  </si>
  <si>
    <t>350A, 용접식(S/10S), BLFF</t>
  </si>
  <si>
    <t>400A, 용접식(S/10S), BLFF</t>
  </si>
  <si>
    <t>FIT_BLDFLNG</t>
    <phoneticPr fontId="3" type="noConversion"/>
  </si>
  <si>
    <t>요율</t>
    <phoneticPr fontId="3" type="noConversion"/>
  </si>
  <si>
    <t>단중(요율)</t>
    <phoneticPr fontId="3" type="noConversion"/>
  </si>
  <si>
    <t>Unit</t>
    <phoneticPr fontId="3" type="noConversion"/>
  </si>
  <si>
    <t>■ 전기설비 배관 배선 공사</t>
    <phoneticPr fontId="3" type="noConversion"/>
  </si>
  <si>
    <t>0.6/1kV 난연 전력 케이블(F-CV)</t>
  </si>
  <si>
    <t>4C 25㎟</t>
    <phoneticPr fontId="3" type="noConversion"/>
  </si>
  <si>
    <t>M</t>
    <phoneticPr fontId="3" type="noConversion"/>
  </si>
  <si>
    <t>E_CAB01_VM_0000_25_4</t>
  </si>
  <si>
    <t>4C 6㎟</t>
  </si>
  <si>
    <t>E_CAB01_VM_0000_6_4</t>
  </si>
  <si>
    <t>E_CAB01_VM_0000_4_4</t>
    <phoneticPr fontId="3" type="noConversion"/>
  </si>
  <si>
    <t>E_CAB01_VM_0000_4_3</t>
    <phoneticPr fontId="3" type="noConversion"/>
  </si>
  <si>
    <t>3C 2.5㎟</t>
  </si>
  <si>
    <t>E_CAB01_VM_0000_2.5_3</t>
    <phoneticPr fontId="3" type="noConversion"/>
  </si>
  <si>
    <t>0.6/1kV 트레이용 절연난연 제어용케이블(F-CVV)</t>
  </si>
  <si>
    <t>12C 1.5㎟</t>
  </si>
  <si>
    <t>E_CAB0201_VM_0000_1.5_12</t>
  </si>
  <si>
    <t>10C 1.5㎟</t>
  </si>
  <si>
    <t>E_CAB0201_VM_0000_1.5_10</t>
    <phoneticPr fontId="3" type="noConversion"/>
  </si>
  <si>
    <t>8C 1.5㎟</t>
  </si>
  <si>
    <t>E_CAB0201_VM_0000_1.5_8</t>
    <phoneticPr fontId="3" type="noConversion"/>
  </si>
  <si>
    <t>E_CAB0201_VM_0000_1.5_6</t>
    <phoneticPr fontId="3" type="noConversion"/>
  </si>
  <si>
    <t>E_CAB0201_VM_0000_1.5_5</t>
    <phoneticPr fontId="3" type="noConversion"/>
  </si>
  <si>
    <t>0.6/3kV 트레이용 제어용케이블(F-CVV-SB)</t>
  </si>
  <si>
    <t>E_CAB0202_VM_0000_1.5_12</t>
    <phoneticPr fontId="3" type="noConversion"/>
  </si>
  <si>
    <t>E_CAB0202_VM_0000_1.5_4</t>
    <phoneticPr fontId="3" type="noConversion"/>
  </si>
  <si>
    <t>E_CAB0202_VM_0000_1.5_2</t>
    <phoneticPr fontId="3" type="noConversion"/>
  </si>
  <si>
    <t>난연 비닐 절연 접지용전선(F-GV)</t>
  </si>
  <si>
    <t>0.6/1kV 16㎟</t>
  </si>
  <si>
    <t>E_CAB03_VM_0000_16</t>
  </si>
  <si>
    <t>E_CAB03_VM_0000_6</t>
    <phoneticPr fontId="3" type="noConversion"/>
  </si>
  <si>
    <t>E_CAB03_VM_0000_4</t>
    <phoneticPr fontId="3" type="noConversion"/>
  </si>
  <si>
    <t>0.6/1kV 2.5㎟</t>
  </si>
  <si>
    <t>E_CAB03_VM_0000_2.5</t>
    <phoneticPr fontId="3" type="noConversion"/>
  </si>
  <si>
    <t>강제 전선관</t>
  </si>
  <si>
    <t>70mm</t>
  </si>
  <si>
    <t>E_CON0101_VM_0000_70</t>
    <phoneticPr fontId="3" type="noConversion"/>
  </si>
  <si>
    <t>54mm</t>
  </si>
  <si>
    <t>E_CON0101_VM_0000_54</t>
    <phoneticPr fontId="3" type="noConversion"/>
  </si>
  <si>
    <t>36mm</t>
  </si>
  <si>
    <t>E_CON0101_VM_0000_36</t>
    <phoneticPr fontId="3" type="noConversion"/>
  </si>
  <si>
    <t>28mm</t>
  </si>
  <si>
    <t>E_CON0101_VM_0000_28</t>
    <phoneticPr fontId="3" type="noConversion"/>
  </si>
  <si>
    <t>22mm</t>
  </si>
  <si>
    <t>E_CON0101_VM_0000_22</t>
    <phoneticPr fontId="3" type="noConversion"/>
  </si>
  <si>
    <t>16mm</t>
  </si>
  <si>
    <t>E_CON0101_VM_0000_16</t>
  </si>
  <si>
    <t>1종금속제가요전선관-노출</t>
  </si>
  <si>
    <t>비닐피복, 70mm 방수</t>
  </si>
  <si>
    <t>E_CON0201_VM_0000_70</t>
  </si>
  <si>
    <t>비닐피복, 54mm 방수</t>
  </si>
  <si>
    <t>비닐피복, 36mm 방수</t>
  </si>
  <si>
    <t>비닐피복, 28mm 방수</t>
  </si>
  <si>
    <t>비닐피복, 22mm 방수</t>
  </si>
  <si>
    <t>비닐피복, 16mm 방수</t>
  </si>
  <si>
    <t>1종 금속제 가요전선관</t>
  </si>
  <si>
    <t>박스커넥터-비닐, 70mm 방수</t>
  </si>
  <si>
    <t>E_CON0202_VM_0000_70</t>
  </si>
  <si>
    <t>박스커넥터-비닐, 54mm 방수</t>
  </si>
  <si>
    <t>박스커넥터-비닐, 36mm 방수</t>
  </si>
  <si>
    <t>박스커넥터-비닐, 28mm 방수</t>
  </si>
  <si>
    <t>박스커넥터-비닐, 22mm 방수</t>
  </si>
  <si>
    <t>박스커넥터-비닐, 16mm 방수</t>
  </si>
  <si>
    <t>전선관 부속품율</t>
  </si>
  <si>
    <t>전선관의 15%이내</t>
  </si>
  <si>
    <t>%</t>
  </si>
  <si>
    <t>강재전선관용부품</t>
  </si>
  <si>
    <t>노말밴드후강전선관용, 아연도70mm</t>
  </si>
  <si>
    <t>노말밴드후강전선관용, 아연도54mm</t>
  </si>
  <si>
    <t>노말밴드후강전선관용, 아연도36mm</t>
  </si>
  <si>
    <t>노말밴드후강전선관용, 아연도28mm</t>
  </si>
  <si>
    <t>노말밴드후강전선관용, 아연도22mm</t>
  </si>
  <si>
    <t>노말밴드후강전선관용, 아연도16mm</t>
  </si>
  <si>
    <t>E_EET0127_VM_0000</t>
  </si>
  <si>
    <t>동력배관 지지가대</t>
  </si>
  <si>
    <t>2.3T 용융아연</t>
  </si>
  <si>
    <t>E_EET0101_VM_0000</t>
  </si>
  <si>
    <t>셋트앵커</t>
  </si>
  <si>
    <t>3/8"</t>
  </si>
  <si>
    <t>E_EET0102_VM_0000</t>
  </si>
  <si>
    <t>동관단자</t>
  </si>
  <si>
    <t>1HOLE, 25㎟</t>
  </si>
  <si>
    <t>E_TRM0101_VM_0000_25</t>
  </si>
  <si>
    <t>압착단자</t>
  </si>
  <si>
    <t>E_TRM0201_VM_0000_25</t>
  </si>
  <si>
    <t>R형동선 나압착 6㎟</t>
  </si>
  <si>
    <t>E_TRM0201_VM_0000_6</t>
    <phoneticPr fontId="3" type="noConversion"/>
  </si>
  <si>
    <t>R형동선 나압착 4㎟</t>
  </si>
  <si>
    <t>E_TRM0201_VM_0000_4</t>
    <phoneticPr fontId="3" type="noConversion"/>
  </si>
  <si>
    <t>R형동선 나압착 2.5㎟</t>
  </si>
  <si>
    <t>E_TRM0201_VM_0000_2.5</t>
    <phoneticPr fontId="3" type="noConversion"/>
  </si>
  <si>
    <t>R형동선 나압착 1.5㎟</t>
  </si>
  <si>
    <t>E_TRM0201_VM_0000_1.5</t>
    <phoneticPr fontId="3" type="noConversion"/>
  </si>
  <si>
    <t>잡재비</t>
    <phoneticPr fontId="3" type="noConversion"/>
  </si>
  <si>
    <t>자재비의 20%</t>
    <phoneticPr fontId="3" type="noConversion"/>
  </si>
  <si>
    <t>%</t>
    <phoneticPr fontId="3" type="noConversion"/>
  </si>
  <si>
    <t>■ 전기 및 제어 CABLE TRAY 공사</t>
    <phoneticPr fontId="3" type="noConversion"/>
  </si>
  <si>
    <t>용융 케이블 트레이</t>
  </si>
  <si>
    <t>W1000*100H*2.3t</t>
  </si>
  <si>
    <t>E_TRA0101_VM_SEOYOUNG_1000</t>
  </si>
  <si>
    <t>W800*100H*2.3t</t>
  </si>
  <si>
    <t>E_TRA0101_VM_SEOYOUNG_800</t>
    <phoneticPr fontId="3" type="noConversion"/>
  </si>
  <si>
    <t>W700*100H*2.3t</t>
  </si>
  <si>
    <t>E_TRA0101_VM_SEOYOUNG_700</t>
    <phoneticPr fontId="3" type="noConversion"/>
  </si>
  <si>
    <t>W500*100H*2.3t</t>
    <phoneticPr fontId="3" type="noConversion"/>
  </si>
  <si>
    <t>E_TRA0101_VM_SEOYOUNG_500</t>
    <phoneticPr fontId="3" type="noConversion"/>
  </si>
  <si>
    <t>W400*100H*2.3t</t>
  </si>
  <si>
    <t>E_TRA0101_VM_SEOYOUNG_400</t>
    <phoneticPr fontId="3" type="noConversion"/>
  </si>
  <si>
    <t>W300*100H*2.3t</t>
  </si>
  <si>
    <t>E_TRA0101_VM_SEOYOUNG_300</t>
    <phoneticPr fontId="3" type="noConversion"/>
  </si>
  <si>
    <t>W200*100H*2.3t</t>
  </si>
  <si>
    <t>E_TRA0101_VM_SEOYOUNG_200</t>
    <phoneticPr fontId="3" type="noConversion"/>
  </si>
  <si>
    <t>W150*100H*2.3t</t>
    <phoneticPr fontId="3" type="noConversion"/>
  </si>
  <si>
    <t>E_TRA0101_VM_SEOYOUNG_150</t>
    <phoneticPr fontId="3" type="noConversion"/>
  </si>
  <si>
    <t>케이블 COVER</t>
  </si>
  <si>
    <t>S/T, W400</t>
  </si>
  <si>
    <t>E_TRA0201_VM_SEOYOUNG_400</t>
  </si>
  <si>
    <t>VER ELBOW, W400</t>
  </si>
  <si>
    <t>E_TRA0202_VM_SEOYOUNG_400</t>
  </si>
  <si>
    <t>S/T, W150</t>
  </si>
  <si>
    <t>E_TRA0201_VM_SEOYOUNG_150</t>
    <phoneticPr fontId="3" type="noConversion"/>
  </si>
  <si>
    <t>VER ELBOW, W150</t>
  </si>
  <si>
    <t>E_TRA0202_VM_TY_TRAY_150</t>
  </si>
  <si>
    <t>케이블트레이부속품</t>
  </si>
  <si>
    <t>용융 HOR. ELBOW, W700 x H100</t>
  </si>
  <si>
    <t>E_TRA0203_VM_SEOYOUNG_700</t>
  </si>
  <si>
    <t>용융 HOR. ELBOW, W500 x H100</t>
    <phoneticPr fontId="3" type="noConversion"/>
  </si>
  <si>
    <t>E_TRA0203_VM_SEOYOUNG_500</t>
    <phoneticPr fontId="3" type="noConversion"/>
  </si>
  <si>
    <t>용융 HOR. ELBOW, W400 x H100</t>
  </si>
  <si>
    <t>E_TRA0203_VM_SEOYOUNG_400</t>
    <phoneticPr fontId="3" type="noConversion"/>
  </si>
  <si>
    <t>용융 HOR. ELBOW, W300 x H100</t>
  </si>
  <si>
    <t>E_TRA0203_VM_SEOYOUNG_300</t>
    <phoneticPr fontId="3" type="noConversion"/>
  </si>
  <si>
    <t>용융 HOR. ELBOW, W150 x H100</t>
  </si>
  <si>
    <t>E_TRA0203_VM_SEOYOUNG_150</t>
    <phoneticPr fontId="3" type="noConversion"/>
  </si>
  <si>
    <t>케이블트레이부속품</t>
    <phoneticPr fontId="3" type="noConversion"/>
  </si>
  <si>
    <t>용융 HOR. TEE, W800 x H100</t>
  </si>
  <si>
    <t>E_TRA0205_VM_SEOYOUNG_800</t>
  </si>
  <si>
    <t>용융 HOR. TEE, W700 x H100</t>
  </si>
  <si>
    <t>E_TRA0205_VM_SEOYOUNG_700</t>
    <phoneticPr fontId="3" type="noConversion"/>
  </si>
  <si>
    <t>용융 HOR. TEE, W500 x H100</t>
    <phoneticPr fontId="3" type="noConversion"/>
  </si>
  <si>
    <t>E_TRA0205_VM_SEOYOUNG_500</t>
    <phoneticPr fontId="3" type="noConversion"/>
  </si>
  <si>
    <t>용융 HOR. TEE, W400 x H100</t>
  </si>
  <si>
    <t>E_TRA0205_VM_SEOYOUNG_400</t>
    <phoneticPr fontId="3" type="noConversion"/>
  </si>
  <si>
    <t>용융 HOR. TEE, W300 x H100</t>
  </si>
  <si>
    <t>E_TRA0205_VM_SEOYOUNG_300</t>
    <phoneticPr fontId="3" type="noConversion"/>
  </si>
  <si>
    <t>용융 HOR. TEE, W150 x H100</t>
  </si>
  <si>
    <t>E_TRA0205_VM_SEOYOUNG_150</t>
    <phoneticPr fontId="3" type="noConversion"/>
  </si>
  <si>
    <t>용융 VER. ELBOW, W700 x H100</t>
  </si>
  <si>
    <t>E_TRA0204_VM_SEOYOUNG_700</t>
  </si>
  <si>
    <t>용융 VER. ELBOW, W500 x H100</t>
    <phoneticPr fontId="3" type="noConversion"/>
  </si>
  <si>
    <t>E_TRA0204_VM_SEOYOUNG_500</t>
    <phoneticPr fontId="3" type="noConversion"/>
  </si>
  <si>
    <t>용융 VER. ELBOW, W400 x H100</t>
  </si>
  <si>
    <t>E_TRA0204_VM_SEOYOUNG_400</t>
    <phoneticPr fontId="3" type="noConversion"/>
  </si>
  <si>
    <t>용융 VER. ELBOW, W300 x H100</t>
  </si>
  <si>
    <t>E_TRA0204_VM_SEOYOUNG_300</t>
    <phoneticPr fontId="3" type="noConversion"/>
  </si>
  <si>
    <t>용융 VER. ELBOW, W150 x H100</t>
  </si>
  <si>
    <t>E_TRA0204_VM_SEOYOUNG_150</t>
    <phoneticPr fontId="3" type="noConversion"/>
  </si>
  <si>
    <t>REDUCER, W1000 x H100 -&gt; W700 x H100</t>
  </si>
  <si>
    <t>E_EET0301_VM_0000_1000_700</t>
  </si>
  <si>
    <t>REDUCER, W1000 x H100 -&gt; W500 x H100</t>
    <phoneticPr fontId="3" type="noConversion"/>
  </si>
  <si>
    <t>E_EET0301_VM_0000_1000_500</t>
  </si>
  <si>
    <t>REDUCER, W800 x H100 -&gt; W500 x H100</t>
    <phoneticPr fontId="3" type="noConversion"/>
  </si>
  <si>
    <t>E_EET0301_VM_0000_800_500</t>
  </si>
  <si>
    <t>REDUCER, W800 x H100 -&gt; W300 x H100</t>
  </si>
  <si>
    <t>E_EET0301_VM_0000_800_300</t>
  </si>
  <si>
    <t>REDUCER, W700 x H100 -&gt; W500 x H100</t>
    <phoneticPr fontId="3" type="noConversion"/>
  </si>
  <si>
    <t>E_EET0301_VM_0000_700_500</t>
  </si>
  <si>
    <t>REDUCER, W700 x H100 -&gt; W400 x H100</t>
  </si>
  <si>
    <t>E_EET0301_VM_0000_700_400</t>
  </si>
  <si>
    <t>REDUCER, W700 x H100 -&gt; W300 x H100</t>
  </si>
  <si>
    <t>E_EET0301_VM_0000_700_300</t>
  </si>
  <si>
    <t>REDUCER, W700 x H100 -&gt; W150 x H100</t>
  </si>
  <si>
    <t>E_EET0301_VM_0000_700_150</t>
  </si>
  <si>
    <t>REDUCER, W500 x H100 -&gt; W400 x H100</t>
    <phoneticPr fontId="3" type="noConversion"/>
  </si>
  <si>
    <t>E_EET0301_VM_0000_500_400</t>
  </si>
  <si>
    <t>REDUCER, W500 x H100 -&gt; W300 x H100</t>
    <phoneticPr fontId="3" type="noConversion"/>
  </si>
  <si>
    <t>E_EET0301_VM_0000_500_300</t>
  </si>
  <si>
    <t>REDUCER, W500 x H100 -&gt; W200 x H100</t>
    <phoneticPr fontId="3" type="noConversion"/>
  </si>
  <si>
    <t>E_EET0301_VM_0000_500_200</t>
  </si>
  <si>
    <t>REDUCER, W500 x H100 -&gt; W150 x H100</t>
    <phoneticPr fontId="3" type="noConversion"/>
  </si>
  <si>
    <t>E_EET0301_VM_0000_500_150</t>
  </si>
  <si>
    <t>REDUCER, W400 x H100 -&gt; W300 x H100</t>
  </si>
  <si>
    <t>E_EET0301_VM_0000_400_300</t>
  </si>
  <si>
    <t>REDUCER, W400 x H100 -&gt; W150 x H100</t>
  </si>
  <si>
    <t>E_EET0301_VM_0000_400_150</t>
  </si>
  <si>
    <t>REDUCER, W300 x H100 -&gt; W200 x H100</t>
  </si>
  <si>
    <t>E_EET0301_VM_0000_300_200</t>
  </si>
  <si>
    <t>REDUCER, W300 x H100 -&gt; W150 x H100</t>
  </si>
  <si>
    <t>E_EET0301_VM_0000_300_150</t>
  </si>
  <si>
    <t>JOINT CONNECTOR, 100H</t>
  </si>
  <si>
    <t>E_EET0304_VM_0000</t>
  </si>
  <si>
    <t>Hold down clamp, 아연도</t>
  </si>
  <si>
    <t>E_EET0305_VM_0000</t>
  </si>
  <si>
    <t>2 Hole braket(W800)</t>
  </si>
  <si>
    <t>E_EET0302_VM_0000_800</t>
  </si>
  <si>
    <t>2 Hole braket(W600)</t>
  </si>
  <si>
    <t>E_EET0302_VM_0000_600</t>
  </si>
  <si>
    <t>2 Hole braket(W500)</t>
  </si>
  <si>
    <t>E_EET0302_VM_0000_500</t>
  </si>
  <si>
    <t>2 Hole braket(W400)</t>
  </si>
  <si>
    <t>E_EET0302_VM_0000_400</t>
  </si>
  <si>
    <t>2 Hole braket(W300)</t>
  </si>
  <si>
    <t>E_EET0302_VM_0000_300</t>
  </si>
  <si>
    <t>2 Hole braket(W200)</t>
    <phoneticPr fontId="3" type="noConversion"/>
  </si>
  <si>
    <t>E_EET0302_VM_0000_200</t>
    <phoneticPr fontId="3" type="noConversion"/>
  </si>
  <si>
    <t>케이블 트레이 지지대(W1100)</t>
    <phoneticPr fontId="3" type="noConversion"/>
  </si>
  <si>
    <t>E_EET0303_VM_0000_1100</t>
    <phoneticPr fontId="3" type="noConversion"/>
  </si>
  <si>
    <t>케이블 트레이 지지대(W900)</t>
    <phoneticPr fontId="3" type="noConversion"/>
  </si>
  <si>
    <t>E_EET0303_VM_0000_900</t>
    <phoneticPr fontId="3" type="noConversion"/>
  </si>
  <si>
    <t>케이블 트레이 지지대(W800)</t>
  </si>
  <si>
    <t>E_EET0303_VM_0000_800</t>
  </si>
  <si>
    <t>케이블 트레이 지지대(W600)</t>
  </si>
  <si>
    <t>E_EET0303_VM_0000_600</t>
  </si>
  <si>
    <t>케이블 트레이 지지대(W500)</t>
  </si>
  <si>
    <t>E_EET0303_VM_0000_500</t>
  </si>
  <si>
    <t>케이블 트레이 지지대(W400)</t>
  </si>
  <si>
    <t>E_EET0303_VM_0000_400</t>
  </si>
  <si>
    <t>케이블 트레이 지지대(W300)</t>
  </si>
  <si>
    <t>E_EET0303_VM_0000_300</t>
  </si>
  <si>
    <t>케이블 트레이 지지대(W200)</t>
    <phoneticPr fontId="3" type="noConversion"/>
  </si>
  <si>
    <t>E_EET0303_VM_0000_200</t>
    <phoneticPr fontId="3" type="noConversion"/>
  </si>
  <si>
    <t>■ 전동기반 구매 및 설치</t>
    <phoneticPr fontId="3" type="noConversion"/>
  </si>
  <si>
    <t>MCC-1</t>
  </si>
  <si>
    <t>600*2350*600 2.3T</t>
  </si>
  <si>
    <t>면</t>
  </si>
  <si>
    <t>E_EET0103_VM_0000</t>
  </si>
  <si>
    <t>MCC-2</t>
  </si>
  <si>
    <t>LOP-1회로</t>
  </si>
  <si>
    <t>450*1500*250 2.3T</t>
  </si>
  <si>
    <t>E_EET0104_VM_0000</t>
  </si>
  <si>
    <t>■ 제어시스템 (전동기제어반)</t>
    <phoneticPr fontId="3" type="noConversion"/>
  </si>
  <si>
    <t>MCCB</t>
  </si>
  <si>
    <t>ABS 125AF/100AT 4P</t>
  </si>
  <si>
    <t>E_VCB0201_VM_LS_ELC_100_125_4</t>
  </si>
  <si>
    <t>ABS 125AF/75AT 4P</t>
  </si>
  <si>
    <t>E_VCB0201_VM_LS_ELC_75_125_4</t>
  </si>
  <si>
    <t>ABS 30AF/20AT 3P</t>
  </si>
  <si>
    <t>E_VCB0201_VM_LS_ELC_20_30_3</t>
  </si>
  <si>
    <t>EBS 30AF/20AT 4P</t>
  </si>
  <si>
    <t>E_VCB0202_VM_LS_ELC_20_30_4</t>
  </si>
  <si>
    <t>CT</t>
  </si>
  <si>
    <t>75/5A</t>
    <phoneticPr fontId="3" type="noConversion"/>
  </si>
  <si>
    <t>E_ITR0101_VM_0000_75</t>
    <phoneticPr fontId="3" type="noConversion"/>
  </si>
  <si>
    <t>100/5A</t>
  </si>
  <si>
    <t>E_ITR0101_VM_0000_100</t>
  </si>
  <si>
    <t>ZCT</t>
  </si>
  <si>
    <t>LZR-030</t>
  </si>
  <si>
    <t>E_EET0106_VM_0000</t>
  </si>
  <si>
    <t>SPD</t>
  </si>
  <si>
    <t>SP C TT 275 FM</t>
  </si>
  <si>
    <t>E_EET0107_VM_0000</t>
  </si>
  <si>
    <t>FUSE&amp;HOLD</t>
  </si>
  <si>
    <t>2A / KF-32L</t>
  </si>
  <si>
    <t>E_EET0108_VM_0000</t>
  </si>
  <si>
    <t>MC</t>
  </si>
  <si>
    <t>MC-9A</t>
  </si>
  <si>
    <t>E_DCN0101_VM_LS_ELC_4</t>
  </si>
  <si>
    <t>DMPR</t>
  </si>
  <si>
    <t>DMP06i-TZ</t>
  </si>
  <si>
    <t>E_EET0109_VM_0000</t>
  </si>
  <si>
    <t>DMPR CABLE</t>
  </si>
  <si>
    <t>4M</t>
  </si>
  <si>
    <t>E_EET0110_VM_0000</t>
  </si>
  <si>
    <t>INVERTER</t>
  </si>
  <si>
    <t>LSLV0008G100-4</t>
  </si>
  <si>
    <t>E_POW0102_VM_LS_ELC_0.75</t>
  </si>
  <si>
    <t>LSLV0004G100-4</t>
  </si>
  <si>
    <t>E_POW0102_VM_LS_ELC_0.4</t>
    <phoneticPr fontId="3" type="noConversion"/>
  </si>
  <si>
    <t>INVERTER LOADER</t>
  </si>
  <si>
    <t>5M</t>
  </si>
  <si>
    <t>E_EET0111_VM_0000</t>
  </si>
  <si>
    <t>FAN</t>
  </si>
  <si>
    <t>120*120 38MM</t>
    <phoneticPr fontId="3" type="noConversion"/>
  </si>
  <si>
    <t>E_EET0112_VM_0000</t>
  </si>
  <si>
    <t>FAN COVER</t>
  </si>
  <si>
    <t>120mm(은색)</t>
    <phoneticPr fontId="3" type="noConversion"/>
  </si>
  <si>
    <t>E_EET0113_VM_0000</t>
  </si>
  <si>
    <t>FAN용 THERMOSTAT</t>
  </si>
  <si>
    <t>RTM 90F</t>
  </si>
  <si>
    <t>E_EET0114_VM_0000</t>
  </si>
  <si>
    <t>RELAY &amp; SOCKET</t>
  </si>
  <si>
    <t>MY4N</t>
  </si>
  <si>
    <t>E_EET0116_VM_0000</t>
  </si>
  <si>
    <t>CONDENSER</t>
  </si>
  <si>
    <t>10uF</t>
  </si>
  <si>
    <t>E_CPC0201_VM_0000_10_440</t>
  </si>
  <si>
    <t>TERMINAL BLOCK</t>
  </si>
  <si>
    <t>100A 4P</t>
  </si>
  <si>
    <t>E_EET0126_VM_0000_100_4</t>
  </si>
  <si>
    <t>30A 10P</t>
    <phoneticPr fontId="3" type="noConversion"/>
  </si>
  <si>
    <t>PVC DUCT</t>
  </si>
  <si>
    <t>80X80</t>
  </si>
  <si>
    <t>E_EET0117_VM_0000_80</t>
  </si>
  <si>
    <t>40X40</t>
  </si>
  <si>
    <t>E_EET0117_VM_0000_40</t>
  </si>
  <si>
    <t>CABLE</t>
  </si>
  <si>
    <t>KIV 6SQ</t>
  </si>
  <si>
    <t>E_CAB04_VM_0000_6</t>
  </si>
  <si>
    <t>KIV 4SQ</t>
  </si>
  <si>
    <t>E_TRM0201_VM_0000_6</t>
  </si>
  <si>
    <t>NAME PLATE</t>
  </si>
  <si>
    <t>500*50</t>
  </si>
  <si>
    <t>E_EET0118_VM_0000_500</t>
  </si>
  <si>
    <t>70*16</t>
  </si>
  <si>
    <t>E_EET0118_VM_0000_70</t>
  </si>
  <si>
    <t>BK63H-10A-2P</t>
  </si>
  <si>
    <t>PBL</t>
  </si>
  <si>
    <t>KH-512LN-2A(RED)</t>
  </si>
  <si>
    <t>E_EET0120_VM_0000</t>
  </si>
  <si>
    <t>KH-512LN-2A(GREEN)</t>
  </si>
  <si>
    <t>E_EET0121_VM_0000</t>
  </si>
  <si>
    <t>KH-512LN-2A(YELLOW)</t>
  </si>
  <si>
    <t>E_EET0122_VM_0000</t>
  </si>
  <si>
    <t>SELECT S/W</t>
  </si>
  <si>
    <t>KSL25L2-11</t>
  </si>
  <si>
    <t>E_EET0123_VM_0000</t>
  </si>
  <si>
    <t>EM S/W</t>
  </si>
  <si>
    <t>KPB25ER</t>
  </si>
  <si>
    <t>E_EET0124_VM_0000</t>
  </si>
  <si>
    <t>노출 2구 콘센트</t>
  </si>
  <si>
    <t>2구</t>
  </si>
  <si>
    <t>E_EET0125_VM_0000</t>
  </si>
  <si>
    <t>40*60*25PI</t>
  </si>
  <si>
    <t>KIV 1.5SQ</t>
  </si>
  <si>
    <t>EA</t>
    <phoneticPr fontId="3" type="noConversion"/>
  </si>
  <si>
    <t>■ 계측기기</t>
    <phoneticPr fontId="3" type="noConversion"/>
  </si>
  <si>
    <t>유량계</t>
    <phoneticPr fontId="3" type="noConversion"/>
  </si>
  <si>
    <t>150A</t>
    <phoneticPr fontId="3" type="noConversion"/>
  </si>
  <si>
    <t>초음파 수위계</t>
    <phoneticPr fontId="3" type="noConversion"/>
  </si>
  <si>
    <t xml:space="preserve"> &gt;&gt; 전선 개수(길이 X)는 용량계산서에서만 발생하는 데이터</t>
    <phoneticPr fontId="3" type="noConversion"/>
  </si>
  <si>
    <t>애매함. 설치 여부는 사람이 결정해야함</t>
    <phoneticPr fontId="3" type="noConversion"/>
  </si>
  <si>
    <t>벽내 설치 여부 기준이라 산정이 어려움</t>
    <phoneticPr fontId="3" type="noConversion"/>
  </si>
  <si>
    <t>기계 전선 종류에 따라 산정</t>
    <phoneticPr fontId="3" type="noConversion"/>
  </si>
  <si>
    <t>직입</t>
    <phoneticPr fontId="3" type="noConversion"/>
  </si>
  <si>
    <t>39M</t>
    <phoneticPr fontId="3" type="noConversion"/>
  </si>
  <si>
    <t>인버터, 소프트</t>
    <phoneticPr fontId="3" type="noConversion"/>
  </si>
  <si>
    <t>21M</t>
    <phoneticPr fontId="3" type="noConversion"/>
  </si>
  <si>
    <t>MOP</t>
    <phoneticPr fontId="3" type="noConversion"/>
  </si>
  <si>
    <t>20M</t>
    <phoneticPr fontId="3" type="noConversion"/>
  </si>
  <si>
    <t>R형동선 나압착 16㎟</t>
    <phoneticPr fontId="3" type="noConversion"/>
  </si>
  <si>
    <t>A 기계</t>
    <phoneticPr fontId="3" type="noConversion"/>
  </si>
  <si>
    <t>MCC-1</t>
    <phoneticPr fontId="3" type="noConversion"/>
  </si>
  <si>
    <t>GV</t>
    <phoneticPr fontId="3" type="noConversion"/>
  </si>
  <si>
    <t>CV</t>
    <phoneticPr fontId="3" type="noConversion"/>
  </si>
  <si>
    <t>0.6/1kV 16㎟</t>
    <phoneticPr fontId="3" type="noConversion"/>
  </si>
  <si>
    <t>4C 6㎟</t>
    <phoneticPr fontId="3" type="noConversion"/>
  </si>
  <si>
    <t>4C 1.5㎟</t>
    <phoneticPr fontId="3" type="noConversion"/>
  </si>
  <si>
    <t>0.6/1kV 6㎟</t>
    <phoneticPr fontId="3" type="noConversion"/>
  </si>
  <si>
    <t>0.6/1kV 4㎟</t>
    <phoneticPr fontId="3" type="noConversion"/>
  </si>
  <si>
    <t>수량</t>
    <phoneticPr fontId="3" type="noConversion"/>
  </si>
  <si>
    <t>B 기계</t>
    <phoneticPr fontId="3" type="noConversion"/>
  </si>
  <si>
    <t>12C 1.5㎟</t>
    <phoneticPr fontId="3" type="noConversion"/>
  </si>
  <si>
    <t>CVV</t>
    <phoneticPr fontId="3" type="noConversion"/>
  </si>
  <si>
    <t>CVV-SB</t>
    <phoneticPr fontId="3" type="noConversion"/>
  </si>
  <si>
    <t>2C 1.5㎟</t>
    <phoneticPr fontId="3" type="noConversion"/>
  </si>
  <si>
    <t>6C 1.5㎟</t>
    <phoneticPr fontId="3" type="noConversion"/>
  </si>
  <si>
    <t>4C 4㎟</t>
    <phoneticPr fontId="3" type="noConversion"/>
  </si>
  <si>
    <t>3C 4㎟</t>
    <phoneticPr fontId="3" type="noConversion"/>
  </si>
  <si>
    <t>5C 1.5㎟</t>
    <phoneticPr fontId="3" type="noConversion"/>
  </si>
  <si>
    <t>-</t>
    <phoneticPr fontId="3" type="noConversion"/>
  </si>
  <si>
    <t>MCC-2</t>
    <phoneticPr fontId="3" type="noConversion"/>
  </si>
  <si>
    <t>C 기계</t>
    <phoneticPr fontId="3" type="noConversion"/>
  </si>
  <si>
    <t>MCC-3</t>
    <phoneticPr fontId="3" type="noConversion"/>
  </si>
  <si>
    <t>4C 16㎟</t>
    <phoneticPr fontId="3" type="noConversion"/>
  </si>
  <si>
    <t>D 기계</t>
    <phoneticPr fontId="3" type="noConversion"/>
  </si>
  <si>
    <t>길이</t>
    <phoneticPr fontId="3" type="noConversion"/>
  </si>
  <si>
    <t>난연 비닐 절연 접지용전선(F-GV)</t>
    <phoneticPr fontId="3" type="noConversion"/>
  </si>
  <si>
    <t>0.6/1kV 트레이용 절연난연 제어용케이블(F-CVV)</t>
    <phoneticPr fontId="3" type="noConversion"/>
  </si>
  <si>
    <t>0.6/3kV 트레이용 제어용케이블(F-CVV-SB)</t>
    <phoneticPr fontId="3" type="noConversion"/>
  </si>
  <si>
    <t>동관단자</t>
    <phoneticPr fontId="3" type="noConversion"/>
  </si>
  <si>
    <t>25㎟ 8EA</t>
    <phoneticPr fontId="3" type="noConversion"/>
  </si>
  <si>
    <t>16㎟ 8EA</t>
    <phoneticPr fontId="3" type="noConversion"/>
  </si>
  <si>
    <t>6㎟ 8EA</t>
    <phoneticPr fontId="3" type="noConversion"/>
  </si>
  <si>
    <t>4㎟ 2EA</t>
    <phoneticPr fontId="3" type="noConversion"/>
  </si>
  <si>
    <t>1.5㎟ 12EA</t>
    <phoneticPr fontId="3" type="noConversion"/>
  </si>
  <si>
    <t>1.5㎟ 4EA</t>
    <phoneticPr fontId="3" type="noConversion"/>
  </si>
  <si>
    <t>압착단자(CV)</t>
    <phoneticPr fontId="3" type="noConversion"/>
  </si>
  <si>
    <t>압착단자(CVV)</t>
    <phoneticPr fontId="3" type="noConversion"/>
  </si>
  <si>
    <t>압착단자(CVV-SB)</t>
    <phoneticPr fontId="3" type="noConversion"/>
  </si>
  <si>
    <t>압착단자(GV)</t>
    <phoneticPr fontId="3" type="noConversion"/>
  </si>
  <si>
    <t>4㎟ 6EA</t>
    <phoneticPr fontId="3" type="noConversion"/>
  </si>
  <si>
    <t>1.5㎟ 10EA</t>
    <phoneticPr fontId="3" type="noConversion"/>
  </si>
  <si>
    <t>4㎟ 8EA</t>
    <phoneticPr fontId="3" type="noConversion"/>
  </si>
  <si>
    <t>16㎟ 2EA</t>
    <phoneticPr fontId="3" type="noConversion"/>
  </si>
  <si>
    <t>■ 단자 산출 방법</t>
    <phoneticPr fontId="3" type="noConversion"/>
  </si>
  <si>
    <t>동력설비 리스트</t>
    <phoneticPr fontId="3" type="noConversion"/>
  </si>
  <si>
    <t>길이는 전선의 총 길이, 수량은 전선의 개수</t>
    <phoneticPr fontId="3" type="noConversion"/>
  </si>
  <si>
    <t>동력설비 리스트 &amp; 계측기 리스트</t>
    <phoneticPr fontId="3" type="noConversion"/>
  </si>
  <si>
    <t>길이 산출(3D) + 수량 산출(계산서)</t>
    <phoneticPr fontId="3" type="noConversion"/>
  </si>
  <si>
    <t>길이 산출(3D)</t>
    <phoneticPr fontId="3" type="noConversion"/>
  </si>
  <si>
    <t>케이블스케쥴 (동력, 제어, 계측)</t>
    <phoneticPr fontId="3" type="noConversion"/>
  </si>
  <si>
    <t>수량 산출(3D)</t>
    <phoneticPr fontId="3" type="noConversion"/>
  </si>
  <si>
    <t>항목(동력설비 부하계산서), 수량(MCC 구성도)</t>
    <phoneticPr fontId="3" type="noConversion"/>
  </si>
  <si>
    <t>LOP 면수 산출서</t>
    <phoneticPr fontId="3" type="noConversion"/>
  </si>
  <si>
    <t>항목 개수도 고려 필요</t>
    <phoneticPr fontId="3" type="noConversion"/>
  </si>
  <si>
    <t>수량 산출(계산서)</t>
    <phoneticPr fontId="3" type="noConversion"/>
  </si>
  <si>
    <t>동력설비 부하계산서</t>
    <phoneticPr fontId="3" type="noConversion"/>
  </si>
  <si>
    <t>배전반(전선&amp;차단기)</t>
    <phoneticPr fontId="3" type="noConversion"/>
  </si>
  <si>
    <t>산출 장소 미지정</t>
    <phoneticPr fontId="3" type="noConversion"/>
  </si>
  <si>
    <t>(전선구경별) MCC GV전선 + 기계 CV, GV, CVV 및 CVV-SB전선 1C 당 2EA</t>
    <phoneticPr fontId="3" type="noConversion"/>
  </si>
  <si>
    <t>(전선구경별) MCC CV전선 1C 당 8EA</t>
    <phoneticPr fontId="3" type="noConversion"/>
  </si>
  <si>
    <t>인버터</t>
    <phoneticPr fontId="3" type="noConversion"/>
  </si>
  <si>
    <t>(전선구경별) 기계 CV 및 GV 1C 당 2EA</t>
    <phoneticPr fontId="3" type="noConversion"/>
  </si>
  <si>
    <t>길이 고려 X, 수량!!!!!!!</t>
    <phoneticPr fontId="3" type="noConversion"/>
  </si>
  <si>
    <t>E_CON0102_VM_0000_70</t>
  </si>
  <si>
    <t>E_CON0101_VM_0000_54</t>
  </si>
  <si>
    <t>E_CON0201_VM_0000_54</t>
  </si>
  <si>
    <t>E_CON0202_VM_0000_54</t>
  </si>
  <si>
    <t>E_CON0102_VM_0000_54</t>
  </si>
  <si>
    <t>E_CON0101_VM_0000_36</t>
  </si>
  <si>
    <t>E_CON0201_VM_0000_36</t>
  </si>
  <si>
    <t>E_CON0202_VM_0000_36</t>
  </si>
  <si>
    <t>E_CON0102_VM_0000_36</t>
  </si>
  <si>
    <t>E_CON0101_VM_0000_28</t>
  </si>
  <si>
    <t>E_CON0201_VM_0000_28</t>
  </si>
  <si>
    <t>E_CON0202_VM_0000_28</t>
  </si>
  <si>
    <t>E_CON0102_VM_0000_28</t>
  </si>
  <si>
    <t>E_CON0101_VM_0000_22</t>
  </si>
  <si>
    <t>E_CON0201_VM_0000_22</t>
  </si>
  <si>
    <t>E_CON0202_VM_0000_22</t>
  </si>
  <si>
    <t>E_CON0102_VM_0000_22</t>
  </si>
  <si>
    <t>E_CON0201_VM_0000_16</t>
  </si>
  <si>
    <t>E_CON0202_VM_0000_16</t>
  </si>
  <si>
    <t>E_CON0102_VM_0000_16</t>
  </si>
  <si>
    <t>U Channel, 41*41*t2.6mm</t>
  </si>
  <si>
    <t>(강제전선관 구경별) 강제전선관의 1/6</t>
    <phoneticPr fontId="3" type="noConversion"/>
  </si>
  <si>
    <t>(강제전선관 구경별) 강제전선관의 1/12</t>
    <phoneticPr fontId="3" type="noConversion"/>
  </si>
  <si>
    <t>(재료비 산출) 강제전선관, 1종금속제가요전선관-노출, 1종 금속제 가요전선관 재료비 합계의 15%</t>
    <phoneticPr fontId="3" type="noConversion"/>
  </si>
  <si>
    <t>강제전선관, 1종금속제가요전선관-노출, 1종 금속제 가요전선관 수량의 10%</t>
    <phoneticPr fontId="3" type="noConversion"/>
  </si>
  <si>
    <t>강제전선관, 1종금속제가요전선관-노출, 1종 금속제 가요전선관 수량의 2%</t>
    <phoneticPr fontId="3" type="noConversion"/>
  </si>
  <si>
    <t>강제전선관, 1종금속제가요전선관-노출, 1종 금속제 가요전선관 수량의 8%</t>
    <phoneticPr fontId="3" type="noConversion"/>
  </si>
  <si>
    <t>용융 케이블 트레이 및 케이블트레이부속품 수량당 2EA</t>
    <phoneticPr fontId="3" type="noConversion"/>
  </si>
  <si>
    <t>SPD 수량과 동일</t>
    <phoneticPr fontId="3" type="noConversion"/>
  </si>
  <si>
    <t>SPD 수량당 3EA</t>
    <phoneticPr fontId="3" type="noConversion"/>
  </si>
  <si>
    <t>인버터 총 수량과 동일</t>
    <phoneticPr fontId="3" type="noConversion"/>
  </si>
  <si>
    <t>DMPR 총 수량과 동일</t>
    <phoneticPr fontId="3" type="noConversion"/>
  </si>
  <si>
    <t>E_CAB04_VM_0000_4</t>
  </si>
  <si>
    <t>E_TRM0201_VM_0000_4</t>
  </si>
  <si>
    <t>기계 총 수량의 3배 (용량계산서)</t>
    <phoneticPr fontId="3" type="noConversion"/>
  </si>
  <si>
    <t>기계 총 수량 (용량계산서)</t>
    <phoneticPr fontId="3" type="noConversion"/>
  </si>
  <si>
    <t>차단기 AT에 따라 산출</t>
    <phoneticPr fontId="3" type="noConversion"/>
  </si>
  <si>
    <t>ABS 125AF/100AT 4P</t>
    <phoneticPr fontId="3" type="noConversion"/>
  </si>
  <si>
    <t>&gt;&gt; 100AT</t>
    <phoneticPr fontId="3" type="noConversion"/>
  </si>
  <si>
    <t>100A 사용</t>
    <phoneticPr fontId="3" type="noConversion"/>
  </si>
  <si>
    <t>ABS 125AF/75AT 4P</t>
    <phoneticPr fontId="3" type="noConversion"/>
  </si>
  <si>
    <t>ABS 30AF/20AT 3P</t>
    <phoneticPr fontId="3" type="noConversion"/>
  </si>
  <si>
    <t>&gt;&gt; 20AT</t>
    <phoneticPr fontId="3" type="noConversion"/>
  </si>
  <si>
    <t>20A 사용</t>
    <phoneticPr fontId="3" type="noConversion"/>
  </si>
  <si>
    <t>EBS 30AF/20AT 4P</t>
    <phoneticPr fontId="3" type="noConversion"/>
  </si>
  <si>
    <t>20A 10P</t>
    <phoneticPr fontId="3" type="noConversion"/>
  </si>
  <si>
    <t>E_EET0126_VM_0000_20_10</t>
    <phoneticPr fontId="3" type="noConversion"/>
  </si>
  <si>
    <t>카탈로그 내 A 범위</t>
    <phoneticPr fontId="3" type="noConversion"/>
  </si>
  <si>
    <t>300A 4P</t>
    <phoneticPr fontId="3" type="noConversion"/>
  </si>
  <si>
    <t>200A 4P</t>
    <phoneticPr fontId="3" type="noConversion"/>
  </si>
  <si>
    <t>100A 4P</t>
    <phoneticPr fontId="3" type="noConversion"/>
  </si>
  <si>
    <t>10A 3P</t>
    <phoneticPr fontId="3" type="noConversion"/>
  </si>
  <si>
    <t>MCC 총 면수와 동일</t>
    <phoneticPr fontId="3" type="noConversion"/>
  </si>
  <si>
    <t>기계 총 수량의 25% (용량계산서)</t>
    <phoneticPr fontId="3" type="noConversion"/>
  </si>
  <si>
    <t>단자 산출 참고</t>
    <phoneticPr fontId="3" type="noConversion"/>
  </si>
  <si>
    <t>6SQ</t>
    <phoneticPr fontId="3" type="noConversion"/>
  </si>
  <si>
    <t>4SQ</t>
    <phoneticPr fontId="3" type="noConversion"/>
  </si>
  <si>
    <t>직입 4SQ</t>
    <phoneticPr fontId="3" type="noConversion"/>
  </si>
  <si>
    <t>수량 4 * 39M</t>
    <phoneticPr fontId="3" type="noConversion"/>
  </si>
  <si>
    <t>직입 6SQ</t>
    <phoneticPr fontId="3" type="noConversion"/>
  </si>
  <si>
    <t>수량 3 * 39M</t>
    <phoneticPr fontId="3" type="noConversion"/>
  </si>
  <si>
    <t>인버터 6SQ</t>
    <phoneticPr fontId="3" type="noConversion"/>
  </si>
  <si>
    <t>수량 5 * 21M</t>
    <phoneticPr fontId="3" type="noConversion"/>
  </si>
  <si>
    <t>156M</t>
    <phoneticPr fontId="3" type="noConversion"/>
  </si>
  <si>
    <t>222M</t>
    <phoneticPr fontId="3" type="noConversion"/>
  </si>
  <si>
    <t>■ 제어시스템 (현장조작반)</t>
  </si>
  <si>
    <t>E_VCB0203_VM_LS_ELC_10_2</t>
  </si>
  <si>
    <t>E_EET0118_VM_0000_40</t>
  </si>
  <si>
    <t>E_CAB04_VM_0000_1.5</t>
  </si>
  <si>
    <t>E_TRM0201_VM_0000_1.5</t>
  </si>
  <si>
    <t>120*120 38MM</t>
  </si>
  <si>
    <t>LOP 총 수량 * 2EA</t>
    <phoneticPr fontId="3" type="noConversion"/>
  </si>
  <si>
    <t>LOP 총 수량</t>
    <phoneticPr fontId="3" type="noConversion"/>
  </si>
  <si>
    <t>LOP 총 수량 * 3EA</t>
    <phoneticPr fontId="3" type="noConversion"/>
  </si>
  <si>
    <t>LOP 총 수량 * 60M</t>
    <phoneticPr fontId="3" type="noConversion"/>
  </si>
  <si>
    <t>LOP 총 수량 * 48M</t>
    <phoneticPr fontId="3" type="noConversion"/>
  </si>
  <si>
    <t>(용융케이블트레이 기준 한단계 높은 사이즈) 용융케이블트레이 1개당 2EA</t>
    <phoneticPr fontId="3" type="noConversion"/>
  </si>
  <si>
    <t>용융케이블트레이</t>
    <phoneticPr fontId="3" type="noConversion"/>
  </si>
  <si>
    <t>지지대</t>
    <phoneticPr fontId="3" type="noConversion"/>
  </si>
  <si>
    <t>케이블 트레이 지지대 총 수량 * 4EA</t>
    <phoneticPr fontId="3" type="noConversion"/>
  </si>
  <si>
    <t>케이블 트레이 지지대 총 수량 * 2EA</t>
    <phoneticPr fontId="3" type="noConversion"/>
  </si>
  <si>
    <t>R형동선 나압착 16㎟</t>
  </si>
  <si>
    <t>E_TRM0201_VM_0000_2.5</t>
  </si>
  <si>
    <t>잡자재비!</t>
    <phoneticPr fontId="3" type="noConversion"/>
  </si>
  <si>
    <t>2 Hole braket(W200)</t>
  </si>
  <si>
    <t>E_EET0302_VM_0000_200</t>
  </si>
  <si>
    <t>케이블 트레이 지지대(W1100)</t>
  </si>
  <si>
    <t>E_EET0303_VM_0000_1100</t>
  </si>
  <si>
    <t>케이블 트레이 지지대(W900)</t>
  </si>
  <si>
    <t>E_EET0303_VM_0000_900</t>
  </si>
  <si>
    <t>케이블 트레이 지지대(W200)</t>
  </si>
  <si>
    <t>E_EET0303_VM_0000_200</t>
  </si>
  <si>
    <t>장비마다 호표 지정 가능 (기계와 같이)</t>
    <phoneticPr fontId="3" type="noConversion"/>
  </si>
  <si>
    <t>호표1</t>
    <phoneticPr fontId="3" type="noConversion"/>
  </si>
  <si>
    <t>4㎟ 3C</t>
    <phoneticPr fontId="3" type="noConversion"/>
  </si>
  <si>
    <t>m</t>
    <phoneticPr fontId="3" type="noConversion"/>
  </si>
  <si>
    <t>호표2</t>
    <phoneticPr fontId="3" type="noConversion"/>
  </si>
  <si>
    <t>6㎟ 3C</t>
  </si>
  <si>
    <t>10㎟ 3C</t>
  </si>
  <si>
    <t>16㎟ 3C</t>
  </si>
  <si>
    <t>25㎟ 3C</t>
  </si>
  <si>
    <t>35㎟ 3C</t>
  </si>
  <si>
    <t>50㎟ 3C</t>
  </si>
  <si>
    <t>70㎟ 3C</t>
  </si>
  <si>
    <t>95㎟ 3C</t>
  </si>
  <si>
    <t>120㎟ 3C</t>
  </si>
  <si>
    <t>150㎟ 3C</t>
  </si>
  <si>
    <t>185㎟ 3C</t>
  </si>
  <si>
    <t>240㎟ 3C</t>
  </si>
  <si>
    <t>300㎟ 3C</t>
  </si>
  <si>
    <t>4㎟ 4C</t>
  </si>
  <si>
    <t>6㎟ 4C</t>
  </si>
  <si>
    <t>10㎟ 4C</t>
  </si>
  <si>
    <t>16㎟ 4C</t>
  </si>
  <si>
    <t>25㎟ 4C</t>
  </si>
  <si>
    <t>35㎟ 4C</t>
  </si>
  <si>
    <t>50㎟ 4C</t>
  </si>
  <si>
    <t>70㎟ 4C</t>
  </si>
  <si>
    <t>95㎟ 4C</t>
  </si>
  <si>
    <t>120㎟ 4C</t>
  </si>
  <si>
    <t>150㎟ 4C</t>
  </si>
  <si>
    <t>185㎟ 4C</t>
  </si>
  <si>
    <t>240㎟ 4C</t>
  </si>
  <si>
    <t>300㎟ 4C</t>
  </si>
  <si>
    <t>0.6/1kV 트레이용 절연난연 제어용케이블(F-CVV) 1.5㎟ 2C</t>
  </si>
  <si>
    <t>1.5㎟ 2C</t>
  </si>
  <si>
    <t>0.6/1kV 트레이용 절연난연 제어용케이블(F-CVV) 1.5㎟ 3C</t>
  </si>
  <si>
    <t>1.5㎟ 3C</t>
  </si>
  <si>
    <t>0.6/1kV 트레이용 절연난연 제어용케이블(F-CVV) 2.5㎟ 3C</t>
  </si>
  <si>
    <t>2.5㎟ 3C</t>
  </si>
  <si>
    <t>0.6/1kV 트레이용 절연난연 제어용케이블(F-CVV) 4㎟ 3C</t>
  </si>
  <si>
    <t>4㎟ 3C</t>
  </si>
  <si>
    <t>0.6/1kV 트레이용 절연난연 제어용케이블(F-CVV) 6㎟ 3C</t>
  </si>
  <si>
    <t>0.6/1kV 트레이용 절연난연 제어용케이블(F-CVV) 1.5㎟ 4C</t>
  </si>
  <si>
    <t>1.5㎟ 4C</t>
  </si>
  <si>
    <t>0.6/1kV 트레이용 절연난연 제어용케이블(F-CVV) 1.5㎟ 5C</t>
  </si>
  <si>
    <t>1.5㎟ 5C</t>
  </si>
  <si>
    <t>0.6/1kV 트레이용 절연난연 제어용케이블(F-CVV) 1.5㎟ 6C</t>
  </si>
  <si>
    <t>1.5㎟ 6C</t>
  </si>
  <si>
    <t>0.6/1kV 트레이용 절연난연 제어용케이블(F-CVV) 1.5㎟ 7C</t>
  </si>
  <si>
    <t>1.5㎟ 7C</t>
  </si>
  <si>
    <t>0.6/1kV 트레이용 절연난연 제어용케이블(F-CVV) 1.5㎟ 8C</t>
  </si>
  <si>
    <t>1.5㎟ 8C</t>
  </si>
  <si>
    <t>0.6/1kV 트레이용 절연난연 제어용케이블(F-CVV) 1.5㎟ 10C</t>
  </si>
  <si>
    <t>1.5㎟ 10C</t>
  </si>
  <si>
    <t>0.6/1kV 트레이용 절연난연 제어용케이블(F-CVV) 1.5㎟ 12C</t>
  </si>
  <si>
    <t>1.5㎟ 12C</t>
  </si>
  <si>
    <t>0.6/1kV 트레이용 절연난연 제어용케이블(F-CVV) 1.5㎟ 15C</t>
  </si>
  <si>
    <t>1.5㎟ 15C</t>
  </si>
  <si>
    <t>0.6/1kV 트레이용 절연난연 제어용케이블(F-CVV) 1.5㎟ 20C</t>
  </si>
  <si>
    <t>1.5㎟ 20C</t>
  </si>
  <si>
    <t>0.6/1kV 트레이용 절연난연 제어용케이블(F-CVV) 1.5㎟ 25C</t>
  </si>
  <si>
    <t>1.5㎟ 25C</t>
  </si>
  <si>
    <t>0.6/1kV 트레이용 절연난연 제어용케이블(F-CVV) 1.5㎟ 30C</t>
  </si>
  <si>
    <t>1.5㎟ 30C</t>
  </si>
  <si>
    <t>0.6/1kV 트레이용 절연난연 제어용케이블(F-CVV) 1.5㎟ 40C</t>
  </si>
  <si>
    <t>1.5㎟ 40C</t>
  </si>
  <si>
    <t>0.6/1kV 트레이용 절연난연 제어용케이블(F-CVV) 1.5㎟ 50C</t>
  </si>
  <si>
    <t>1.5㎟ 50C</t>
  </si>
  <si>
    <t xml:space="preserve">4㎟ </t>
  </si>
  <si>
    <t xml:space="preserve">6㎟ </t>
  </si>
  <si>
    <t xml:space="preserve">10㎟ </t>
  </si>
  <si>
    <t xml:space="preserve">16㎟ </t>
  </si>
  <si>
    <t xml:space="preserve">25㎟ </t>
  </si>
  <si>
    <t xml:space="preserve">35㎟ </t>
  </si>
  <si>
    <t xml:space="preserve">50㎟ </t>
  </si>
  <si>
    <t xml:space="preserve">70㎟ </t>
  </si>
  <si>
    <t xml:space="preserve">95㎟ </t>
  </si>
  <si>
    <t xml:space="preserve">120㎟ </t>
  </si>
  <si>
    <t xml:space="preserve">150㎟ </t>
  </si>
  <si>
    <t xml:space="preserve">185㎟ </t>
  </si>
  <si>
    <t xml:space="preserve">240㎟ </t>
  </si>
  <si>
    <t xml:space="preserve">300㎟ </t>
  </si>
  <si>
    <t xml:space="preserve">400㎟ </t>
  </si>
  <si>
    <t>단심 비닐 절연 전선(KIV)</t>
    <phoneticPr fontId="3" type="noConversion"/>
  </si>
  <si>
    <t>강제전선관</t>
    <phoneticPr fontId="3" type="noConversion"/>
  </si>
  <si>
    <t>16㎟</t>
  </si>
  <si>
    <t>22㎟</t>
  </si>
  <si>
    <t>28㎟</t>
  </si>
  <si>
    <t>36㎟</t>
  </si>
  <si>
    <t>42㎟</t>
  </si>
  <si>
    <t>54㎟</t>
  </si>
  <si>
    <t>70㎟</t>
  </si>
  <si>
    <t>82㎟</t>
  </si>
  <si>
    <t>104㎟</t>
  </si>
  <si>
    <t>1종 금속제 가요전선관-노출</t>
    <phoneticPr fontId="3" type="noConversion"/>
  </si>
  <si>
    <t>12㎟</t>
  </si>
  <si>
    <t>1종 금속제 가요전선관-노출</t>
  </si>
  <si>
    <t>1종 금속제 가요전선관</t>
    <phoneticPr fontId="3" type="noConversion"/>
  </si>
  <si>
    <t>동관단자 (1HOLE)</t>
    <phoneticPr fontId="3" type="noConversion"/>
  </si>
  <si>
    <t>25㎟</t>
  </si>
  <si>
    <t>동관단자 (1HOLE)</t>
  </si>
  <si>
    <t>35㎟</t>
  </si>
  <si>
    <t>50㎟</t>
  </si>
  <si>
    <t>95㎟</t>
  </si>
  <si>
    <t>120㎟</t>
  </si>
  <si>
    <t>150㎟</t>
  </si>
  <si>
    <t>185㎟</t>
  </si>
  <si>
    <t>240㎟</t>
  </si>
  <si>
    <t>300㎟</t>
  </si>
  <si>
    <t>400㎟</t>
  </si>
  <si>
    <t>압착단자 (R형)</t>
    <phoneticPr fontId="3" type="noConversion"/>
  </si>
  <si>
    <t>케이블 COVER</t>
    <phoneticPr fontId="3" type="noConversion"/>
  </si>
  <si>
    <t>W150</t>
    <phoneticPr fontId="3" type="noConversion"/>
  </si>
  <si>
    <t>W200</t>
    <phoneticPr fontId="3" type="noConversion"/>
  </si>
  <si>
    <t>W300</t>
    <phoneticPr fontId="3" type="noConversion"/>
  </si>
  <si>
    <t>W400</t>
    <phoneticPr fontId="3" type="noConversion"/>
  </si>
  <si>
    <t>W450</t>
    <phoneticPr fontId="3" type="noConversion"/>
  </si>
  <si>
    <t>W500</t>
    <phoneticPr fontId="3" type="noConversion"/>
  </si>
  <si>
    <t>W600</t>
    <phoneticPr fontId="3" type="noConversion"/>
  </si>
  <si>
    <t>W700</t>
    <phoneticPr fontId="3" type="noConversion"/>
  </si>
  <si>
    <t>W750</t>
    <phoneticPr fontId="3" type="noConversion"/>
  </si>
  <si>
    <t>W800</t>
    <phoneticPr fontId="3" type="noConversion"/>
  </si>
  <si>
    <t>W900</t>
    <phoneticPr fontId="3" type="noConversion"/>
  </si>
  <si>
    <t>W1000</t>
    <phoneticPr fontId="3" type="noConversion"/>
  </si>
  <si>
    <t>케이블 COVER(ELBOW)</t>
    <phoneticPr fontId="3" type="noConversion"/>
  </si>
  <si>
    <t>용융 케이블 트레이(ELBOW)</t>
    <phoneticPr fontId="3" type="noConversion"/>
  </si>
  <si>
    <t>W150 x H100</t>
    <phoneticPr fontId="3" type="noConversion"/>
  </si>
  <si>
    <t>W200 x H100</t>
    <phoneticPr fontId="3" type="noConversion"/>
  </si>
  <si>
    <t>W300 x H100</t>
    <phoneticPr fontId="3" type="noConversion"/>
  </si>
  <si>
    <t>W400 x H100</t>
    <phoneticPr fontId="3" type="noConversion"/>
  </si>
  <si>
    <t>W450 x H100</t>
    <phoneticPr fontId="3" type="noConversion"/>
  </si>
  <si>
    <t>W500 x H100</t>
    <phoneticPr fontId="3" type="noConversion"/>
  </si>
  <si>
    <t>W600 x H100</t>
    <phoneticPr fontId="3" type="noConversion"/>
  </si>
  <si>
    <t>W700 x H100</t>
    <phoneticPr fontId="3" type="noConversion"/>
  </si>
  <si>
    <t>W750 x H100</t>
    <phoneticPr fontId="3" type="noConversion"/>
  </si>
  <si>
    <t>W800 x H100</t>
    <phoneticPr fontId="3" type="noConversion"/>
  </si>
  <si>
    <t>W900 x H100</t>
    <phoneticPr fontId="3" type="noConversion"/>
  </si>
  <si>
    <t>W1000 x H100</t>
    <phoneticPr fontId="3" type="noConversion"/>
  </si>
  <si>
    <t>용융 케이블 트레이(TEE)</t>
    <phoneticPr fontId="3" type="noConversion"/>
  </si>
  <si>
    <t>용융 케이블 트레이</t>
    <phoneticPr fontId="3" type="noConversion"/>
  </si>
  <si>
    <t>MCCB(ABS Type)</t>
    <phoneticPr fontId="3" type="noConversion"/>
  </si>
  <si>
    <t>30AF 3P</t>
  </si>
  <si>
    <t>30AF 4P</t>
  </si>
  <si>
    <t>50AF 3P</t>
  </si>
  <si>
    <t>50AF 4P</t>
  </si>
  <si>
    <t>60AF 3P</t>
  </si>
  <si>
    <t>60AF 4P</t>
  </si>
  <si>
    <t>125AF 3P</t>
  </si>
  <si>
    <t>125AF 4P</t>
  </si>
  <si>
    <t>250AF 3P</t>
  </si>
  <si>
    <t>250AF 4P</t>
  </si>
  <si>
    <t>400AF 3P</t>
  </si>
  <si>
    <t>400AF 4P</t>
  </si>
  <si>
    <t>630AF 3P</t>
  </si>
  <si>
    <t>630AF 4P</t>
  </si>
  <si>
    <t>800AF 3P</t>
  </si>
  <si>
    <t>800AF 4P</t>
  </si>
  <si>
    <t>MCCB(EBS Type)</t>
    <phoneticPr fontId="3" type="noConversion"/>
  </si>
  <si>
    <t>100AF 3P</t>
  </si>
  <si>
    <t>100AF 4P</t>
  </si>
  <si>
    <t>E_CAB01_VM_0000_2.5_3</t>
  </si>
  <si>
    <t>E_CAB01_VM_0000_4_3</t>
  </si>
  <si>
    <t>E_CAB01_VM_0000_6_3</t>
  </si>
  <si>
    <t>E_CAB01_VM_0000_10_3</t>
  </si>
  <si>
    <t>E_CAB01_VM_0000_16_3</t>
  </si>
  <si>
    <t>E_CAB01_VM_0000_25_3</t>
  </si>
  <si>
    <t>E_CAB01_VM_0000_35_3</t>
  </si>
  <si>
    <t>E_CAB01_VM_0000_50_3</t>
  </si>
  <si>
    <t>E_CAB01_VM_0000_70_3</t>
  </si>
  <si>
    <t>E_CAB01_VM_0000_95_3</t>
  </si>
  <si>
    <t>E_CAB01_VM_0000_120_3</t>
  </si>
  <si>
    <t>E_CAB01_VM_0000_150_3</t>
  </si>
  <si>
    <t>E_CAB01_VM_0000_185_3</t>
  </si>
  <si>
    <t>E_CAB01_VM_0000_240_3</t>
  </si>
  <si>
    <t>E_CAB01_VM_0000_300_3</t>
  </si>
  <si>
    <t>E_CAB01_VM_0000_4_4</t>
  </si>
  <si>
    <t>E_CAB01_VM_0000_10_4</t>
  </si>
  <si>
    <t>E_CAB01_VM_0000_16_4</t>
  </si>
  <si>
    <t>E_CAB01_VM_0000_35_4</t>
  </si>
  <si>
    <t>E_CAB01_VM_0000_50_4</t>
  </si>
  <si>
    <t>E_CAB01_VM_0000_70_4</t>
  </si>
  <si>
    <t>E_CAB01_VM_0000_95_4</t>
  </si>
  <si>
    <t>E_CAB01_VM_0000_120_4</t>
  </si>
  <si>
    <t>E_CAB01_VM_0000_150_4</t>
  </si>
  <si>
    <t>E_CAB01_VM_0000_185_4</t>
  </si>
  <si>
    <t>E_CAB01_VM_0000_240_4</t>
  </si>
  <si>
    <t>E_CAB01_VM_0000_300_4</t>
  </si>
  <si>
    <t>E_CAB0201_VM_0000_1.5_2</t>
  </si>
  <si>
    <t>E_CAB0201_VM_0000_1.5_3</t>
  </si>
  <si>
    <t>E_CAB0201_VM_0000_1.5_4</t>
  </si>
  <si>
    <t>E_CAB0201_VM_0000_1.5_5</t>
  </si>
  <si>
    <t>E_CAB0201_VM_0000_1.5_6</t>
  </si>
  <si>
    <t>E_CAB0201_VM_0000_1.5_7</t>
  </si>
  <si>
    <t>E_CAB0201_VM_0000_1.5_8</t>
  </si>
  <si>
    <t>E_CAB0201_VM_0000_1.5_10</t>
  </si>
  <si>
    <t>E_CAB0201_VM_0000_1.5_15</t>
  </si>
  <si>
    <t>E_CAB0201_VM_0000_1.5_20</t>
  </si>
  <si>
    <t>E_CAB0201_VM_0000_1.5_25</t>
  </si>
  <si>
    <t>E_CAB0201_VM_0000_1.5_30</t>
  </si>
  <si>
    <t>E_CAB0201_VM_0000_1.5_40</t>
  </si>
  <si>
    <t>E_CAB0201_VM_0000_1.5_50</t>
  </si>
  <si>
    <t>E_CAB0202_VM_0000_1.5_2</t>
  </si>
  <si>
    <t>E_CAB0202_VM_0000_1.5_3</t>
  </si>
  <si>
    <t>E_CAB0202_VM_0000_1.5_4</t>
  </si>
  <si>
    <t>E_CAB0202_VM_0000_1.5_5</t>
  </si>
  <si>
    <t>E_CAB0202_VM_0000_1.5_6</t>
  </si>
  <si>
    <t>E_CAB0202_VM_0000_1.5_7</t>
  </si>
  <si>
    <t>E_CAB0202_VM_0000_1.5_8</t>
  </si>
  <si>
    <t>E_CAB0202_VM_0000_1.5_10</t>
  </si>
  <si>
    <t>E_CAB0202_VM_0000_1.5_12</t>
  </si>
  <si>
    <t>E_CAB0202_VM_0000_1.5_15</t>
  </si>
  <si>
    <t>E_CAB0202_VM_0000_1.5_20</t>
  </si>
  <si>
    <t>E_CAB0202_VM_0000_1.5_25</t>
  </si>
  <si>
    <t>E_CAB0202_VM_0000_1.5_30</t>
  </si>
  <si>
    <t>E_CAB0202_VM_0000_1.5_40</t>
  </si>
  <si>
    <t>E_CAB0202_VM_0000_1.5_50</t>
  </si>
  <si>
    <t>E_CAB03_VM_0000_2.5</t>
  </si>
  <si>
    <t>E_CAB03_VM_0000_4</t>
  </si>
  <si>
    <t>E_CAB03_VM_0000_6</t>
  </si>
  <si>
    <t>E_CAB03_VM_0000_10</t>
  </si>
  <si>
    <t>E_CAB03_VM_0000_25</t>
  </si>
  <si>
    <t>E_CAB03_VM_0000_35</t>
  </si>
  <si>
    <t>E_CAB03_VM_0000_50</t>
  </si>
  <si>
    <t>E_CAB03_VM_0000_70</t>
  </si>
  <si>
    <t>E_CAB03_VM_0000_95</t>
  </si>
  <si>
    <t>E_CAB03_VM_0000_120</t>
  </si>
  <si>
    <t>E_CAB03_VM_0000_150</t>
  </si>
  <si>
    <t>E_CAB03_VM_0000_185</t>
  </si>
  <si>
    <t>E_CAB03_VM_0000_240</t>
  </si>
  <si>
    <t>E_CAB03_VM_0000_300</t>
  </si>
  <si>
    <t>E_CAB03_VM_0000_400</t>
  </si>
  <si>
    <t>E_CAB04_VM_0000_2.5</t>
  </si>
  <si>
    <t>E_CAB04_VM_0000_10</t>
  </si>
  <si>
    <t>E_CAB04_VM_0000_16</t>
  </si>
  <si>
    <t>E_CAB04_VM_0000_25</t>
  </si>
  <si>
    <t>E_CAB04_VM_0000_35</t>
  </si>
  <si>
    <t>E_CAB04_VM_0000_50</t>
  </si>
  <si>
    <t>E_CAB04_VM_0000_70</t>
  </si>
  <si>
    <t>E_CAB04_VM_0000_95</t>
  </si>
  <si>
    <t>E_CAB04_VM_0000_120</t>
  </si>
  <si>
    <t>E_CAB04_VM_0000_150</t>
  </si>
  <si>
    <t>E_CAB04_VM_0000_185</t>
  </si>
  <si>
    <t>E_CAB04_VM_0000_240</t>
  </si>
  <si>
    <t>E_CAB01</t>
  </si>
  <si>
    <t>E_CAB0201</t>
  </si>
  <si>
    <t>E_CAB0202</t>
  </si>
  <si>
    <t>E_CAB03</t>
  </si>
  <si>
    <t>E_CAB04</t>
  </si>
  <si>
    <t>단면적(㎟)</t>
  </si>
  <si>
    <t>코어(C)</t>
  </si>
  <si>
    <t>i_crosssection_mm2</t>
  </si>
  <si>
    <t>i_core_c_NONE</t>
  </si>
  <si>
    <t>0.6/1kV 4㎟</t>
  </si>
  <si>
    <t>0.6/1kV 6㎟</t>
  </si>
  <si>
    <t>0.6/1kV 10㎟</t>
  </si>
  <si>
    <t>0.6/1kV 25㎟</t>
  </si>
  <si>
    <t>0.6/1kV 35㎟</t>
  </si>
  <si>
    <t>0.6/1kV 50㎟</t>
  </si>
  <si>
    <t>0.6/1kV 70㎟</t>
  </si>
  <si>
    <t>0.6/1kV 95㎟</t>
  </si>
  <si>
    <t>0.6/1kV 120㎟</t>
  </si>
  <si>
    <t>0.6/1kV 150㎟</t>
  </si>
  <si>
    <t>0.6/1kV 185㎟</t>
  </si>
  <si>
    <t>0.6/1kV 240㎟</t>
  </si>
  <si>
    <t>0.6/1kV 300㎟</t>
  </si>
  <si>
    <t>0.6/1kV 400㎟</t>
  </si>
  <si>
    <t>단심 비닐 절연 전선(KIV)</t>
  </si>
  <si>
    <t>KIV 2.5SQ</t>
  </si>
  <si>
    <t>KIV 10SQ</t>
  </si>
  <si>
    <t>KIV 16SQ</t>
  </si>
  <si>
    <t>KIV 25SQ</t>
  </si>
  <si>
    <t>KIV 35SQ</t>
  </si>
  <si>
    <t>KIV 50SQ</t>
  </si>
  <si>
    <t>KIV 70SQ</t>
  </si>
  <si>
    <t>KIV 95SQ</t>
  </si>
  <si>
    <t>KIV 120SQ</t>
  </si>
  <si>
    <t>KIV 150SQ</t>
  </si>
  <si>
    <t>KIV 185SQ</t>
  </si>
  <si>
    <t>KIV 240SQ</t>
  </si>
  <si>
    <t>호표15</t>
    <phoneticPr fontId="3" type="noConversion"/>
  </si>
  <si>
    <t>호표29</t>
    <phoneticPr fontId="3" type="noConversion"/>
  </si>
  <si>
    <t>호표34</t>
    <phoneticPr fontId="3" type="noConversion"/>
  </si>
  <si>
    <t>호표35</t>
    <phoneticPr fontId="3" type="noConversion"/>
  </si>
  <si>
    <t>호표36</t>
    <phoneticPr fontId="3" type="noConversion"/>
  </si>
  <si>
    <t>호표37</t>
    <phoneticPr fontId="3" type="noConversion"/>
  </si>
  <si>
    <t>호표38</t>
    <phoneticPr fontId="3" type="noConversion"/>
  </si>
  <si>
    <t>호표47</t>
    <phoneticPr fontId="3" type="noConversion"/>
  </si>
  <si>
    <t>호표62</t>
    <phoneticPr fontId="3" type="noConversion"/>
  </si>
  <si>
    <t>호표77</t>
    <phoneticPr fontId="3" type="noConversion"/>
  </si>
  <si>
    <t>E_CON0101_VM_0000_42</t>
  </si>
  <si>
    <t>E_CON0101_VM_0000_70</t>
  </si>
  <si>
    <t>E_CON0101_VM_0000_82</t>
  </si>
  <si>
    <t>E_CON0101_VM_0000_104</t>
  </si>
  <si>
    <t>E_CON0102_VM_0000_42</t>
  </si>
  <si>
    <t>E_CON0102_VM_0000_82</t>
  </si>
  <si>
    <t>E_CON0102_VM_0000_104</t>
  </si>
  <si>
    <t>E_CON0201_VM_0000_12</t>
  </si>
  <si>
    <t>E_CON0201_VM_0000_42</t>
  </si>
  <si>
    <t>E_CON0201_VM_0000_82</t>
  </si>
  <si>
    <t>E_CON0201_VM_0000_104</t>
  </si>
  <si>
    <t>E_CON0202_VM_0000_42</t>
  </si>
  <si>
    <t>E_CON0202_VM_0000_82</t>
  </si>
  <si>
    <t>E_CON0202_VM_0000_104</t>
  </si>
  <si>
    <t>E_CON0101</t>
  </si>
  <si>
    <t>E_CON0102</t>
  </si>
  <si>
    <t>E_CON0201</t>
  </si>
  <si>
    <t>E_CON0202</t>
  </si>
  <si>
    <t>강제전선관</t>
  </si>
  <si>
    <t>42mm</t>
  </si>
  <si>
    <t>82mm</t>
  </si>
  <si>
    <t>104mm</t>
  </si>
  <si>
    <t>강제전선관용부품</t>
  </si>
  <si>
    <t>노말밴드후강전선관용, 아연도42mm</t>
  </si>
  <si>
    <t>노말밴드후강전선관용, 아연도82mm</t>
  </si>
  <si>
    <t>노말밴드후강전선관용, 아연도104mm</t>
  </si>
  <si>
    <t>비닐피복, 12mm 방수</t>
  </si>
  <si>
    <t>비닐피복, 42mm 방수</t>
  </si>
  <si>
    <t>비닐피복, 82mm 방수</t>
  </si>
  <si>
    <t>비닐피복, 104mm 방수</t>
  </si>
  <si>
    <t>박스커넥터-비닐, 42mm 방수</t>
  </si>
  <si>
    <t>박스커넥터-비닐, 82mm 방수</t>
  </si>
  <si>
    <t>박스커넥터-비닐, 104mm 방수</t>
  </si>
  <si>
    <t>E_TRM0101_VM_0000_16</t>
  </si>
  <si>
    <t>E_TRM0101_VM_0000_35</t>
  </si>
  <si>
    <t>E_TRM0101_VM_0000_50</t>
  </si>
  <si>
    <t>E_TRM0101_VM_0000_70</t>
  </si>
  <si>
    <t>E_TRM0101_VM_0000_95</t>
  </si>
  <si>
    <t>E_TRM0101_VM_0000_120</t>
  </si>
  <si>
    <t>E_TRM0101_VM_0000_150</t>
  </si>
  <si>
    <t>E_TRM0101_VM_0000_185</t>
  </si>
  <si>
    <t>E_TRM0101_VM_0000_240</t>
  </si>
  <si>
    <t>E_TRM0101_VM_0000_300</t>
  </si>
  <si>
    <t>E_TRM0101_VM_0000_400</t>
  </si>
  <si>
    <t>E_TRM0101</t>
  </si>
  <si>
    <t>1 HOLE, 16㎟</t>
  </si>
  <si>
    <t>1 HOLE, 25㎟</t>
  </si>
  <si>
    <t>1 HOLE, 35㎟</t>
  </si>
  <si>
    <t>1 HOLE, 50㎟</t>
  </si>
  <si>
    <t>1 HOLE, 70㎟</t>
  </si>
  <si>
    <t>1 HOLE, 95㎟</t>
  </si>
  <si>
    <t>1 HOLE, 120㎟</t>
  </si>
  <si>
    <t>1 HOLE, 150㎟</t>
  </si>
  <si>
    <t>1 HOLE, 185㎟</t>
  </si>
  <si>
    <t>1 HOLE, 240㎟</t>
  </si>
  <si>
    <t>1 HOLE, 300㎟</t>
  </si>
  <si>
    <t>1 HOLE, 400㎟</t>
  </si>
  <si>
    <t>E_TRM0201_VM_0000_10</t>
  </si>
  <si>
    <t>E_TRM0201_VM_0000_16</t>
  </si>
  <si>
    <t>E_TRM0201_VM_0000_35</t>
  </si>
  <si>
    <t>E_TRM0201_VM_0000_50</t>
  </si>
  <si>
    <t>E_TRM0201_VM_0000_70</t>
  </si>
  <si>
    <t>E_TRM0201_VM_0000_95</t>
  </si>
  <si>
    <t>E_TRM0201_VM_0000_120</t>
  </si>
  <si>
    <t>E_TRM0201_VM_0000_150</t>
  </si>
  <si>
    <t>E_TRM0201_VM_0000_185</t>
  </si>
  <si>
    <t>E_TRM0201_VM_0000_240</t>
  </si>
  <si>
    <t>E_TRM0201_VM_0000_300</t>
  </si>
  <si>
    <t>E_TRM0201_VM_0000_400</t>
  </si>
  <si>
    <t>E_TRM0201</t>
  </si>
  <si>
    <t>R형동선 나압착 10㎟</t>
  </si>
  <si>
    <t>R형동선 나압착 25㎟</t>
  </si>
  <si>
    <t>R형동선 나압착 35㎟</t>
  </si>
  <si>
    <t>R형동선 나압착 50㎟</t>
  </si>
  <si>
    <t>R형동선 나압착 70㎟</t>
  </si>
  <si>
    <t>R형동선 나압착 95㎟</t>
  </si>
  <si>
    <t>R형동선 나압착 120㎟</t>
  </si>
  <si>
    <t>R형동선 나압착 150㎟</t>
  </si>
  <si>
    <t>R형동선 나압착 185㎟</t>
  </si>
  <si>
    <t>R형동선 나압착 240㎟</t>
  </si>
  <si>
    <t>R형동선 나압착 300㎟</t>
  </si>
  <si>
    <t>R형동선 나압착 400㎟</t>
  </si>
  <si>
    <t>호표118</t>
    <phoneticPr fontId="3" type="noConversion"/>
  </si>
  <si>
    <t>호표119</t>
    <phoneticPr fontId="3" type="noConversion"/>
  </si>
  <si>
    <t>E_TRA0101_VM_SEOYOUNG_150</t>
  </si>
  <si>
    <t>E_TRA0101_VM_SEOYOUNG_200</t>
  </si>
  <si>
    <t>E_TRA0101_VM_SEOYOUNG_300</t>
  </si>
  <si>
    <t>E_TRA0101_VM_SEOYOUNG_400</t>
  </si>
  <si>
    <t>E_TRA0101_VM_SEOYOUNG_500</t>
  </si>
  <si>
    <t>E_TRA0101_VM_SEOYOUNG_600</t>
  </si>
  <si>
    <t>E_TRA0101_VM_SEOYOUNG_700</t>
  </si>
  <si>
    <t>E_TRA0101_VM_SEOYOUNG_800</t>
  </si>
  <si>
    <t>E_TRA0101_VM_SEOYOUNG_900</t>
  </si>
  <si>
    <t>E_TRA0201_VM_SEOYOUNG_150</t>
  </si>
  <si>
    <t>E_TRA0201_VM_SEOYOUNG_200</t>
  </si>
  <si>
    <t>E_TRA0201_VM_SEOYOUNG_300</t>
  </si>
  <si>
    <t>E_TRA0201_VM_SEOYOUNG_500</t>
  </si>
  <si>
    <t>E_TRA0201_VM_SEOYOUNG_600</t>
  </si>
  <si>
    <t>E_TRA0201_VM_SEOYOUNG_700</t>
  </si>
  <si>
    <t>E_TRA0201_VM_SEOYOUNG_800</t>
  </si>
  <si>
    <t>E_TRA0201_VM_SEOYOUNG_900</t>
  </si>
  <si>
    <t>E_TRA0201_VM_SEOYOUNG_1000</t>
  </si>
  <si>
    <t>E_TRA0202_VM_SEOYOUNG_150</t>
  </si>
  <si>
    <t>E_TRA0202_VM_SEOYOUNG_200</t>
  </si>
  <si>
    <t>E_TRA0202_VM_SEOYOUNG_300</t>
  </si>
  <si>
    <t>E_TRA0202_VM_SEOYOUNG_500</t>
  </si>
  <si>
    <t>E_TRA0202_VM_SEOYOUNG_600</t>
  </si>
  <si>
    <t>E_TRA0202_VM_SEOYOUNG_700</t>
  </si>
  <si>
    <t>E_TRA0202_VM_SEOYOUNG_800</t>
  </si>
  <si>
    <t>E_TRA0202_VM_SEOYOUNG_900</t>
  </si>
  <si>
    <t>E_TRA0202_VM_SEOYOUNG_1000</t>
  </si>
  <si>
    <t>E_TRA0203_VM_SEOYOUNG_150</t>
  </si>
  <si>
    <t>E_TRA0203_VM_SEOYOUNG_200</t>
  </si>
  <si>
    <t>E_TRA0203_VM_SEOYOUNG_300</t>
  </si>
  <si>
    <t>E_TRA0203_VM_SEOYOUNG_400</t>
  </si>
  <si>
    <t>E_TRA0203_VM_SEOYOUNG_500</t>
  </si>
  <si>
    <t>E_TRA0203_VM_SEOYOUNG_600</t>
  </si>
  <si>
    <t>E_TRA0203_VM_SEOYOUNG_800</t>
  </si>
  <si>
    <t>E_TRA0203_VM_SEOYOUNG_900</t>
  </si>
  <si>
    <t>E_TRA0203_VM_SEOYOUNG_1000</t>
  </si>
  <si>
    <t>E_TRA0204_VM_SEOYOUNG_150</t>
  </si>
  <si>
    <t>E_TRA0204_VM_SEOYOUNG_200</t>
  </si>
  <si>
    <t>E_TRA0204_VM_SEOYOUNG_300</t>
  </si>
  <si>
    <t>E_TRA0204_VM_SEOYOUNG_400</t>
  </si>
  <si>
    <t>E_TRA0204_VM_SEOYOUNG_500</t>
  </si>
  <si>
    <t>E_TRA0204_VM_SEOYOUNG_600</t>
  </si>
  <si>
    <t>E_TRA0204_VM_SEOYOUNG_800</t>
  </si>
  <si>
    <t>E_TRA0204_VM_SEOYOUNG_900</t>
  </si>
  <si>
    <t>E_TRA0204_VM_SEOYOUNG_1000</t>
  </si>
  <si>
    <t>E_TRA0205_VM_SEOYOUNG_150</t>
  </si>
  <si>
    <t>E_TRA0205_VM_SEOYOUNG_200</t>
  </si>
  <si>
    <t>E_TRA0205_VM_SEOYOUNG_300</t>
  </si>
  <si>
    <t>E_TRA0205_VM_SEOYOUNG_400</t>
  </si>
  <si>
    <t>E_TRA0205_VM_SEOYOUNG_500</t>
  </si>
  <si>
    <t>E_TRA0205_VM_SEOYOUNG_600</t>
  </si>
  <si>
    <t>E_TRA0205_VM_SEOYOUNG_700</t>
  </si>
  <si>
    <t>E_TRA0205_VM_SEOYOUNG_900</t>
  </si>
  <si>
    <t>E_TRA0205_VM_SEOYOUNG_1000</t>
  </si>
  <si>
    <t>E_TRA0101</t>
  </si>
  <si>
    <t>E_TRA0201</t>
  </si>
  <si>
    <t>E_TRA0202</t>
  </si>
  <si>
    <t>E_TRA0203</t>
  </si>
  <si>
    <t>E_TRA0204</t>
  </si>
  <si>
    <t>E_TRA0205</t>
  </si>
  <si>
    <t>W150 × H100 × 2.3t</t>
  </si>
  <si>
    <t>W200 × H100 × 2.3t</t>
  </si>
  <si>
    <t>W300 × H100 × 2.3t</t>
  </si>
  <si>
    <t>W400 × H100 × 2.3t</t>
  </si>
  <si>
    <t>W500 × H100 × 2.3t</t>
  </si>
  <si>
    <t>W600 × H100 × 2.3t</t>
  </si>
  <si>
    <t>W700 × H100 × 2.3t</t>
  </si>
  <si>
    <t>W800 × H100 × 2.3t</t>
  </si>
  <si>
    <t>W900 × H100 × 2.3t</t>
  </si>
  <si>
    <t>W1000 × H100 × 2.3t</t>
  </si>
  <si>
    <t>S/T, W200</t>
  </si>
  <si>
    <t>S/T, W300</t>
  </si>
  <si>
    <t>S/T, W500</t>
  </si>
  <si>
    <t>S/T, W600</t>
  </si>
  <si>
    <t>S/T, W700</t>
  </si>
  <si>
    <t>S/T, W800</t>
  </si>
  <si>
    <t>S/T, W900</t>
  </si>
  <si>
    <t>S/T, W1000</t>
  </si>
  <si>
    <t>VER ELBOW, W200</t>
  </si>
  <si>
    <t>VER ELBOW, W300</t>
  </si>
  <si>
    <t>VER ELBOW, W500</t>
  </si>
  <si>
    <t>VER ELBOW, W600</t>
  </si>
  <si>
    <t>VER ELBOW, W700</t>
  </si>
  <si>
    <t>VER ELBOW, W800</t>
  </si>
  <si>
    <t>VER ELBOW, W900</t>
  </si>
  <si>
    <t>VER ELBOW, W1000</t>
  </si>
  <si>
    <t>용융 HOR. ELBOW, W150 × H100</t>
  </si>
  <si>
    <t>용융 HOR. ELBOW, W200 × H100</t>
  </si>
  <si>
    <t>용융 HOR. ELBOW, W300 × H100</t>
  </si>
  <si>
    <t>용융 HOR. ELBOW, W400 × H100</t>
  </si>
  <si>
    <t>용융 HOR. ELBOW, W500 × H100</t>
  </si>
  <si>
    <t>용융 HOR. ELBOW, W600 × H100</t>
  </si>
  <si>
    <t>용융 HOR. ELBOW, W700 × H100</t>
  </si>
  <si>
    <t>용융 HOR. ELBOW, W800 × H100</t>
  </si>
  <si>
    <t>용융 HOR. ELBOW, W900 × H100</t>
  </si>
  <si>
    <t>용융 HOR. ELBOW, W1000 × H100</t>
  </si>
  <si>
    <t>용융 VER. ELBOW, W150 × H100</t>
  </si>
  <si>
    <t>용융 VER. ELBOW, W200 × H100</t>
  </si>
  <si>
    <t>용융 VER. ELBOW, W300 × H100</t>
  </si>
  <si>
    <t>용융 VER. ELBOW, W400 × H100</t>
  </si>
  <si>
    <t>용융 VER. ELBOW, W500 × H100</t>
  </si>
  <si>
    <t>용융 VER. ELBOW, W600 × H100</t>
  </si>
  <si>
    <t>용융 VER. ELBOW, W700 × H100</t>
  </si>
  <si>
    <t>용융 VER. ELBOW, W800 × H100</t>
  </si>
  <si>
    <t>용융 VER. ELBOW, W900 × H100</t>
  </si>
  <si>
    <t>용융 VER. ELBOW, W1000 × H100</t>
  </si>
  <si>
    <t>용융 HOR. TEE, W150 × H100</t>
  </si>
  <si>
    <t>용융 HOR. TEE, W200 × H100</t>
  </si>
  <si>
    <t>용융 HOR. TEE, W300 × H100</t>
  </si>
  <si>
    <t>용융 HOR. TEE, W400 × H100</t>
  </si>
  <si>
    <t>용융 HOR. TEE, W500 × H100</t>
  </si>
  <si>
    <t>용융 HOR. TEE, W600 × H100</t>
  </si>
  <si>
    <t>용융 HOR. TEE, W700 × H100</t>
  </si>
  <si>
    <t>용융 HOR. TEE, W800 × H100</t>
  </si>
  <si>
    <t>용융 HOR. TEE, W900 × H100</t>
  </si>
  <si>
    <t>용융 HOR. TEE, W1000 × H100</t>
  </si>
  <si>
    <t>호표190</t>
    <phoneticPr fontId="3" type="noConversion"/>
  </si>
  <si>
    <t>호표152</t>
    <phoneticPr fontId="3" type="noConversion"/>
  </si>
  <si>
    <t>호표153</t>
    <phoneticPr fontId="3" type="noConversion"/>
  </si>
  <si>
    <t>E_VCB0201_VM_LS_ELC_5_30_3</t>
  </si>
  <si>
    <t>E_VCB0201_VM_LS_ELC_10_30_3</t>
  </si>
  <si>
    <t>E_VCB0201_VM_LS_ELC_15_30_3</t>
  </si>
  <si>
    <t>E_VCB0201_VM_LS_ELC_16_30_3</t>
  </si>
  <si>
    <t>E_VCB0201_VM_LS_ELC_25_30_3</t>
  </si>
  <si>
    <t>E_VCB0201_VM_LS_ELC_30_30_3</t>
  </si>
  <si>
    <t>E_VCB0201_VM_LS_ELC_3_30_4</t>
  </si>
  <si>
    <t>E_VCB0201_VM_LS_ELC_5_30_4</t>
  </si>
  <si>
    <t>E_VCB0201_VM_LS_ELC_10_30_4</t>
  </si>
  <si>
    <t>E_VCB0201_VM_LS_ELC_15_30_4</t>
  </si>
  <si>
    <t>E_VCB0201_VM_LS_ELC_16_30_4</t>
  </si>
  <si>
    <t>E_VCB0201_VM_LS_ELC_20_30_4</t>
  </si>
  <si>
    <t>E_VCB0201_VM_LS_ELC_25_30_4</t>
  </si>
  <si>
    <t>E_VCB0201_VM_LS_ELC_30_30_4</t>
  </si>
  <si>
    <t>E_VCB0201_VM_LS_ELC_15_50_3</t>
  </si>
  <si>
    <t>E_VCB0201_VM_LS_ELC_16_50_3</t>
  </si>
  <si>
    <t>E_VCB0201_VM_LS_ELC_20_50_3</t>
  </si>
  <si>
    <t>E_VCB0201_VM_LS_ELC_25_50_3</t>
  </si>
  <si>
    <t>E_VCB0201_VM_LS_ELC_30_50_3</t>
  </si>
  <si>
    <t>E_VCB0201_VM_LS_ELC_32_50_3</t>
  </si>
  <si>
    <t>E_VCB0201_VM_LS_ELC_40_50_3</t>
  </si>
  <si>
    <t>E_VCB0201_VM_LS_ELC_50_50_3</t>
  </si>
  <si>
    <t>E_VCB0201_VM_LS_ELC_15_50_4</t>
  </si>
  <si>
    <t>E_VCB0201_VM_LS_ELC_16_50_4</t>
  </si>
  <si>
    <t>E_VCB0201_VM_LS_ELC_20_50_4</t>
  </si>
  <si>
    <t>E_VCB0201_VM_LS_ELC_25_50_4</t>
  </si>
  <si>
    <t>E_VCB0201_VM_LS_ELC_30_50_4</t>
  </si>
  <si>
    <t>E_VCB0201_VM_LS_ELC_32_50_4</t>
  </si>
  <si>
    <t>E_VCB0201_VM_LS_ELC_40_50_4</t>
  </si>
  <si>
    <t>E_VCB0201_VM_LS_ELC_50_50_4</t>
  </si>
  <si>
    <t>E_VCB0201_VM_LS_ELC_15_60_3</t>
  </si>
  <si>
    <t>E_VCB0201_VM_LS_ELC_16_60_3</t>
  </si>
  <si>
    <t>E_VCB0201_VM_LS_ELC_20_60_3</t>
  </si>
  <si>
    <t>E_VCB0201_VM_LS_ELC_25_60_3</t>
  </si>
  <si>
    <t>E_VCB0201_VM_LS_ELC_30_60_3</t>
  </si>
  <si>
    <t>E_VCB0201_VM_LS_ELC_32_60_3</t>
  </si>
  <si>
    <t>E_VCB0201_VM_LS_ELC_40_60_3</t>
  </si>
  <si>
    <t>E_VCB0201_VM_LS_ELC_50_60_3</t>
  </si>
  <si>
    <t>E_VCB0201_VM_LS_ELC_60_60_3</t>
  </si>
  <si>
    <t>E_VCB0201_VM_LS_ELC_15_60_4</t>
  </si>
  <si>
    <t>E_VCB0201_VM_LS_ELC_16_60_4</t>
  </si>
  <si>
    <t>E_VCB0201_VM_LS_ELC_20_60_4</t>
  </si>
  <si>
    <t>E_VCB0201_VM_LS_ELC_25_60_4</t>
  </si>
  <si>
    <t>E_VCB0201_VM_LS_ELC_30_60_4</t>
  </si>
  <si>
    <t>E_VCB0201_VM_LS_ELC_32_60_4</t>
  </si>
  <si>
    <t>E_VCB0201_VM_LS_ELC_40_60_4</t>
  </si>
  <si>
    <t>E_VCB0201_VM_LS_ELC_50_60_4</t>
  </si>
  <si>
    <t>E_VCB0201_VM_LS_ELC_60_60_4</t>
  </si>
  <si>
    <t>E_VCB0201_VM_LS_ELC_15_125_3</t>
  </si>
  <si>
    <t>E_VCB0201_VM_LS_ELC_16_125_3</t>
  </si>
  <si>
    <t>E_VCB0201_VM_LS_ELC_20_125_3</t>
  </si>
  <si>
    <t>E_VCB0201_VM_LS_ELC_25_125_3</t>
  </si>
  <si>
    <t>E_VCB0201_VM_LS_ELC_30_125_3</t>
  </si>
  <si>
    <t>E_VCB0201_VM_LS_ELC_32_125_3</t>
  </si>
  <si>
    <t>E_VCB0201_VM_LS_ELC_40_125_3</t>
  </si>
  <si>
    <t>E_VCB0201_VM_LS_ELC_50_125_3</t>
  </si>
  <si>
    <t>E_VCB0201_VM_LS_ELC_60_125_3</t>
  </si>
  <si>
    <t>E_VCB0201_VM_LS_ELC_63_125_3</t>
  </si>
  <si>
    <t>E_VCB0201_VM_LS_ELC_75_125_3</t>
  </si>
  <si>
    <t>E_VCB0201_VM_LS_ELC_80_125_3</t>
  </si>
  <si>
    <t>E_VCB0201_VM_LS_ELC_100_125_3</t>
  </si>
  <si>
    <t>E_VCB0201_VM_LS_ELC_125_125_3</t>
  </si>
  <si>
    <t>E_VCB0201_VM_LS_ELC_15_125_4</t>
  </si>
  <si>
    <t>E_VCB0201_VM_LS_ELC_16_125_4</t>
  </si>
  <si>
    <t>E_VCB0201_VM_LS_ELC_20_125_4</t>
  </si>
  <si>
    <t>E_VCB0201_VM_LS_ELC_25_125_4</t>
  </si>
  <si>
    <t>E_VCB0201_VM_LS_ELC_30_125_4</t>
  </si>
  <si>
    <t>E_VCB0201_VM_LS_ELC_32_125_4</t>
  </si>
  <si>
    <t>E_VCB0201_VM_LS_ELC_40_125_4</t>
  </si>
  <si>
    <t>E_VCB0201_VM_LS_ELC_50_125_4</t>
  </si>
  <si>
    <t>E_VCB0201_VM_LS_ELC_60_125_4</t>
  </si>
  <si>
    <t>E_VCB0201_VM_LS_ELC_63_125_4</t>
  </si>
  <si>
    <t>E_VCB0201_VM_LS_ELC_80_125_4</t>
  </si>
  <si>
    <t>E_VCB0201_VM_LS_ELC_125_125_4</t>
  </si>
  <si>
    <t>E_VCB0201_VM_LS_ELC_125_250_3</t>
  </si>
  <si>
    <t>E_VCB0201_VM_LS_ELC_150_250_3</t>
  </si>
  <si>
    <t>E_VCB0201_VM_LS_ELC_160_250_3</t>
  </si>
  <si>
    <t>E_VCB0201_VM_LS_ELC_175_250_3</t>
  </si>
  <si>
    <t>E_VCB0201_VM_LS_ELC_200_250_3</t>
  </si>
  <si>
    <t>E_VCB0201_VM_LS_ELC_225_250_3</t>
  </si>
  <si>
    <t>E_VCB0201_VM_LS_ELC_250_250_3</t>
  </si>
  <si>
    <t>E_VCB0201_VM_LS_ELC_100_250_4</t>
  </si>
  <si>
    <t>E_VCB0201_VM_LS_ELC_125_250_4</t>
  </si>
  <si>
    <t>E_VCB0201_VM_LS_ELC_150_250_4</t>
  </si>
  <si>
    <t>E_VCB0201_VM_LS_ELC_160_250_4</t>
  </si>
  <si>
    <t>E_VCB0201_VM_LS_ELC_175_250_4</t>
  </si>
  <si>
    <t>E_VCB0201_VM_LS_ELC_200_250_4</t>
  </si>
  <si>
    <t>E_VCB0201_VM_LS_ELC_225_250_4</t>
  </si>
  <si>
    <t>E_VCB0201_VM_LS_ELC_250_250_4</t>
  </si>
  <si>
    <t>E_VCB0201_VM_LS_ELC_250_400_3</t>
  </si>
  <si>
    <t>E_VCB0201_VM_LS_ELC_300_400_3</t>
  </si>
  <si>
    <t>E_VCB0201_VM_LS_ELC_350_400_3</t>
  </si>
  <si>
    <t>E_VCB0201_VM_LS_ELC_400_400_3</t>
  </si>
  <si>
    <t>E_VCB0201_VM_LS_ELC_250_400_4</t>
  </si>
  <si>
    <t>E_VCB0201_VM_LS_ELC_300_400_4</t>
  </si>
  <si>
    <t>E_VCB0201_VM_LS_ELC_350_400_4</t>
  </si>
  <si>
    <t>E_VCB0201_VM_LS_ELC_400_400_4</t>
  </si>
  <si>
    <t>E_VCB0201_VM_LS_ELC_500_630_3</t>
  </si>
  <si>
    <t>E_VCB0201_VM_LS_ELC_600_630_3</t>
  </si>
  <si>
    <t>E_VCB0201_VM_LS_ELC_630_630_3</t>
  </si>
  <si>
    <t>E_VCB0201_VM_LS_ELC_500_630_4</t>
  </si>
  <si>
    <t>E_VCB0201_VM_LS_ELC_600_630_4</t>
  </si>
  <si>
    <t>E_VCB0201_VM_LS_ELC_630_630_4</t>
  </si>
  <si>
    <t>E_VCB0201_VM_LS_ELC_700_800_3</t>
  </si>
  <si>
    <t>E_VCB0201_VM_LS_ELC_800_800_3</t>
  </si>
  <si>
    <t>E_VCB0201_VM_LS_ELC_700_800_4</t>
  </si>
  <si>
    <t>E_VCB0201_VM_LS_ELC_800_800_4</t>
  </si>
  <si>
    <t>E_VCB0201_VM_LS_ELC_1000_1000_3</t>
  </si>
  <si>
    <t>E_VCB0218_VM_LS_ELC_1000_1000_4</t>
  </si>
  <si>
    <t>E_VCB0219_VM_LS_ELC_1200_1200_3</t>
  </si>
  <si>
    <t>E_VCB0220_VM_LS_ELC_1200_1200_4</t>
  </si>
  <si>
    <t>E_VCB0202_VM_LS_ELC_5_30_3</t>
  </si>
  <si>
    <t>E_VCB0202_VM_LS_ELC_10_30_3</t>
  </si>
  <si>
    <t>E_VCB0202_VM_LS_ELC_15_30_3</t>
  </si>
  <si>
    <t>E_VCB0202_VM_LS_ELC_16_30_3</t>
  </si>
  <si>
    <t>E_VCB0202_VM_LS_ELC_20_30_3</t>
  </si>
  <si>
    <t>E_VCB0202_VM_LS_ELC_25_30_3</t>
  </si>
  <si>
    <t>E_VCB0202_VM_LS_ELC_30_30_3</t>
  </si>
  <si>
    <t>E_VCB0202_VM_LS_ELC_5_30_4</t>
  </si>
  <si>
    <t>E_VCB0202_VM_LS_ELC_10_30_4</t>
  </si>
  <si>
    <t>E_VCB0202_VM_LS_ELC_15_30_4</t>
  </si>
  <si>
    <t>E_VCB0202_VM_LS_ELC_16_30_4</t>
  </si>
  <si>
    <t>E_VCB0202_VM_LS_ELC_25_30_4</t>
  </si>
  <si>
    <t>E_VCB0202_VM_LS_ELC_30_30_4</t>
  </si>
  <si>
    <t>E_VCB0202_VM_LS_ELC_15_50_3</t>
  </si>
  <si>
    <t>E_VCB0202_VM_LS_ELC_16_50_3</t>
  </si>
  <si>
    <t>E_VCB0202_VM_LS_ELC_20_50_3</t>
  </si>
  <si>
    <t>E_VCB0202_VM_LS_ELC_25_50_3</t>
  </si>
  <si>
    <t>E_VCB0202_VM_LS_ELC_30_50_3</t>
  </si>
  <si>
    <t>E_VCB0202_VM_LS_ELC_32_50_3</t>
  </si>
  <si>
    <t>E_VCB0202_VM_LS_ELC_40_50_3</t>
  </si>
  <si>
    <t>E_VCB0202_VM_LS_ELC_50_50_3</t>
  </si>
  <si>
    <t>E_VCB0202_VM_LS_ELC_15_50_4</t>
  </si>
  <si>
    <t>E_VCB0202_VM_LS_ELC_16_50_4</t>
  </si>
  <si>
    <t>E_VCB0202_VM_LS_ELC_20_50_4</t>
  </si>
  <si>
    <t>E_VCB0202_VM_LS_ELC_25_50_4</t>
  </si>
  <si>
    <t>E_VCB0202_VM_LS_ELC_30_50_4</t>
  </si>
  <si>
    <t>E_VCB0202_VM_LS_ELC_32_50_4</t>
  </si>
  <si>
    <t>E_VCB0202_VM_LS_ELC_40_50_4</t>
  </si>
  <si>
    <t>E_VCB0202_VM_LS_ELC_50_50_4</t>
  </si>
  <si>
    <t>E_VCB0202_VM_LS_ELC_60_60_3</t>
  </si>
  <si>
    <t>E_VCB0202_VM_LS_ELC_60_60_4</t>
  </si>
  <si>
    <t>E_VCB0202_VM_LS_ELC_15_125_3</t>
  </si>
  <si>
    <t>E_VCB0202_VM_LS_ELC_16_125_3</t>
  </si>
  <si>
    <t>E_VCB0202_VM_LS_ELC_20_125_3</t>
  </si>
  <si>
    <t>E_VCB0202_VM_LS_ELC_25_125_3</t>
  </si>
  <si>
    <t>E_VCB0202_VM_LS_ELC_30_125_3</t>
  </si>
  <si>
    <t>E_VCB0202_VM_LS_ELC_32_125_3</t>
  </si>
  <si>
    <t>E_VCB0202_VM_LS_ELC_40_125_3</t>
  </si>
  <si>
    <t>E_VCB0202_VM_LS_ELC_50_125_3</t>
  </si>
  <si>
    <t>E_VCB0202_VM_LS_ELC_60_125_3</t>
  </si>
  <si>
    <t>E_VCB0202_VM_LS_ELC_63_125_3</t>
  </si>
  <si>
    <t>E_VCB0202_VM_LS_ELC_75_125_3</t>
  </si>
  <si>
    <t>E_VCB0202_VM_LS_ELC_80_125_3</t>
  </si>
  <si>
    <t>E_VCB0202_VM_LS_ELC_100_125_3</t>
  </si>
  <si>
    <t>E_VCB0202_VM_LS_ELC_125_125_3</t>
  </si>
  <si>
    <t>E_VCB0202_VM_LS_ELC_15_125_4</t>
  </si>
  <si>
    <t>E_VCB0202_VM_LS_ELC_16_125_4</t>
  </si>
  <si>
    <t>E_VCB0202_VM_LS_ELC_20_125_4</t>
  </si>
  <si>
    <t>E_VCB0202_VM_LS_ELC_25_125_4</t>
  </si>
  <si>
    <t>E_VCB0202_VM_LS_ELC_30_125_4</t>
  </si>
  <si>
    <t>E_VCB0202_VM_LS_ELC_32_125_4</t>
  </si>
  <si>
    <t>E_VCB0202_VM_LS_ELC_40_125_4</t>
  </si>
  <si>
    <t>E_VCB0202_VM_LS_ELC_50_125_4</t>
  </si>
  <si>
    <t>E_VCB0202_VM_LS_ELC_60_125_4</t>
  </si>
  <si>
    <t>E_VCB0202_VM_LS_ELC_63_125_4</t>
  </si>
  <si>
    <t>E_VCB0202_VM_LS_ELC_75_125_4</t>
  </si>
  <si>
    <t>E_VCB0202_VM_LS_ELC_80_125_4</t>
  </si>
  <si>
    <t>E_VCB0202_VM_LS_ELC_100_125_4</t>
  </si>
  <si>
    <t>E_VCB0202_VM_LS_ELC_125_125_4</t>
  </si>
  <si>
    <t>E_VCB0202_VM_LS_ELC_100_250_3</t>
  </si>
  <si>
    <t>E_VCB0202_VM_LS_ELC_125_250_3</t>
  </si>
  <si>
    <t>E_VCB0202_VM_LS_ELC_150_250_3</t>
  </si>
  <si>
    <t>E_VCB0202_VM_LS_ELC_160_250_3</t>
  </si>
  <si>
    <t>E_VCB0202_VM_LS_ELC_175_250_3</t>
  </si>
  <si>
    <t>E_VCB0202_VM_LS_ELC_200_250_3</t>
  </si>
  <si>
    <t>E_VCB0202_VM_LS_ELC_225_250_3</t>
  </si>
  <si>
    <t>E_VCB0202_VM_LS_ELC_250_250_3</t>
  </si>
  <si>
    <t>E_VCB0202_VM_LS_ELC_100_250_4</t>
  </si>
  <si>
    <t>E_VCB0202_VM_LS_ELC_125_250_4</t>
  </si>
  <si>
    <t>E_VCB0202_VM_LS_ELC_150_250_4</t>
  </si>
  <si>
    <t>E_VCB0202_VM_LS_ELC_160_250_4</t>
  </si>
  <si>
    <t>E_VCB0202_VM_LS_ELC_175_250_4</t>
  </si>
  <si>
    <t>E_VCB0202_VM_LS_ELC_200_250_4</t>
  </si>
  <si>
    <t>E_VCB0202_VM_LS_ELC_225_250_4</t>
  </si>
  <si>
    <t>E_VCB0202_VM_LS_ELC_250_250_4</t>
  </si>
  <si>
    <t>E_VCB0202_VM_LS_ELC_250_400_3</t>
  </si>
  <si>
    <t>E_VCB0202_VM_LS_ELC_300_400_3</t>
  </si>
  <si>
    <t>E_VCB0202_VM_LS_ELC_350_400_3</t>
  </si>
  <si>
    <t>E_VCB0202_VM_LS_ELC_400_400_3</t>
  </si>
  <si>
    <t>E_VCB0202_VM_LS_ELC_250_400_4</t>
  </si>
  <si>
    <t>E_VCB0202_VM_LS_ELC_300_400_4</t>
  </si>
  <si>
    <t>E_VCB0202_VM_LS_ELC_350_400_4</t>
  </si>
  <si>
    <t>E_VCB0202_VM_LS_ELC_400_400_4</t>
  </si>
  <si>
    <t>E_VCB0202_VM_LS_ELC_500_630_3</t>
  </si>
  <si>
    <t>E_VCB0202_VM_LS_ELC_600_630_3</t>
  </si>
  <si>
    <t>E_VCB0202_VM_LS_ELC_700_800_3</t>
  </si>
  <si>
    <t>E_VCB0202_VM_LS_ELC_800_800_3</t>
  </si>
  <si>
    <t>ABS 30AF/5AT 3P</t>
  </si>
  <si>
    <t>ABS 30AF/10AT 3P</t>
  </si>
  <si>
    <t>ABS 30AF/15AT 3P</t>
  </si>
  <si>
    <t>ABS 30AF/16AT 3P</t>
  </si>
  <si>
    <t>ABS 30AF/25AT 3P</t>
  </si>
  <si>
    <t>ABS 30AF/30AT 3P</t>
  </si>
  <si>
    <t>ABS 30AF/3AT 4P</t>
  </si>
  <si>
    <t>ABS 30AF/5AT 4P</t>
  </si>
  <si>
    <t>ABS 30AF/10AT 4P</t>
  </si>
  <si>
    <t>ABS 30AF/15AT 4P</t>
  </si>
  <si>
    <t>ABS 30AF/16AT 4P</t>
  </si>
  <si>
    <t>ABS 30AF/20AT 4P</t>
  </si>
  <si>
    <t>ABS 30AF/25AT 4P</t>
  </si>
  <si>
    <t>ABS 30AF/30AT 4P</t>
  </si>
  <si>
    <t>ABS 50AF/15AT 3P</t>
  </si>
  <si>
    <t>ABS 50AF/16AT 3P</t>
  </si>
  <si>
    <t>ABS 50AF/20AT 3P</t>
  </si>
  <si>
    <t>ABS 50AF/25AT 3P</t>
  </si>
  <si>
    <t>ABS 50AF/30AT 3P</t>
  </si>
  <si>
    <t>ABS 50AF/32AT 3P</t>
  </si>
  <si>
    <t>ABS 50AF/40AT 3P</t>
  </si>
  <si>
    <t>ABS 50AF/50AT 3P</t>
  </si>
  <si>
    <t>ABS 50AF/15AT 4P</t>
  </si>
  <si>
    <t>ABS 50AF/16AT 4P</t>
  </si>
  <si>
    <t>ABS 50AF/20AT 4P</t>
  </si>
  <si>
    <t>ABS 50AF/25AT 4P</t>
  </si>
  <si>
    <t>ABS 50AF/30AT 4P</t>
  </si>
  <si>
    <t>ABS 50AF/32AT 4P</t>
  </si>
  <si>
    <t>ABS 50AF/40AT 4P</t>
  </si>
  <si>
    <t>ABS 50AF/50AT 4P</t>
  </si>
  <si>
    <t>ABS 60AF/15AT 3P</t>
  </si>
  <si>
    <t>ABS 60AF/16AT 3P</t>
  </si>
  <si>
    <t>ABS 60AF/20AT 3P</t>
  </si>
  <si>
    <t>ABS 60AF/25AT 3P</t>
  </si>
  <si>
    <t>ABS 60AF/30AT 3P</t>
  </si>
  <si>
    <t>ABS 60AF/32AT 3P</t>
  </si>
  <si>
    <t>ABS 60AF/40AT 3P</t>
  </si>
  <si>
    <t>ABS 60AF/50AT 3P</t>
  </si>
  <si>
    <t>ABS 60AF/60AT 3P</t>
  </si>
  <si>
    <t>ABS 60AF/15AT 4P</t>
  </si>
  <si>
    <t>ABS 60AF/16AT 4P</t>
  </si>
  <si>
    <t>ABS 60AF/20AT 4P</t>
  </si>
  <si>
    <t>ABS 60AF/25AT 4P</t>
  </si>
  <si>
    <t>ABS 60AF/30AT 4P</t>
  </si>
  <si>
    <t>ABS 60AF/32AT 4P</t>
  </si>
  <si>
    <t>ABS 60AF/40AT 4P</t>
  </si>
  <si>
    <t>ABS 60AF/50AT 4P</t>
  </si>
  <si>
    <t>ABS 60AF/60AT 4P</t>
  </si>
  <si>
    <t>ABS 125AF/15AT 3P</t>
  </si>
  <si>
    <t>ABS 125AF/16AT 3P</t>
  </si>
  <si>
    <t>ABS 125AF/20AT 3P</t>
  </si>
  <si>
    <t>ABS 125AF/25AT 3P</t>
  </si>
  <si>
    <t>ABS 125AF/30AT 3P</t>
  </si>
  <si>
    <t>ABS 125AF/32AT 3P</t>
  </si>
  <si>
    <t>ABS 125AF/40AT 3P</t>
  </si>
  <si>
    <t>ABS 125AF/50AT 3P</t>
  </si>
  <si>
    <t>ABS 125AF/60AT 3P</t>
  </si>
  <si>
    <t>ABS 125AF/63AT 3P</t>
  </si>
  <si>
    <t>ABS 125AF/75AT 3P</t>
  </si>
  <si>
    <t>ABS 125AF/80AT 3P</t>
  </si>
  <si>
    <t>ABS 125AF/100AT 3P</t>
  </si>
  <si>
    <t>ABS 125AF/125AT 3P</t>
  </si>
  <si>
    <t>ABS 125AF/15AT 4P</t>
  </si>
  <si>
    <t>ABS 125AF/16AT 4P</t>
  </si>
  <si>
    <t>ABS 125AF/20AT 4P</t>
  </si>
  <si>
    <t>ABS 125AF/25AT 4P</t>
  </si>
  <si>
    <t>ABS 125AF/30AT 4P</t>
  </si>
  <si>
    <t>ABS 125AF/32AT 4P</t>
  </si>
  <si>
    <t>ABS 125AF/40AT 4P</t>
  </si>
  <si>
    <t>ABS 125AF/50AT 4P</t>
  </si>
  <si>
    <t>ABS 125AF/60AT 4P</t>
  </si>
  <si>
    <t>ABS 125AF/63AT 4P</t>
  </si>
  <si>
    <t>ABS 125AF/80AT 4P</t>
  </si>
  <si>
    <t>ABS 125AF/125AT 4P</t>
  </si>
  <si>
    <t>ABS 250AF/125AT 3P</t>
  </si>
  <si>
    <t>ABS 250AF/150AT 3P</t>
  </si>
  <si>
    <t>ABS 250AF/160AT 3P</t>
  </si>
  <si>
    <t>ABS 250AF/175AT 3P</t>
  </si>
  <si>
    <t>ABS 250AF/200AT 3P</t>
  </si>
  <si>
    <t>ABS 250AF/225AT 3P</t>
  </si>
  <si>
    <t>ABS 250AF/250AT 3P</t>
  </si>
  <si>
    <t>ABS 250AF/100AT 4P</t>
  </si>
  <si>
    <t>ABS 250AF/125AT 4P</t>
  </si>
  <si>
    <t>ABS 250AF/150AT 4P</t>
  </si>
  <si>
    <t>ABS 250AF/160AT 4P</t>
  </si>
  <si>
    <t>ABS 250AF/175AT 4P</t>
  </si>
  <si>
    <t>ABS 250AF/200AT 4P</t>
  </si>
  <si>
    <t>ABS 250AF/225AT 4P</t>
  </si>
  <si>
    <t>ABS 250AF/250AT 4P</t>
  </si>
  <si>
    <t>ABS 400AF/250AT 3P</t>
  </si>
  <si>
    <t>ABS 400AF/300AT 3P</t>
  </si>
  <si>
    <t>ABS 400AF/350AT 3P</t>
  </si>
  <si>
    <t>ABS 400AF/400AT 3P</t>
  </si>
  <si>
    <t>ABS 400AF/250AT 4P</t>
  </si>
  <si>
    <t>ABS 400AF/300AT 4P</t>
  </si>
  <si>
    <t>ABS 400AF/350AT 4P</t>
  </si>
  <si>
    <t>ABS 400AF/400AT 4P</t>
  </si>
  <si>
    <t>ABS 630AF/500AT 3P</t>
  </si>
  <si>
    <t>ABS 630AF/600AT 3P</t>
  </si>
  <si>
    <t>ABS 630AF/630AT 3P</t>
  </si>
  <si>
    <t>ABS 630AF/500AT 4P</t>
  </si>
  <si>
    <t>ABS 630AF/600AT 4P</t>
  </si>
  <si>
    <t>ABS 630AF/630AT 4P</t>
  </si>
  <si>
    <t>ABS 800AF/700AT 3P</t>
  </si>
  <si>
    <t>ABS 800AF/800AT 3P</t>
  </si>
  <si>
    <t>ABS 800AF/700AT 4P</t>
  </si>
  <si>
    <t>ABS 800AF/800AT 4P</t>
  </si>
  <si>
    <t>ABS 1000AF/1000AT 3P</t>
  </si>
  <si>
    <t>ABS 1000AF/1000AT 4P</t>
  </si>
  <si>
    <t>ABS 1200AF/1200AT 3P</t>
  </si>
  <si>
    <t>ABS 1200AF/1200AT 4P</t>
  </si>
  <si>
    <t>EBS 30AF/5AT 3P</t>
  </si>
  <si>
    <t>EBS 30AF/10AT 3P</t>
  </si>
  <si>
    <t>EBS 30AF/15AT 3P</t>
  </si>
  <si>
    <t>EBS 30AF/16AT 3P</t>
  </si>
  <si>
    <t>EBS 30AF/20AT 3P</t>
  </si>
  <si>
    <t>EBS 30AF/25AT 3P</t>
  </si>
  <si>
    <t>EBS 30AF/30AT 3P</t>
  </si>
  <si>
    <t>EBS 30AF/5AT 4P</t>
  </si>
  <si>
    <t>EBS 30AF/10AT 4P</t>
  </si>
  <si>
    <t>EBS 30AF/15AT 4P</t>
  </si>
  <si>
    <t>EBS 30AF/16AT 4P</t>
  </si>
  <si>
    <t>EBS 30AF/25AT 4P</t>
  </si>
  <si>
    <t>EBS 30AF/30AT 4P</t>
  </si>
  <si>
    <t>EBS 50AF/15AT 3P</t>
  </si>
  <si>
    <t>EBS 50AF/16AT 3P</t>
  </si>
  <si>
    <t>EBS 50AF/20AT 3P</t>
  </si>
  <si>
    <t>EBS 50AF/25AT 3P</t>
  </si>
  <si>
    <t>EBS 50AF/30AT 3P</t>
  </si>
  <si>
    <t>EBS 50AF/32AT 3P</t>
  </si>
  <si>
    <t>EBS 50AF/40AT 3P</t>
  </si>
  <si>
    <t>EBS 50AF/50AT 3P</t>
  </si>
  <si>
    <t>EBS 50AF/15AT 4P</t>
  </si>
  <si>
    <t>EBS 50AF/16AT 4P</t>
  </si>
  <si>
    <t>EBS 50AF/20AT 4P</t>
  </si>
  <si>
    <t>EBS 50AF/25AT 4P</t>
  </si>
  <si>
    <t>EBS 50AF/30AT 4P</t>
  </si>
  <si>
    <t>EBS 50AF/32AT 4P</t>
  </si>
  <si>
    <t>EBS 50AF/40AT 4P</t>
  </si>
  <si>
    <t>EBS 50AF/50AT 4P</t>
  </si>
  <si>
    <t>EBS 60AF/60AT 3P</t>
  </si>
  <si>
    <t>EBS 60AF/60AT 4P</t>
  </si>
  <si>
    <t>EBS 125AF/15AT 3P</t>
  </si>
  <si>
    <t>EBS 125AF/16AT 3P</t>
  </si>
  <si>
    <t>EBS 125AF/20AT 3P</t>
  </si>
  <si>
    <t>EBS 125AF/25AT 3P</t>
  </si>
  <si>
    <t>EBS 125AF/30AT 3P</t>
  </si>
  <si>
    <t>EBS 125AF/32AT 3P</t>
  </si>
  <si>
    <t>EBS 125AF/40AT 3P</t>
  </si>
  <si>
    <t>EBS 125AF/50AT 3P</t>
  </si>
  <si>
    <t>EBS 125AF/60AT 3P</t>
  </si>
  <si>
    <t>EBS 125AF/63AT 3P</t>
  </si>
  <si>
    <t>EBS 125AF/75AT 3P</t>
  </si>
  <si>
    <t>EBS 125AF/80AT 3P</t>
  </si>
  <si>
    <t>EBS 125AF/100AT 3P</t>
  </si>
  <si>
    <t>EBS 125AF/125AT 3P</t>
  </si>
  <si>
    <t>EBS 125AF/15AT 4P</t>
  </si>
  <si>
    <t>EBS 125AF/16AT 4P</t>
  </si>
  <si>
    <t>EBS 125AF/20AT 4P</t>
  </si>
  <si>
    <t>EBS 125AF/25AT 4P</t>
  </si>
  <si>
    <t>EBS 125AF/30AT 4P</t>
  </si>
  <si>
    <t>EBS 125AF/32AT 4P</t>
  </si>
  <si>
    <t>EBS 125AF/40AT 4P</t>
  </si>
  <si>
    <t>EBS 125AF/50AT 4P</t>
  </si>
  <si>
    <t>EBS 125AF/60AT 4P</t>
  </si>
  <si>
    <t>EBS 125AF/63AT 4P</t>
  </si>
  <si>
    <t>EBS 125AF/75AT 4P</t>
  </si>
  <si>
    <t>EBS 125AF/80AT 4P</t>
  </si>
  <si>
    <t>EBS 125AF/100AT 4P</t>
  </si>
  <si>
    <t>EBS 125AF/125AT 4P</t>
  </si>
  <si>
    <t>EBS 250AF/100AT 3P</t>
  </si>
  <si>
    <t>EBS 250AF/125AT 3P</t>
  </si>
  <si>
    <t>EBS 250AF/150AT 3P</t>
  </si>
  <si>
    <t>EBS 250AF/160AT 3P</t>
  </si>
  <si>
    <t>EBS 250AF/175AT 3P</t>
  </si>
  <si>
    <t>EBS 250AF/200AT 3P</t>
  </si>
  <si>
    <t>EBS 250AF/225AT 3P</t>
  </si>
  <si>
    <t>EBS 250AF/250AT 3P</t>
  </si>
  <si>
    <t>EBS 250AF/100AT 4P</t>
  </si>
  <si>
    <t>EBS 250AF/125AT 4P</t>
  </si>
  <si>
    <t>EBS 250AF/150AT 4P</t>
  </si>
  <si>
    <t>EBS 250AF/160AT 4P</t>
  </si>
  <si>
    <t>EBS 250AF/175AT 4P</t>
  </si>
  <si>
    <t>EBS 250AF/200AT 4P</t>
  </si>
  <si>
    <t>EBS 250AF/225AT 4P</t>
  </si>
  <si>
    <t>EBS 250AF/250AT 4P</t>
  </si>
  <si>
    <t>EBS 400AF/250AT 3P</t>
  </si>
  <si>
    <t>EBS 400AF/300AT 3P</t>
  </si>
  <si>
    <t>EBS 400AF/350AT 3P</t>
  </si>
  <si>
    <t>EBS 400AF/400AT 3P</t>
  </si>
  <si>
    <t>EBS 400AF/250AT 4P</t>
  </si>
  <si>
    <t>EBS 400AF/300AT 4P</t>
  </si>
  <si>
    <t>EBS 400AF/350AT 4P</t>
  </si>
  <si>
    <t>EBS 400AF/400AT 4P</t>
  </si>
  <si>
    <t>EBS 630AF/500AT 3P</t>
  </si>
  <si>
    <t>EBS 630AF/600AT 3P</t>
  </si>
  <si>
    <t>EBS 800AF/700AT 3P</t>
  </si>
  <si>
    <t>EBS 800AF/800AT 3P</t>
  </si>
  <si>
    <t>E_VCB0201</t>
  </si>
  <si>
    <t>E_VCB0218</t>
  </si>
  <si>
    <t>E_VCB0219</t>
  </si>
  <si>
    <t>E_VCB0220</t>
  </si>
  <si>
    <t>E_VCB0202</t>
  </si>
  <si>
    <t>E_VCB0203</t>
  </si>
  <si>
    <t>호표201</t>
    <phoneticPr fontId="3" type="noConversion"/>
  </si>
  <si>
    <t>호표202</t>
    <phoneticPr fontId="3" type="noConversion"/>
  </si>
  <si>
    <t>호표203</t>
    <phoneticPr fontId="3" type="noConversion"/>
  </si>
  <si>
    <t>호표204</t>
    <phoneticPr fontId="3" type="noConversion"/>
  </si>
  <si>
    <t>호표205</t>
    <phoneticPr fontId="3" type="noConversion"/>
  </si>
  <si>
    <t>호표206</t>
    <phoneticPr fontId="3" type="noConversion"/>
  </si>
  <si>
    <t>호표207</t>
    <phoneticPr fontId="3" type="noConversion"/>
  </si>
  <si>
    <t>호표208</t>
    <phoneticPr fontId="3" type="noConversion"/>
  </si>
  <si>
    <t>호표209</t>
    <phoneticPr fontId="3" type="noConversion"/>
  </si>
  <si>
    <t>호표210</t>
    <phoneticPr fontId="3" type="noConversion"/>
  </si>
  <si>
    <t>호표211</t>
    <phoneticPr fontId="3" type="noConversion"/>
  </si>
  <si>
    <t>호표212</t>
    <phoneticPr fontId="3" type="noConversion"/>
  </si>
  <si>
    <t>호표213</t>
    <phoneticPr fontId="3" type="noConversion"/>
  </si>
  <si>
    <t>호표214</t>
    <phoneticPr fontId="3" type="noConversion"/>
  </si>
  <si>
    <t>호표215</t>
    <phoneticPr fontId="3" type="noConversion"/>
  </si>
  <si>
    <t>카탈로그 내부 내용</t>
    <phoneticPr fontId="3" type="noConversion"/>
  </si>
  <si>
    <t>예시 (카탈로그 내 현재 없는 정보)</t>
    <phoneticPr fontId="3" type="noConversion"/>
  </si>
  <si>
    <t>3D 산출 결과</t>
    <phoneticPr fontId="3" type="noConversion"/>
  </si>
  <si>
    <t>일위대가목록 (DB 저장 항목)</t>
    <phoneticPr fontId="3" type="noConversion"/>
  </si>
  <si>
    <t>모든 설치비 관련 내역</t>
    <phoneticPr fontId="3" type="noConversion"/>
  </si>
  <si>
    <t>중복되는 항목에 대해 수량 통합</t>
    <phoneticPr fontId="3" type="noConversion"/>
  </si>
  <si>
    <t>배관공사비 내역서</t>
    <phoneticPr fontId="3" type="noConversion"/>
  </si>
  <si>
    <t>총액</t>
    <phoneticPr fontId="3" type="noConversion"/>
  </si>
  <si>
    <t>Remark</t>
    <phoneticPr fontId="3" type="noConversion"/>
  </si>
  <si>
    <t>출처</t>
    <phoneticPr fontId="3" type="noConversion"/>
  </si>
  <si>
    <t>Unit Price(\)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</si>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</sst>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;\-#,##0;\-"/>
    <numFmt numFmtId="177" formatCode="#,##0.0;\-#,##0.0;\-"/>
    <numFmt numFmtId="178" formatCode="#,##0.00;\-#,##0.00;\-"/>
    <numFmt numFmtId="179" formatCode="#,##0.00000;\-#,##0.00000;\-"/>
    <numFmt numFmtId="180" formatCode="0.00000"/>
    <numFmt numFmtId="181" formatCode="0.0"/>
    <numFmt numFmtId="182" formatCode="0.0000"/>
    <numFmt numFmtId="185" formatCode="0.000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176" fontId="2" fillId="4" borderId="1" xfId="1" applyNumberFormat="1" applyFont="1" applyFill="1" applyBorder="1" applyAlignment="1">
      <alignment horizontal="left" vertical="center"/>
    </xf>
    <xf numFmtId="176" fontId="2" fillId="4" borderId="1" xfId="1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>
      <alignment vertical="center"/>
    </xf>
    <xf numFmtId="176" fontId="2" fillId="2" borderId="1" xfId="1" applyNumberFormat="1" applyFont="1" applyFill="1" applyBorder="1" applyAlignment="1">
      <alignment horizontal="left" vertical="center"/>
    </xf>
    <xf numFmtId="176" fontId="2" fillId="3" borderId="1" xfId="1" applyNumberFormat="1" applyFont="1" applyFill="1" applyBorder="1" applyAlignment="1">
      <alignment horizontal="center" vertical="center"/>
    </xf>
    <xf numFmtId="176" fontId="2" fillId="3" borderId="5" xfId="1" applyNumberFormat="1" applyFont="1" applyFill="1" applyBorder="1" applyAlignment="1">
      <alignment horizontal="center" vertical="center"/>
    </xf>
    <xf numFmtId="176" fontId="2" fillId="3" borderId="8" xfId="1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/>
    <xf numFmtId="176" fontId="2" fillId="3" borderId="1" xfId="1" applyNumberFormat="1" applyFont="1" applyFill="1" applyBorder="1">
      <alignment vertical="center"/>
    </xf>
    <xf numFmtId="176" fontId="2" fillId="2" borderId="1" xfId="1" applyNumberFormat="1" applyFont="1" applyFill="1" applyBorder="1" applyAlignment="1">
      <alignment horizontal="left" vertical="center" wrapText="1"/>
    </xf>
    <xf numFmtId="176" fontId="2" fillId="2" borderId="1" xfId="1" applyNumberFormat="1" applyFont="1" applyFill="1" applyBorder="1">
      <alignment vertical="center"/>
    </xf>
    <xf numFmtId="0" fontId="5" fillId="2" borderId="1" xfId="0" applyFont="1" applyFill="1" applyBorder="1" applyAlignment="1"/>
    <xf numFmtId="176" fontId="2" fillId="2" borderId="5" xfId="0" applyNumberFormat="1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0" fontId="2" fillId="4" borderId="1" xfId="0" applyFont="1" applyFill="1" applyBorder="1">
      <alignment vertical="center"/>
    </xf>
    <xf numFmtId="176" fontId="2" fillId="4" borderId="5" xfId="0" applyNumberFormat="1" applyFont="1" applyFill="1" applyBorder="1">
      <alignment vertical="center"/>
    </xf>
    <xf numFmtId="176" fontId="2" fillId="9" borderId="1" xfId="1" applyNumberFormat="1" applyFont="1" applyFill="1" applyBorder="1">
      <alignment vertical="center"/>
    </xf>
    <xf numFmtId="176" fontId="2" fillId="9" borderId="1" xfId="0" applyNumberFormat="1" applyFont="1" applyFill="1" applyBorder="1">
      <alignment vertical="center"/>
    </xf>
    <xf numFmtId="176" fontId="2" fillId="2" borderId="1" xfId="1" applyNumberFormat="1" applyFont="1" applyFill="1" applyBorder="1" applyAlignment="1">
      <alignment vertical="center" wrapText="1"/>
    </xf>
    <xf numFmtId="0" fontId="2" fillId="2" borderId="1" xfId="1" applyFont="1" applyFill="1" applyBorder="1">
      <alignment vertical="center"/>
    </xf>
    <xf numFmtId="176" fontId="2" fillId="3" borderId="1" xfId="1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/>
    <xf numFmtId="176" fontId="2" fillId="3" borderId="1" xfId="1" applyNumberFormat="1" applyFont="1" applyFill="1" applyBorder="1" applyAlignment="1">
      <alignment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5" xfId="0" applyNumberFormat="1" applyFont="1" applyFill="1" applyBorder="1">
      <alignment vertical="center"/>
    </xf>
    <xf numFmtId="0" fontId="2" fillId="3" borderId="5" xfId="1" applyFont="1" applyFill="1" applyBorder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/>
    <xf numFmtId="176" fontId="2" fillId="5" borderId="1" xfId="0" applyNumberFormat="1" applyFont="1" applyFill="1" applyBorder="1">
      <alignment vertical="center"/>
    </xf>
    <xf numFmtId="176" fontId="2" fillId="3" borderId="5" xfId="1" applyNumberFormat="1" applyFont="1" applyFill="1" applyBorder="1" applyAlignment="1">
      <alignment vertical="center" wrapText="1"/>
    </xf>
    <xf numFmtId="176" fontId="2" fillId="3" borderId="5" xfId="1" applyNumberFormat="1" applyFont="1" applyFill="1" applyBorder="1" applyAlignment="1">
      <alignment horizontal="left" vertical="center" wrapText="1"/>
    </xf>
    <xf numFmtId="176" fontId="2" fillId="5" borderId="10" xfId="0" applyNumberFormat="1" applyFont="1" applyFill="1" applyBorder="1">
      <alignment vertical="center"/>
    </xf>
    <xf numFmtId="0" fontId="2" fillId="3" borderId="10" xfId="1" applyFont="1" applyFill="1" applyBorder="1" applyAlignment="1">
      <alignment horizontal="center" vertical="center"/>
    </xf>
    <xf numFmtId="176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>
      <alignment vertical="center"/>
    </xf>
    <xf numFmtId="0" fontId="5" fillId="3" borderId="1" xfId="0" applyFont="1" applyFill="1" applyBorder="1" applyAlignment="1"/>
    <xf numFmtId="176" fontId="2" fillId="2" borderId="5" xfId="1" applyNumberFormat="1" applyFont="1" applyFill="1" applyBorder="1" applyAlignment="1">
      <alignment vertical="center" wrapText="1"/>
    </xf>
    <xf numFmtId="0" fontId="2" fillId="2" borderId="5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5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/>
    <xf numFmtId="0" fontId="2" fillId="4" borderId="1" xfId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/>
    <xf numFmtId="0" fontId="2" fillId="5" borderId="1" xfId="1" applyFont="1" applyFill="1" applyBorder="1" applyAlignment="1">
      <alignment horizontal="center" vertical="center"/>
    </xf>
    <xf numFmtId="0" fontId="5" fillId="0" borderId="0" xfId="0" applyFont="1" applyAlignment="1"/>
    <xf numFmtId="176" fontId="2" fillId="3" borderId="5" xfId="1" applyNumberFormat="1" applyFont="1" applyFill="1" applyBorder="1">
      <alignment vertical="center"/>
    </xf>
    <xf numFmtId="0" fontId="2" fillId="3" borderId="5" xfId="0" applyFont="1" applyFill="1" applyBorder="1">
      <alignment vertical="center"/>
    </xf>
    <xf numFmtId="176" fontId="2" fillId="9" borderId="1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2" borderId="5" xfId="1" applyNumberFormat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5" xfId="0" applyFont="1" applyFill="1" applyBorder="1">
      <alignment vertical="center"/>
    </xf>
    <xf numFmtId="176" fontId="2" fillId="2" borderId="11" xfId="1" applyNumberFormat="1" applyFont="1" applyFill="1" applyBorder="1" applyAlignment="1">
      <alignment vertical="center" wrapText="1"/>
    </xf>
    <xf numFmtId="0" fontId="2" fillId="2" borderId="12" xfId="1" applyFont="1" applyFill="1" applyBorder="1" applyAlignment="1">
      <alignment horizontal="left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0" applyFont="1" applyFill="1" applyBorder="1" applyAlignment="1"/>
    <xf numFmtId="176" fontId="2" fillId="2" borderId="6" xfId="1" applyNumberFormat="1" applyFont="1" applyFill="1" applyBorder="1">
      <alignment vertical="center"/>
    </xf>
    <xf numFmtId="0" fontId="2" fillId="2" borderId="7" xfId="0" applyFont="1" applyFill="1" applyBorder="1" applyAlignment="1"/>
    <xf numFmtId="176" fontId="2" fillId="2" borderId="6" xfId="1" applyNumberFormat="1" applyFont="1" applyFill="1" applyBorder="1" applyAlignment="1">
      <alignment vertical="center" wrapText="1"/>
    </xf>
    <xf numFmtId="176" fontId="2" fillId="2" borderId="14" xfId="1" applyNumberFormat="1" applyFont="1" applyFill="1" applyBorder="1" applyAlignment="1">
      <alignment vertical="center" wrapText="1"/>
    </xf>
    <xf numFmtId="176" fontId="2" fillId="2" borderId="15" xfId="1" applyNumberFormat="1" applyFont="1" applyFill="1" applyBorder="1" applyAlignment="1">
      <alignment horizontal="left" vertical="center" wrapText="1"/>
    </xf>
    <xf numFmtId="176" fontId="2" fillId="2" borderId="15" xfId="1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/>
    <xf numFmtId="176" fontId="2" fillId="2" borderId="2" xfId="1" applyNumberFormat="1" applyFont="1" applyFill="1" applyBorder="1" applyAlignment="1">
      <alignment vertical="center" wrapText="1"/>
    </xf>
    <xf numFmtId="176" fontId="2" fillId="2" borderId="3" xfId="1" applyNumberFormat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4" xfId="0" applyFont="1" applyFill="1" applyBorder="1" applyAlignment="1"/>
    <xf numFmtId="176" fontId="2" fillId="2" borderId="14" xfId="1" applyNumberFormat="1" applyFont="1" applyFill="1" applyBorder="1">
      <alignment vertical="center"/>
    </xf>
    <xf numFmtId="176" fontId="2" fillId="2" borderId="15" xfId="1" applyNumberFormat="1" applyFont="1" applyFill="1" applyBorder="1">
      <alignment vertical="center"/>
    </xf>
    <xf numFmtId="0" fontId="2" fillId="3" borderId="1" xfId="1" quotePrefix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76" fontId="2" fillId="2" borderId="2" xfId="0" applyNumberFormat="1" applyFont="1" applyFill="1" applyBorder="1">
      <alignment vertical="center"/>
    </xf>
    <xf numFmtId="176" fontId="2" fillId="2" borderId="3" xfId="0" applyNumberFormat="1" applyFont="1" applyFill="1" applyBorder="1">
      <alignment vertical="center"/>
    </xf>
    <xf numFmtId="176" fontId="2" fillId="2" borderId="3" xfId="0" applyNumberFormat="1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176" fontId="2" fillId="2" borderId="6" xfId="0" applyNumberFormat="1" applyFont="1" applyFill="1" applyBorder="1">
      <alignment vertical="center"/>
    </xf>
    <xf numFmtId="176" fontId="2" fillId="0" borderId="17" xfId="0" applyNumberFormat="1" applyFont="1" applyBorder="1">
      <alignment vertical="center"/>
    </xf>
    <xf numFmtId="0" fontId="2" fillId="0" borderId="18" xfId="0" applyFont="1" applyBorder="1">
      <alignment vertical="center"/>
    </xf>
    <xf numFmtId="0" fontId="5" fillId="2" borderId="7" xfId="0" applyFont="1" applyFill="1" applyBorder="1" applyAlignment="1"/>
    <xf numFmtId="176" fontId="2" fillId="4" borderId="6" xfId="0" applyNumberFormat="1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2" fillId="4" borderId="15" xfId="0" applyFont="1" applyFill="1" applyBorder="1">
      <alignment vertical="center"/>
    </xf>
    <xf numFmtId="0" fontId="2" fillId="4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/>
    <xf numFmtId="176" fontId="2" fillId="0" borderId="1" xfId="0" applyNumberFormat="1" applyFont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6" fillId="5" borderId="2" xfId="0" applyNumberFormat="1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5" borderId="4" xfId="0" applyNumberFormat="1" applyFont="1" applyFill="1" applyBorder="1" applyAlignment="1">
      <alignment horizontal="center" vertical="center"/>
    </xf>
    <xf numFmtId="176" fontId="6" fillId="0" borderId="19" xfId="0" applyNumberFormat="1" applyFont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6" fontId="6" fillId="5" borderId="7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2" fillId="2" borderId="8" xfId="1" applyNumberFormat="1" applyFont="1" applyFill="1" applyBorder="1" applyAlignment="1">
      <alignment horizontal="center" vertical="center"/>
    </xf>
    <xf numFmtId="176" fontId="2" fillId="4" borderId="8" xfId="1" applyNumberFormat="1" applyFont="1" applyFill="1" applyBorder="1" applyAlignment="1">
      <alignment horizontal="center" vertical="center"/>
    </xf>
    <xf numFmtId="0" fontId="5" fillId="2" borderId="21" xfId="0" applyFont="1" applyFill="1" applyBorder="1">
      <alignment vertical="center"/>
    </xf>
    <xf numFmtId="176" fontId="2" fillId="2" borderId="21" xfId="0" applyNumberFormat="1" applyFont="1" applyFill="1" applyBorder="1">
      <alignment vertical="center"/>
    </xf>
    <xf numFmtId="176" fontId="2" fillId="2" borderId="22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2" fillId="6" borderId="23" xfId="0" applyNumberFormat="1" applyFont="1" applyFill="1" applyBorder="1" applyAlignment="1">
      <alignment horizontal="center" vertical="center"/>
    </xf>
    <xf numFmtId="176" fontId="2" fillId="3" borderId="31" xfId="1" applyNumberFormat="1" applyFont="1" applyFill="1" applyBorder="1" applyAlignment="1">
      <alignment horizontal="center" vertical="center"/>
    </xf>
    <xf numFmtId="176" fontId="2" fillId="3" borderId="32" xfId="1" applyNumberFormat="1" applyFont="1" applyFill="1" applyBorder="1" applyAlignment="1">
      <alignment horizontal="center" vertical="center"/>
    </xf>
    <xf numFmtId="176" fontId="2" fillId="6" borderId="34" xfId="0" applyNumberFormat="1" applyFont="1" applyFill="1" applyBorder="1" applyAlignment="1">
      <alignment horizontal="center" vertical="center"/>
    </xf>
    <xf numFmtId="176" fontId="2" fillId="7" borderId="35" xfId="0" applyNumberFormat="1" applyFont="1" applyFill="1" applyBorder="1" applyAlignment="1">
      <alignment horizontal="center" vertical="center"/>
    </xf>
    <xf numFmtId="176" fontId="2" fillId="7" borderId="36" xfId="0" applyNumberFormat="1" applyFont="1" applyFill="1" applyBorder="1" applyAlignment="1">
      <alignment horizontal="center" vertical="center"/>
    </xf>
    <xf numFmtId="176" fontId="2" fillId="3" borderId="42" xfId="1" applyNumberFormat="1" applyFont="1" applyFill="1" applyBorder="1" applyAlignment="1">
      <alignment horizontal="center" vertical="center"/>
    </xf>
    <xf numFmtId="176" fontId="2" fillId="3" borderId="43" xfId="1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6" fontId="2" fillId="3" borderId="45" xfId="1" applyNumberFormat="1" applyFont="1" applyFill="1" applyBorder="1" applyAlignment="1">
      <alignment horizontal="center" vertical="center"/>
    </xf>
    <xf numFmtId="176" fontId="2" fillId="0" borderId="45" xfId="0" applyNumberFormat="1" applyFont="1" applyBorder="1" applyAlignment="1">
      <alignment horizontal="center" vertical="center"/>
    </xf>
    <xf numFmtId="178" fontId="2" fillId="0" borderId="45" xfId="0" applyNumberFormat="1" applyFont="1" applyBorder="1" applyAlignment="1">
      <alignment horizontal="center" vertical="center"/>
    </xf>
    <xf numFmtId="176" fontId="2" fillId="0" borderId="45" xfId="0" applyNumberFormat="1" applyFont="1" applyBorder="1">
      <alignment vertical="center"/>
    </xf>
    <xf numFmtId="176" fontId="2" fillId="15" borderId="45" xfId="0" applyNumberFormat="1" applyFont="1" applyFill="1" applyBorder="1" applyAlignment="1">
      <alignment horizontal="center" vertical="center"/>
    </xf>
    <xf numFmtId="176" fontId="2" fillId="16" borderId="45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17" borderId="45" xfId="1" applyNumberFormat="1" applyFont="1" applyFill="1" applyBorder="1" applyAlignment="1">
      <alignment horizontal="center" vertical="center"/>
    </xf>
    <xf numFmtId="0" fontId="2" fillId="17" borderId="45" xfId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176" fontId="2" fillId="0" borderId="0" xfId="1" applyNumberFormat="1" applyFont="1" applyAlignment="1">
      <alignment horizontal="center" vertical="center"/>
    </xf>
    <xf numFmtId="176" fontId="2" fillId="0" borderId="0" xfId="1" applyNumberFormat="1" applyFont="1" applyAlignment="1">
      <alignment horizontal="left" vertical="center"/>
    </xf>
    <xf numFmtId="176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/>
    </xf>
    <xf numFmtId="41" fontId="2" fillId="0" borderId="0" xfId="1" applyNumberFormat="1" applyFont="1" applyAlignment="1">
      <alignment horizontal="center" vertical="center"/>
    </xf>
    <xf numFmtId="41" fontId="2" fillId="0" borderId="0" xfId="2" applyFont="1" applyFill="1" applyBorder="1">
      <alignment vertical="center"/>
    </xf>
    <xf numFmtId="2" fontId="2" fillId="0" borderId="0" xfId="1" applyNumberFormat="1" applyFont="1" applyAlignment="1">
      <alignment horizontal="center" vertical="center"/>
    </xf>
    <xf numFmtId="41" fontId="2" fillId="0" borderId="0" xfId="0" applyNumberFormat="1" applyFont="1">
      <alignment vertical="center"/>
    </xf>
    <xf numFmtId="181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6" fontId="8" fillId="0" borderId="45" xfId="0" applyNumberFormat="1" applyFont="1" applyBorder="1" applyAlignment="1">
      <alignment horizontal="center" vertical="center"/>
    </xf>
    <xf numFmtId="176" fontId="8" fillId="9" borderId="0" xfId="0" applyNumberFormat="1" applyFont="1" applyFill="1" applyAlignment="1">
      <alignment horizontal="center" vertical="center"/>
    </xf>
    <xf numFmtId="176" fontId="8" fillId="12" borderId="9" xfId="0" applyNumberFormat="1" applyFont="1" applyFill="1" applyBorder="1" applyAlignment="1">
      <alignment horizontal="center" vertical="center"/>
    </xf>
    <xf numFmtId="176" fontId="8" fillId="13" borderId="9" xfId="0" applyNumberFormat="1" applyFont="1" applyFill="1" applyBorder="1" applyAlignment="1">
      <alignment horizontal="center" vertical="center"/>
    </xf>
    <xf numFmtId="176" fontId="8" fillId="14" borderId="0" xfId="0" applyNumberFormat="1" applyFont="1" applyFill="1" applyAlignment="1">
      <alignment horizontal="center" vertical="center"/>
    </xf>
    <xf numFmtId="176" fontId="2" fillId="6" borderId="28" xfId="0" applyNumberFormat="1" applyFont="1" applyFill="1" applyBorder="1" applyAlignment="1">
      <alignment horizontal="center" vertical="center"/>
    </xf>
    <xf numFmtId="176" fontId="2" fillId="6" borderId="29" xfId="0" applyNumberFormat="1" applyFont="1" applyFill="1" applyBorder="1" applyAlignment="1">
      <alignment horizontal="center" vertical="center"/>
    </xf>
    <xf numFmtId="176" fontId="2" fillId="6" borderId="30" xfId="0" applyNumberFormat="1" applyFont="1" applyFill="1" applyBorder="1" applyAlignment="1">
      <alignment horizontal="center" vertical="center"/>
    </xf>
    <xf numFmtId="176" fontId="2" fillId="7" borderId="35" xfId="0" applyNumberFormat="1" applyFont="1" applyFill="1" applyBorder="1" applyAlignment="1">
      <alignment horizontal="center" vertical="center"/>
    </xf>
    <xf numFmtId="176" fontId="2" fillId="7" borderId="41" xfId="0" applyNumberFormat="1" applyFont="1" applyFill="1" applyBorder="1" applyAlignment="1">
      <alignment horizontal="center" vertical="center"/>
    </xf>
    <xf numFmtId="176" fontId="2" fillId="7" borderId="36" xfId="0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/>
    </xf>
    <xf numFmtId="0" fontId="2" fillId="17" borderId="45" xfId="1" applyFont="1" applyFill="1" applyBorder="1" applyAlignment="1">
      <alignment horizontal="center" vertical="center"/>
    </xf>
    <xf numFmtId="176" fontId="9" fillId="17" borderId="45" xfId="1" applyNumberFormat="1" applyFont="1" applyFill="1" applyBorder="1" applyAlignment="1">
      <alignment horizontal="center" vertical="center"/>
    </xf>
    <xf numFmtId="176" fontId="2" fillId="17" borderId="45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0" borderId="24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0" fontId="2" fillId="0" borderId="33" xfId="0" applyNumberFormat="1" applyFont="1" applyBorder="1" applyAlignment="1">
      <alignment horizontal="center" vertical="center"/>
    </xf>
    <xf numFmtId="0" fontId="2" fillId="0" borderId="39" xfId="0" applyNumberFormat="1" applyFont="1" applyBorder="1" applyAlignment="1">
      <alignment horizontal="center" vertical="center"/>
    </xf>
    <xf numFmtId="0" fontId="2" fillId="0" borderId="40" xfId="0" applyNumberFormat="1" applyFont="1" applyBorder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2" fontId="2" fillId="0" borderId="38" xfId="0" applyNumberFormat="1" applyFont="1" applyBorder="1" applyAlignment="1">
      <alignment horizontal="center" vertical="center"/>
    </xf>
    <xf numFmtId="185" fontId="2" fillId="0" borderId="38" xfId="0" applyNumberFormat="1" applyFont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44" xfId="0" applyNumberFormat="1" applyFont="1" applyBorder="1" applyAlignment="1">
      <alignment horizontal="center" vertical="center"/>
    </xf>
    <xf numFmtId="185" fontId="2" fillId="0" borderId="25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</cellXfs>
  <cellStyles count="3">
    <cellStyle name="쉼표 [0] 2" xfId="2" xr:uid="{CC4028CF-B99F-426B-BD87-4EFA79FF2025}"/>
    <cellStyle name="표준" xfId="0" builtinId="0"/>
    <cellStyle name="표준 2 3" xfId="1" xr:uid="{4A2CC6F2-94F9-4185-89C2-56F81123A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739588</xdr:colOff>
      <xdr:row>0</xdr:row>
      <xdr:rowOff>168088</xdr:rowOff>
    </xdr:from>
    <xdr:to>
      <xdr:col>5</xdr:col>
      <xdr:colOff>537882</xdr:colOff>
      <xdr:row>1</xdr:row>
      <xdr:rowOff>22411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4D4AE6-3666-3EC9-BDFA-9FA885F8E01B}"/>
            </a:ext>
          </a:extLst>
        </xdr:cNvPr>
        <xdr:cNvSpPr/>
      </xdr:nvSpPr>
      <xdr:spPr>
        <a:xfrm>
          <a:off x="6521823" y="168088"/>
          <a:ext cx="3048000" cy="358588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/>
              </a:solidFill>
            </a:rPr>
            <a:t>기가재 내역서 내</a:t>
          </a:r>
          <a:r>
            <a:rPr lang="ko-KR" altLang="en-US" sz="1100" b="1" baseline="0">
              <a:solidFill>
                <a:schemeClr val="tx1"/>
              </a:solidFill>
            </a:rPr>
            <a:t> </a:t>
          </a:r>
          <a:r>
            <a:rPr lang="en-US" altLang="ko-KR" sz="1100" b="1" baseline="0">
              <a:solidFill>
                <a:schemeClr val="tx1"/>
              </a:solidFill>
            </a:rPr>
            <a:t>Item </a:t>
          </a:r>
          <a:r>
            <a:rPr lang="ko-KR" altLang="en-US" sz="1100" b="1" baseline="0">
              <a:solidFill>
                <a:schemeClr val="tx1"/>
              </a:solidFill>
            </a:rPr>
            <a:t>및 </a:t>
          </a:r>
          <a:r>
            <a:rPr lang="en-US" altLang="ko-KR" sz="1100" b="1" baseline="0">
              <a:solidFill>
                <a:schemeClr val="tx1"/>
              </a:solidFill>
            </a:rPr>
            <a:t>Specification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201703</xdr:colOff>
      <xdr:row>2</xdr:row>
      <xdr:rowOff>179294</xdr:rowOff>
    </xdr:from>
    <xdr:to>
      <xdr:col>7</xdr:col>
      <xdr:colOff>493056</xdr:colOff>
      <xdr:row>6</xdr:row>
      <xdr:rowOff>98758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8A512690-BFF9-2341-AFAF-87B3507EE2E4}"/>
            </a:ext>
          </a:extLst>
        </xdr:cNvPr>
        <xdr:cNvGrpSpPr/>
      </xdr:nvGrpSpPr>
      <xdr:grpSpPr>
        <a:xfrm>
          <a:off x="9233644" y="907676"/>
          <a:ext cx="2095500" cy="815935"/>
          <a:chOff x="9233644" y="907676"/>
          <a:chExt cx="2095500" cy="815935"/>
        </a:xfrm>
      </xdr:grpSpPr>
      <xdr:sp macro="" textlink="">
        <xdr:nvSpPr>
          <xdr:cNvPr id="3" name="화살표: 오른쪽 2">
            <a:extLst>
              <a:ext uri="{FF2B5EF4-FFF2-40B4-BE49-F238E27FC236}">
                <a16:creationId xmlns:a16="http://schemas.microsoft.com/office/drawing/2014/main" id="{2AF25A44-330E-64EF-BD74-F47D3320045B}"/>
              </a:ext>
            </a:extLst>
          </xdr:cNvPr>
          <xdr:cNvSpPr/>
        </xdr:nvSpPr>
        <xdr:spPr>
          <a:xfrm>
            <a:off x="9233644" y="907676"/>
            <a:ext cx="2095500" cy="815935"/>
          </a:xfrm>
          <a:prstGeom prst="rightArrow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62F525F-3A47-4C35-9C1C-ACFB5D8FA3A7}"/>
              </a:ext>
            </a:extLst>
          </xdr:cNvPr>
          <xdr:cNvSpPr/>
        </xdr:nvSpPr>
        <xdr:spPr>
          <a:xfrm>
            <a:off x="9318811" y="1138519"/>
            <a:ext cx="1831042" cy="35858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ko-KR" altLang="en-US" sz="1100" b="1">
                <a:solidFill>
                  <a:schemeClr val="tx1"/>
                </a:solidFill>
              </a:rPr>
              <a:t>제품별</a:t>
            </a:r>
            <a:r>
              <a:rPr lang="en-US" altLang="ko-KR" sz="1100" b="1">
                <a:solidFill>
                  <a:schemeClr val="tx1"/>
                </a:solidFill>
              </a:rPr>
              <a:t>(</a:t>
            </a:r>
            <a:r>
              <a:rPr lang="ko-KR" altLang="en-US" sz="1100" b="1">
                <a:solidFill>
                  <a:schemeClr val="tx1"/>
                </a:solidFill>
              </a:rPr>
              <a:t>코드</a:t>
            </a:r>
            <a:r>
              <a:rPr lang="en-US" altLang="ko-KR" sz="1100" b="1">
                <a:solidFill>
                  <a:schemeClr val="tx1"/>
                </a:solidFill>
              </a:rPr>
              <a:t>)</a:t>
            </a:r>
            <a:r>
              <a:rPr lang="ko-KR" altLang="en-US" sz="1100" b="1">
                <a:solidFill>
                  <a:schemeClr val="tx1"/>
                </a:solidFill>
              </a:rPr>
              <a:t> 호표 지정 가능</a:t>
            </a:r>
          </a:p>
        </xdr:txBody>
      </xdr:sp>
    </xdr:grpSp>
    <xdr:clientData/>
  </xdr:twoCellAnchor>
  <xdr:twoCellAnchor>
    <xdr:from>
      <xdr:col>2</xdr:col>
      <xdr:colOff>582632</xdr:colOff>
      <xdr:row>49</xdr:row>
      <xdr:rowOff>18010</xdr:rowOff>
    </xdr:from>
    <xdr:to>
      <xdr:col>27</xdr:col>
      <xdr:colOff>3423180</xdr:colOff>
      <xdr:row>51</xdr:row>
      <xdr:rowOff>118864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48EAFE9B-42B4-EF15-0D15-2C49FDA9009C}"/>
            </a:ext>
          </a:extLst>
        </xdr:cNvPr>
        <xdr:cNvSpPr/>
      </xdr:nvSpPr>
      <xdr:spPr>
        <a:xfrm rot="2885063">
          <a:off x="19696993" y="-2926263"/>
          <a:ext cx="549089" cy="28961460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829234</xdr:colOff>
      <xdr:row>18</xdr:row>
      <xdr:rowOff>112059</xdr:rowOff>
    </xdr:from>
    <xdr:to>
      <xdr:col>26</xdr:col>
      <xdr:colOff>481852</xdr:colOff>
      <xdr:row>20</xdr:row>
      <xdr:rowOff>22412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9B2927A-7748-4300-81FF-C92FEB97D14F}"/>
            </a:ext>
          </a:extLst>
        </xdr:cNvPr>
        <xdr:cNvSpPr/>
      </xdr:nvSpPr>
      <xdr:spPr>
        <a:xfrm>
          <a:off x="27891440" y="4426324"/>
          <a:ext cx="3048000" cy="358588"/>
        </a:xfrm>
        <a:prstGeom prst="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/>
              </a:solidFill>
            </a:rPr>
            <a:t>장비코드에 맞는 호표 검색 </a:t>
          </a:r>
          <a:r>
            <a:rPr lang="en-US" altLang="ko-KR" sz="1100" b="1">
              <a:solidFill>
                <a:schemeClr val="tx1"/>
              </a:solidFill>
            </a:rPr>
            <a:t>(</a:t>
          </a:r>
          <a:r>
            <a:rPr lang="ko-KR" altLang="en-US" sz="1100" b="1">
              <a:solidFill>
                <a:schemeClr val="tx1"/>
              </a:solidFill>
            </a:rPr>
            <a:t>설치 </a:t>
          </a:r>
          <a:r>
            <a:rPr lang="en-US" altLang="ko-KR" sz="1100" b="1">
              <a:solidFill>
                <a:schemeClr val="tx1"/>
              </a:solidFill>
            </a:rPr>
            <a:t>&amp;</a:t>
          </a:r>
          <a:r>
            <a:rPr lang="en-US" altLang="ko-KR" sz="1100" b="1" baseline="0">
              <a:solidFill>
                <a:schemeClr val="tx1"/>
              </a:solidFill>
            </a:rPr>
            <a:t> </a:t>
          </a:r>
          <a:r>
            <a:rPr lang="ko-KR" altLang="en-US" sz="1100" b="1" baseline="0">
              <a:solidFill>
                <a:schemeClr val="tx1"/>
              </a:solidFill>
            </a:rPr>
            <a:t>용접</a:t>
          </a:r>
          <a:r>
            <a:rPr lang="en-US" altLang="ko-KR" sz="1100" b="1" baseline="0">
              <a:solidFill>
                <a:schemeClr val="tx1"/>
              </a:solidFill>
            </a:rPr>
            <a:t>)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1682520</xdr:colOff>
      <xdr:row>30</xdr:row>
      <xdr:rowOff>210987</xdr:rowOff>
    </xdr:from>
    <xdr:to>
      <xdr:col>15</xdr:col>
      <xdr:colOff>2231609</xdr:colOff>
      <xdr:row>203</xdr:row>
      <xdr:rowOff>159498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1755E866-56C1-43D5-9733-8475DEFE3322}"/>
            </a:ext>
          </a:extLst>
        </xdr:cNvPr>
        <xdr:cNvSpPr/>
      </xdr:nvSpPr>
      <xdr:spPr>
        <a:xfrm rot="2069185">
          <a:off x="19611932" y="7214663"/>
          <a:ext cx="549089" cy="38720864"/>
        </a:xfrm>
        <a:prstGeom prst="downArrow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874058</xdr:colOff>
      <xdr:row>64</xdr:row>
      <xdr:rowOff>212912</xdr:rowOff>
    </xdr:from>
    <xdr:to>
      <xdr:col>26</xdr:col>
      <xdr:colOff>526676</xdr:colOff>
      <xdr:row>66</xdr:row>
      <xdr:rowOff>123264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8E20BAE-5262-4537-91D5-65D177CC3787}"/>
            </a:ext>
          </a:extLst>
        </xdr:cNvPr>
        <xdr:cNvSpPr/>
      </xdr:nvSpPr>
      <xdr:spPr>
        <a:xfrm>
          <a:off x="27936264" y="14836588"/>
          <a:ext cx="3048000" cy="358588"/>
        </a:xfrm>
        <a:prstGeom prst="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 b="1">
              <a:solidFill>
                <a:schemeClr val="tx1"/>
              </a:solidFill>
            </a:rPr>
            <a:t>장비코드에 맞는 호표 검색 </a:t>
          </a:r>
          <a:r>
            <a:rPr lang="en-US" altLang="ko-KR" sz="1100" b="1">
              <a:solidFill>
                <a:schemeClr val="tx1"/>
              </a:solidFill>
            </a:rPr>
            <a:t>(</a:t>
          </a:r>
          <a:r>
            <a:rPr lang="ko-KR" altLang="en-US" sz="1100" b="1">
              <a:solidFill>
                <a:schemeClr val="tx1"/>
              </a:solidFill>
            </a:rPr>
            <a:t>설치 </a:t>
          </a:r>
          <a:r>
            <a:rPr lang="en-US" altLang="ko-KR" sz="1100" b="1">
              <a:solidFill>
                <a:schemeClr val="tx1"/>
              </a:solidFill>
            </a:rPr>
            <a:t>&amp;</a:t>
          </a:r>
          <a:r>
            <a:rPr lang="en-US" altLang="ko-KR" sz="1100" b="1" baseline="0">
              <a:solidFill>
                <a:schemeClr val="tx1"/>
              </a:solidFill>
            </a:rPr>
            <a:t> </a:t>
          </a:r>
          <a:r>
            <a:rPr lang="ko-KR" altLang="en-US" sz="1100" b="1" baseline="0">
              <a:solidFill>
                <a:schemeClr val="tx1"/>
              </a:solidFill>
            </a:rPr>
            <a:t>용접</a:t>
          </a:r>
          <a:r>
            <a:rPr lang="en-US" altLang="ko-KR" sz="1100" b="1" baseline="0">
              <a:solidFill>
                <a:schemeClr val="tx1"/>
              </a:solidFill>
            </a:rPr>
            <a:t>)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235323</xdr:colOff>
      <xdr:row>17</xdr:row>
      <xdr:rowOff>145677</xdr:rowOff>
    </xdr:from>
    <xdr:to>
      <xdr:col>33</xdr:col>
      <xdr:colOff>448235</xdr:colOff>
      <xdr:row>20</xdr:row>
      <xdr:rowOff>56029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B57F279E-D513-2FA4-206C-1E268B4E5870}"/>
            </a:ext>
          </a:extLst>
        </xdr:cNvPr>
        <xdr:cNvSpPr/>
      </xdr:nvSpPr>
      <xdr:spPr>
        <a:xfrm>
          <a:off x="37013029" y="4235824"/>
          <a:ext cx="1580030" cy="582705"/>
        </a:xfrm>
        <a:prstGeom prst="rightArrow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197222</xdr:colOff>
      <xdr:row>20</xdr:row>
      <xdr:rowOff>163606</xdr:rowOff>
    </xdr:from>
    <xdr:to>
      <xdr:col>34</xdr:col>
      <xdr:colOff>510987</xdr:colOff>
      <xdr:row>27</xdr:row>
      <xdr:rowOff>212912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CA5BA78-0B23-484E-B5F9-A4F975FB7CFA}"/>
            </a:ext>
          </a:extLst>
        </xdr:cNvPr>
        <xdr:cNvSpPr/>
      </xdr:nvSpPr>
      <xdr:spPr>
        <a:xfrm>
          <a:off x="36291369" y="4926106"/>
          <a:ext cx="3048000" cy="161813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bg1"/>
              </a:solidFill>
            </a:rPr>
            <a:t>일위대가목록의 </a:t>
          </a:r>
          <a:r>
            <a:rPr lang="en-US" altLang="ko-KR" sz="1100" b="1">
              <a:solidFill>
                <a:schemeClr val="bg1"/>
              </a:solidFill>
            </a:rPr>
            <a:t>Item,</a:t>
          </a:r>
          <a:r>
            <a:rPr lang="en-US" altLang="ko-KR" sz="1100" b="1" baseline="0">
              <a:solidFill>
                <a:schemeClr val="bg1"/>
              </a:solidFill>
            </a:rPr>
            <a:t> Specification &amp; Unit</a:t>
          </a:r>
        </a:p>
        <a:p>
          <a:pPr algn="ctr"/>
          <a:r>
            <a:rPr lang="ko-KR" altLang="en-US" sz="1100" b="1" baseline="0">
              <a:solidFill>
                <a:schemeClr val="bg1"/>
              </a:solidFill>
            </a:rPr>
            <a:t>① 수량은 단중</a:t>
          </a:r>
          <a:r>
            <a:rPr lang="en-US" altLang="ko-KR" sz="1100" b="1" baseline="0">
              <a:solidFill>
                <a:schemeClr val="bg1"/>
              </a:solidFill>
            </a:rPr>
            <a:t>(</a:t>
          </a:r>
          <a:r>
            <a:rPr lang="ko-KR" altLang="en-US" sz="1100" b="1" baseline="0">
              <a:solidFill>
                <a:schemeClr val="bg1"/>
              </a:solidFill>
            </a:rPr>
            <a:t>요율</a:t>
          </a:r>
          <a:r>
            <a:rPr lang="en-US" altLang="ko-KR" sz="1100" b="1" baseline="0">
              <a:solidFill>
                <a:schemeClr val="bg1"/>
              </a:solidFill>
            </a:rPr>
            <a:t>)</a:t>
          </a:r>
          <a:r>
            <a:rPr lang="ko-KR" altLang="en-US" sz="1100" b="1" baseline="0">
              <a:solidFill>
                <a:schemeClr val="bg1"/>
              </a:solidFill>
            </a:rPr>
            <a:t>이 있을 경우</a:t>
          </a:r>
          <a:r>
            <a:rPr lang="en-US" altLang="ko-KR" sz="1100" b="1" baseline="0">
              <a:solidFill>
                <a:schemeClr val="bg1"/>
              </a:solidFill>
            </a:rPr>
            <a:t>, </a:t>
          </a:r>
        </a:p>
        <a:p>
          <a:pPr algn="ctr"/>
          <a:r>
            <a:rPr lang="ko-KR" altLang="en-US" sz="1100" b="1" baseline="0">
              <a:solidFill>
                <a:schemeClr val="bg1"/>
              </a:solidFill>
            </a:rPr>
            <a:t>기존수량</a:t>
          </a:r>
          <a:r>
            <a:rPr lang="en-US" altLang="ko-KR" sz="1100" b="1" baseline="0">
              <a:solidFill>
                <a:schemeClr val="bg1"/>
              </a:solidFill>
            </a:rPr>
            <a:t>(3D </a:t>
          </a:r>
          <a:r>
            <a:rPr lang="ko-KR" altLang="en-US" sz="1100" b="1" baseline="0">
              <a:solidFill>
                <a:schemeClr val="bg1"/>
              </a:solidFill>
            </a:rPr>
            <a:t>산출 결과</a:t>
          </a:r>
          <a:r>
            <a:rPr lang="en-US" altLang="ko-KR" sz="1100" b="1" baseline="0">
              <a:solidFill>
                <a:schemeClr val="bg1"/>
              </a:solidFill>
            </a:rPr>
            <a:t>)</a:t>
          </a:r>
          <a:r>
            <a:rPr lang="ko-KR" altLang="en-US" sz="1100" b="1" baseline="0">
              <a:solidFill>
                <a:schemeClr val="bg1"/>
              </a:solidFill>
            </a:rPr>
            <a:t> </a:t>
          </a:r>
          <a:r>
            <a:rPr lang="en-US" altLang="ko-KR" sz="1100" b="1" baseline="0">
              <a:solidFill>
                <a:schemeClr val="bg1"/>
              </a:solidFill>
            </a:rPr>
            <a:t>* </a:t>
          </a:r>
          <a:r>
            <a:rPr lang="ko-KR" altLang="en-US" sz="1100" b="1" baseline="0">
              <a:solidFill>
                <a:schemeClr val="bg1"/>
              </a:solidFill>
            </a:rPr>
            <a:t>단중</a:t>
          </a:r>
          <a:r>
            <a:rPr lang="en-US" altLang="ko-KR" sz="1100" b="1" baseline="0">
              <a:solidFill>
                <a:schemeClr val="bg1"/>
              </a:solidFill>
            </a:rPr>
            <a:t>(</a:t>
          </a:r>
          <a:r>
            <a:rPr lang="ko-KR" altLang="en-US" sz="1100" b="1" baseline="0">
              <a:solidFill>
                <a:schemeClr val="bg1"/>
              </a:solidFill>
            </a:rPr>
            <a:t>요율</a:t>
          </a:r>
          <a:r>
            <a:rPr lang="en-US" altLang="ko-KR" sz="1100" b="1" baseline="0">
              <a:solidFill>
                <a:schemeClr val="bg1"/>
              </a:solidFill>
            </a:rPr>
            <a:t>)</a:t>
          </a:r>
        </a:p>
        <a:p>
          <a:pPr algn="ctr"/>
          <a:endParaRPr lang="en-US" altLang="ko-KR" sz="1100" b="1" baseline="0">
            <a:solidFill>
              <a:schemeClr val="bg1"/>
            </a:solidFill>
          </a:endParaRPr>
        </a:p>
        <a:p>
          <a:pPr algn="ctr"/>
          <a:r>
            <a:rPr lang="ko-KR" altLang="en-US" sz="1100" b="1">
              <a:solidFill>
                <a:schemeClr val="bg1"/>
              </a:solidFill>
            </a:rPr>
            <a:t>② 수량은 단중</a:t>
          </a:r>
          <a:r>
            <a:rPr lang="en-US" altLang="ko-KR" sz="1100" b="1">
              <a:solidFill>
                <a:schemeClr val="bg1"/>
              </a:solidFill>
            </a:rPr>
            <a:t>(</a:t>
          </a:r>
          <a:r>
            <a:rPr lang="ko-KR" altLang="en-US" sz="1100" b="1">
              <a:solidFill>
                <a:schemeClr val="bg1"/>
              </a:solidFill>
            </a:rPr>
            <a:t>요율</a:t>
          </a:r>
          <a:r>
            <a:rPr lang="en-US" altLang="ko-KR" sz="1100" b="1">
              <a:solidFill>
                <a:schemeClr val="bg1"/>
              </a:solidFill>
            </a:rPr>
            <a:t>)</a:t>
          </a:r>
          <a:r>
            <a:rPr lang="ko-KR" altLang="en-US" sz="1100" b="1">
              <a:solidFill>
                <a:schemeClr val="bg1"/>
              </a:solidFill>
            </a:rPr>
            <a:t>이 없을 경우</a:t>
          </a:r>
          <a:r>
            <a:rPr lang="en-US" altLang="ko-KR" sz="1100" b="1">
              <a:solidFill>
                <a:schemeClr val="bg1"/>
              </a:solidFill>
            </a:rPr>
            <a:t>,</a:t>
          </a:r>
        </a:p>
        <a:p>
          <a:pPr algn="ctr"/>
          <a:r>
            <a:rPr lang="ko-KR" altLang="en-US" sz="1100" b="1">
              <a:solidFill>
                <a:schemeClr val="bg1"/>
              </a:solidFill>
            </a:rPr>
            <a:t>기존수량</a:t>
          </a:r>
          <a:r>
            <a:rPr lang="en-US" altLang="ko-KR" sz="1100" b="1">
              <a:solidFill>
                <a:schemeClr val="bg1"/>
              </a:solidFill>
            </a:rPr>
            <a:t>(3D </a:t>
          </a:r>
          <a:r>
            <a:rPr lang="ko-KR" altLang="en-US" sz="1100" b="1">
              <a:solidFill>
                <a:schemeClr val="bg1"/>
              </a:solidFill>
            </a:rPr>
            <a:t>산출 결과</a:t>
          </a:r>
          <a:r>
            <a:rPr lang="en-US" altLang="ko-KR" sz="1100" b="1">
              <a:solidFill>
                <a:schemeClr val="bg1"/>
              </a:solidFill>
            </a:rPr>
            <a:t>)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33</xdr:col>
      <xdr:colOff>264457</xdr:colOff>
      <xdr:row>31</xdr:row>
      <xdr:rowOff>29136</xdr:rowOff>
    </xdr:from>
    <xdr:to>
      <xdr:col>38</xdr:col>
      <xdr:colOff>593910</xdr:colOff>
      <xdr:row>33</xdr:row>
      <xdr:rowOff>163606</xdr:rowOff>
    </xdr:to>
    <xdr:sp macro="" textlink="">
      <xdr:nvSpPr>
        <xdr:cNvPr id="13" name="화살표: 오른쪽 12">
          <a:extLst>
            <a:ext uri="{FF2B5EF4-FFF2-40B4-BE49-F238E27FC236}">
              <a16:creationId xmlns:a16="http://schemas.microsoft.com/office/drawing/2014/main" id="{018FBDA8-28F1-4466-8F60-42B40FD2EBA2}"/>
            </a:ext>
          </a:extLst>
        </xdr:cNvPr>
        <xdr:cNvSpPr/>
      </xdr:nvSpPr>
      <xdr:spPr>
        <a:xfrm>
          <a:off x="38409281" y="7256930"/>
          <a:ext cx="4901453" cy="582705"/>
        </a:xfrm>
        <a:prstGeom prst="rightArrow">
          <a:avLst/>
        </a:prstGeom>
        <a:solidFill>
          <a:srgbClr val="0070C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607357</xdr:colOff>
      <xdr:row>24</xdr:row>
      <xdr:rowOff>145676</xdr:rowOff>
    </xdr:from>
    <xdr:to>
      <xdr:col>37</xdr:col>
      <xdr:colOff>450474</xdr:colOff>
      <xdr:row>31</xdr:row>
      <xdr:rowOff>51549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52E7F66-E47F-48D1-8494-B461A393B28D}"/>
            </a:ext>
          </a:extLst>
        </xdr:cNvPr>
        <xdr:cNvSpPr/>
      </xdr:nvSpPr>
      <xdr:spPr>
        <a:xfrm>
          <a:off x="39435739" y="5804647"/>
          <a:ext cx="3048000" cy="1474696"/>
        </a:xfrm>
        <a:prstGeom prst="rect">
          <a:avLst/>
        </a:prstGeom>
        <a:solidFill>
          <a:srgbClr val="0070C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bg1"/>
              </a:solidFill>
            </a:rPr>
            <a:t>일위대가목록의 </a:t>
          </a:r>
          <a:r>
            <a:rPr lang="en-US" altLang="ko-KR" sz="1100" b="1">
              <a:solidFill>
                <a:schemeClr val="bg1"/>
              </a:solidFill>
            </a:rPr>
            <a:t>Item,</a:t>
          </a:r>
          <a:r>
            <a:rPr lang="en-US" altLang="ko-KR" sz="1100" b="1" baseline="0">
              <a:solidFill>
                <a:schemeClr val="bg1"/>
              </a:solidFill>
            </a:rPr>
            <a:t> Specification &amp; Unit</a:t>
          </a:r>
        </a:p>
        <a:p>
          <a:pPr algn="ctr"/>
          <a:r>
            <a:rPr lang="ko-KR" altLang="en-US" sz="1100" b="1" baseline="0">
              <a:solidFill>
                <a:schemeClr val="bg1"/>
              </a:solidFill>
            </a:rPr>
            <a:t>① 수량은 단중</a:t>
          </a:r>
          <a:r>
            <a:rPr lang="en-US" altLang="ko-KR" sz="1100" b="1" baseline="0">
              <a:solidFill>
                <a:schemeClr val="bg1"/>
              </a:solidFill>
            </a:rPr>
            <a:t>(</a:t>
          </a:r>
          <a:r>
            <a:rPr lang="ko-KR" altLang="en-US" sz="1100" b="1" baseline="0">
              <a:solidFill>
                <a:schemeClr val="bg1"/>
              </a:solidFill>
            </a:rPr>
            <a:t>요율</a:t>
          </a:r>
          <a:r>
            <a:rPr lang="en-US" altLang="ko-KR" sz="1100" b="1" baseline="0">
              <a:solidFill>
                <a:schemeClr val="bg1"/>
              </a:solidFill>
            </a:rPr>
            <a:t>)</a:t>
          </a:r>
          <a:r>
            <a:rPr lang="ko-KR" altLang="en-US" sz="1100" b="1" baseline="0">
              <a:solidFill>
                <a:schemeClr val="bg1"/>
              </a:solidFill>
            </a:rPr>
            <a:t>이 있을 경우</a:t>
          </a:r>
          <a:r>
            <a:rPr lang="en-US" altLang="ko-KR" sz="1100" b="1" baseline="0">
              <a:solidFill>
                <a:schemeClr val="bg1"/>
              </a:solidFill>
            </a:rPr>
            <a:t>, </a:t>
          </a:r>
        </a:p>
        <a:p>
          <a:pPr algn="ctr"/>
          <a:r>
            <a:rPr lang="ko-KR" altLang="en-US" sz="1100" b="1" baseline="0">
              <a:solidFill>
                <a:schemeClr val="bg1"/>
              </a:solidFill>
            </a:rPr>
            <a:t>기존수량</a:t>
          </a:r>
          <a:r>
            <a:rPr lang="en-US" altLang="ko-KR" sz="1100" b="1" baseline="0">
              <a:solidFill>
                <a:schemeClr val="bg1"/>
              </a:solidFill>
            </a:rPr>
            <a:t>(3D </a:t>
          </a:r>
          <a:r>
            <a:rPr lang="ko-KR" altLang="en-US" sz="1100" b="1" baseline="0">
              <a:solidFill>
                <a:schemeClr val="bg1"/>
              </a:solidFill>
            </a:rPr>
            <a:t>산출 결과</a:t>
          </a:r>
          <a:r>
            <a:rPr lang="en-US" altLang="ko-KR" sz="1100" b="1" baseline="0">
              <a:solidFill>
                <a:schemeClr val="bg1"/>
              </a:solidFill>
            </a:rPr>
            <a:t>)</a:t>
          </a:r>
          <a:r>
            <a:rPr lang="ko-KR" altLang="en-US" sz="1100" b="1" baseline="0">
              <a:solidFill>
                <a:schemeClr val="bg1"/>
              </a:solidFill>
            </a:rPr>
            <a:t> </a:t>
          </a:r>
          <a:r>
            <a:rPr lang="en-US" altLang="ko-KR" sz="1100" b="1" baseline="0">
              <a:solidFill>
                <a:schemeClr val="bg1"/>
              </a:solidFill>
            </a:rPr>
            <a:t>* </a:t>
          </a:r>
          <a:r>
            <a:rPr lang="ko-KR" altLang="en-US" sz="1100" b="1" baseline="0">
              <a:solidFill>
                <a:schemeClr val="bg1"/>
              </a:solidFill>
            </a:rPr>
            <a:t>단중</a:t>
          </a:r>
          <a:r>
            <a:rPr lang="en-US" altLang="ko-KR" sz="1100" b="1" baseline="0">
              <a:solidFill>
                <a:schemeClr val="bg1"/>
              </a:solidFill>
            </a:rPr>
            <a:t>(</a:t>
          </a:r>
          <a:r>
            <a:rPr lang="ko-KR" altLang="en-US" sz="1100" b="1" baseline="0">
              <a:solidFill>
                <a:schemeClr val="bg1"/>
              </a:solidFill>
            </a:rPr>
            <a:t>요율</a:t>
          </a:r>
          <a:r>
            <a:rPr lang="en-US" altLang="ko-KR" sz="1100" b="1" baseline="0">
              <a:solidFill>
                <a:schemeClr val="bg1"/>
              </a:solidFill>
            </a:rPr>
            <a:t>)</a:t>
          </a:r>
        </a:p>
        <a:p>
          <a:pPr algn="ctr"/>
          <a:endParaRPr lang="en-US" altLang="ko-KR" sz="1100" b="1" baseline="0">
            <a:solidFill>
              <a:schemeClr val="bg1"/>
            </a:solidFill>
          </a:endParaRPr>
        </a:p>
        <a:p>
          <a:pPr algn="ctr"/>
          <a:r>
            <a:rPr lang="ko-KR" altLang="en-US" sz="1100" b="1">
              <a:solidFill>
                <a:schemeClr val="bg1"/>
              </a:solidFill>
            </a:rPr>
            <a:t>② 수량은 단중</a:t>
          </a:r>
          <a:r>
            <a:rPr lang="en-US" altLang="ko-KR" sz="1100" b="1">
              <a:solidFill>
                <a:schemeClr val="bg1"/>
              </a:solidFill>
            </a:rPr>
            <a:t>(</a:t>
          </a:r>
          <a:r>
            <a:rPr lang="ko-KR" altLang="en-US" sz="1100" b="1">
              <a:solidFill>
                <a:schemeClr val="bg1"/>
              </a:solidFill>
            </a:rPr>
            <a:t>요율</a:t>
          </a:r>
          <a:r>
            <a:rPr lang="en-US" altLang="ko-KR" sz="1100" b="1">
              <a:solidFill>
                <a:schemeClr val="bg1"/>
              </a:solidFill>
            </a:rPr>
            <a:t>)</a:t>
          </a:r>
          <a:r>
            <a:rPr lang="ko-KR" altLang="en-US" sz="1100" b="1">
              <a:solidFill>
                <a:schemeClr val="bg1"/>
              </a:solidFill>
            </a:rPr>
            <a:t>이 없을 경우</a:t>
          </a:r>
          <a:r>
            <a:rPr lang="en-US" altLang="ko-KR" sz="1100" b="1">
              <a:solidFill>
                <a:schemeClr val="bg1"/>
              </a:solidFill>
            </a:rPr>
            <a:t>,</a:t>
          </a:r>
        </a:p>
        <a:p>
          <a:pPr algn="ctr"/>
          <a:r>
            <a:rPr lang="ko-KR" altLang="en-US" sz="1100" b="1">
              <a:solidFill>
                <a:schemeClr val="bg1"/>
              </a:solidFill>
            </a:rPr>
            <a:t>기존수량</a:t>
          </a:r>
          <a:r>
            <a:rPr lang="en-US" altLang="ko-KR" sz="1100" b="1">
              <a:solidFill>
                <a:schemeClr val="bg1"/>
              </a:solidFill>
            </a:rPr>
            <a:t>(3D </a:t>
          </a:r>
          <a:r>
            <a:rPr lang="ko-KR" altLang="en-US" sz="1100" b="1">
              <a:solidFill>
                <a:schemeClr val="bg1"/>
              </a:solidFill>
            </a:rPr>
            <a:t>산출 결과</a:t>
          </a:r>
          <a:r>
            <a:rPr lang="en-US" altLang="ko-KR" sz="1100" b="1">
              <a:solidFill>
                <a:schemeClr val="bg1"/>
              </a:solidFill>
            </a:rPr>
            <a:t>)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1429870</xdr:colOff>
      <xdr:row>6</xdr:row>
      <xdr:rowOff>186018</xdr:rowOff>
    </xdr:from>
    <xdr:to>
      <xdr:col>8</xdr:col>
      <xdr:colOff>174811</xdr:colOff>
      <xdr:row>14</xdr:row>
      <xdr:rowOff>123265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A404DE68-FD01-4732-B6F0-5566EC25FC22}"/>
            </a:ext>
          </a:extLst>
        </xdr:cNvPr>
        <xdr:cNvSpPr/>
      </xdr:nvSpPr>
      <xdr:spPr>
        <a:xfrm>
          <a:off x="8646458" y="1810871"/>
          <a:ext cx="3048000" cy="1730188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chemeClr val="tx1"/>
              </a:solidFill>
            </a:rPr>
            <a:t>호표 지정은 기계</a:t>
          </a:r>
          <a:r>
            <a:rPr lang="en-US" altLang="ko-KR" sz="1100" b="1">
              <a:solidFill>
                <a:schemeClr val="tx1"/>
              </a:solidFill>
            </a:rPr>
            <a:t>/</a:t>
          </a:r>
          <a:r>
            <a:rPr lang="ko-KR" altLang="en-US" sz="1100" b="1">
              <a:solidFill>
                <a:schemeClr val="tx1"/>
              </a:solidFill>
            </a:rPr>
            <a:t>배관</a:t>
          </a:r>
          <a:r>
            <a:rPr lang="en-US" altLang="ko-KR" sz="1100" b="1">
              <a:solidFill>
                <a:schemeClr val="tx1"/>
              </a:solidFill>
            </a:rPr>
            <a:t>/</a:t>
          </a:r>
          <a:r>
            <a:rPr lang="ko-KR" altLang="en-US" sz="1100" b="1">
              <a:solidFill>
                <a:schemeClr val="tx1"/>
              </a:solidFill>
            </a:rPr>
            <a:t>전기 동일하게 가능</a:t>
          </a:r>
          <a:endParaRPr lang="en-US" altLang="ko-KR" sz="1100" b="1">
            <a:solidFill>
              <a:schemeClr val="tx1"/>
            </a:solidFill>
          </a:endParaRPr>
        </a:p>
        <a:p>
          <a:pPr algn="ctr"/>
          <a:endParaRPr lang="en-US" altLang="ko-KR" sz="1100" b="1">
            <a:solidFill>
              <a:schemeClr val="tx1"/>
            </a:solidFill>
          </a:endParaRPr>
        </a:p>
        <a:p>
          <a:pPr algn="ctr"/>
          <a:r>
            <a:rPr lang="ko-KR" altLang="en-US" sz="1100" b="1">
              <a:solidFill>
                <a:schemeClr val="tx1"/>
              </a:solidFill>
            </a:rPr>
            <a:t>단</a:t>
          </a:r>
          <a:r>
            <a:rPr lang="en-US" altLang="ko-KR" sz="1100" b="1">
              <a:solidFill>
                <a:schemeClr val="tx1"/>
              </a:solidFill>
            </a:rPr>
            <a:t>, </a:t>
          </a:r>
          <a:r>
            <a:rPr lang="ko-KR" altLang="en-US" sz="1100" b="1">
              <a:solidFill>
                <a:schemeClr val="tx1"/>
              </a:solidFill>
            </a:rPr>
            <a:t>전기</a:t>
          </a:r>
          <a:r>
            <a:rPr lang="en-US" altLang="ko-KR" sz="1100" b="1">
              <a:solidFill>
                <a:schemeClr val="tx1"/>
              </a:solidFill>
            </a:rPr>
            <a:t>/</a:t>
          </a:r>
          <a:r>
            <a:rPr lang="ko-KR" altLang="en-US" sz="1100" b="1">
              <a:solidFill>
                <a:schemeClr val="tx1"/>
              </a:solidFill>
            </a:rPr>
            <a:t>기계의 경우 요율</a:t>
          </a:r>
          <a:r>
            <a:rPr lang="ko-KR" altLang="en-US" sz="1100" b="1" baseline="0">
              <a:solidFill>
                <a:schemeClr val="tx1"/>
              </a:solidFill>
            </a:rPr>
            <a:t> 없음</a:t>
          </a:r>
          <a:endParaRPr lang="en-US" altLang="ko-KR" sz="1100" b="1" baseline="0">
            <a:solidFill>
              <a:schemeClr val="tx1"/>
            </a:solidFill>
          </a:endParaRPr>
        </a:p>
        <a:p>
          <a:pPr algn="ctr"/>
          <a:endParaRPr lang="en-US" altLang="ko-KR" sz="1100" b="1" baseline="0">
            <a:solidFill>
              <a:schemeClr val="tx1"/>
            </a:solidFill>
          </a:endParaRPr>
        </a:p>
        <a:p>
          <a:pPr algn="ctr"/>
          <a:r>
            <a:rPr lang="en-US" altLang="ko-KR" sz="1100" b="1" baseline="0">
              <a:solidFill>
                <a:schemeClr val="tx1"/>
              </a:solidFill>
            </a:rPr>
            <a:t>※ </a:t>
          </a:r>
          <a:r>
            <a:rPr lang="ko-KR" altLang="en-US" sz="1100" b="1" baseline="0">
              <a:solidFill>
                <a:schemeClr val="tx1"/>
              </a:solidFill>
            </a:rPr>
            <a:t>기계</a:t>
          </a:r>
          <a:r>
            <a:rPr lang="en-US" altLang="ko-KR" sz="1100" b="1" baseline="0">
              <a:solidFill>
                <a:schemeClr val="tx1"/>
              </a:solidFill>
            </a:rPr>
            <a:t>, </a:t>
          </a:r>
          <a:r>
            <a:rPr lang="ko-KR" altLang="en-US" sz="1100" b="1" baseline="0">
              <a:solidFill>
                <a:schemeClr val="tx1"/>
              </a:solidFill>
            </a:rPr>
            <a:t>배관</a:t>
          </a:r>
          <a:r>
            <a:rPr lang="en-US" altLang="ko-KR" sz="1100" b="1" baseline="0">
              <a:solidFill>
                <a:schemeClr val="tx1"/>
              </a:solidFill>
            </a:rPr>
            <a:t> </a:t>
          </a:r>
          <a:r>
            <a:rPr lang="ko-KR" altLang="en-US" sz="1100" b="1" baseline="0">
              <a:solidFill>
                <a:schemeClr val="tx1"/>
              </a:solidFill>
            </a:rPr>
            <a:t>및 전기의 호표는 다 다름</a:t>
          </a:r>
          <a:endParaRPr lang="en-US" altLang="ko-KR" sz="1100" b="1" baseline="0">
            <a:solidFill>
              <a:schemeClr val="tx1"/>
            </a:solidFill>
          </a:endParaRPr>
        </a:p>
        <a:p>
          <a:pPr algn="ctr"/>
          <a:r>
            <a:rPr lang="en-US" altLang="ko-KR" sz="1100" b="1" baseline="0">
              <a:solidFill>
                <a:schemeClr val="tx1"/>
              </a:solidFill>
            </a:rPr>
            <a:t>(</a:t>
          </a:r>
          <a:r>
            <a:rPr lang="ko-KR" altLang="en-US" sz="1100" b="1" baseline="0">
              <a:solidFill>
                <a:schemeClr val="tx1"/>
              </a:solidFill>
            </a:rPr>
            <a:t>양식은 동일함</a:t>
          </a:r>
          <a:r>
            <a:rPr lang="en-US" altLang="ko-KR" sz="1100" b="1" baseline="0">
              <a:solidFill>
                <a:schemeClr val="tx1"/>
              </a:solidFill>
            </a:rPr>
            <a:t>)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A18E-59BA-43E2-9741-BE73B6BABA6D}">
  <sheetPr>
    <tabColor rgb="FF0070C0"/>
  </sheetPr>
  <dimension ref="A1:BB610"/>
  <sheetViews>
    <sheetView showZeros="0" tabSelected="1" topLeftCell="X9" zoomScale="85" zoomScaleNormal="85" workbookViewId="0">
      <selection activeCell="AO28" sqref="AO28"/>
    </sheetView>
  </sheetViews>
  <sheetFormatPr defaultColWidth="9" defaultRowHeight="18" customHeight="1" x14ac:dyDescent="0.3"/>
  <cols>
    <col min="1" max="1" width="49.5" style="11" bestFit="1" customWidth="1"/>
    <col min="2" max="2" width="14.875" style="11" bestFit="1" customWidth="1"/>
    <col min="3" max="3" width="11.5" style="11" customWidth="1"/>
    <col min="4" max="4" width="18.875" style="11" bestFit="1" customWidth="1"/>
    <col min="5" max="5" width="23.75" style="11" bestFit="1" customWidth="1"/>
    <col min="6" max="6" width="11.375" style="11" bestFit="1" customWidth="1"/>
    <col min="7" max="7" width="12.375" style="11" bestFit="1" customWidth="1"/>
    <col min="8" max="8" width="9" style="11" customWidth="1"/>
    <col min="9" max="12" width="9" style="11"/>
    <col min="13" max="13" width="9" style="1" customWidth="1"/>
    <col min="14" max="14" width="8.625" style="11" customWidth="1"/>
    <col min="15" max="16" width="30.625" style="1" customWidth="1"/>
    <col min="17" max="18" width="8.625" style="11" customWidth="1"/>
    <col min="19" max="21" width="14.125" style="1" customWidth="1"/>
    <col min="22" max="22" width="20.625" style="1" customWidth="1"/>
    <col min="23" max="23" width="9" style="1"/>
    <col min="24" max="24" width="18.875" style="1" bestFit="1" customWidth="1"/>
    <col min="25" max="25" width="21.125" style="1" bestFit="1" customWidth="1"/>
    <col min="26" max="26" width="4.625" style="1" bestFit="1" customWidth="1"/>
    <col min="27" max="27" width="7.5" style="1" bestFit="1" customWidth="1"/>
    <col min="28" max="28" width="48.5" style="1" bestFit="1" customWidth="1"/>
    <col min="29" max="34" width="9" style="1"/>
    <col min="35" max="35" width="21.75" style="1" bestFit="1" customWidth="1"/>
    <col min="36" max="36" width="11.375" style="1" bestFit="1" customWidth="1"/>
    <col min="37" max="39" width="9" style="1"/>
    <col min="40" max="40" width="21.625" style="1" customWidth="1"/>
    <col min="41" max="41" width="10.125" style="1" bestFit="1" customWidth="1"/>
    <col min="42" max="45" width="9" style="1"/>
    <col min="46" max="46" width="23.5" style="11" bestFit="1" customWidth="1"/>
    <col min="47" max="47" width="11.375" style="11" bestFit="1" customWidth="1"/>
    <col min="48" max="49" width="9" style="11"/>
    <col min="50" max="50" width="9" style="1"/>
    <col min="51" max="51" width="23.5" style="1" bestFit="1" customWidth="1"/>
    <col min="52" max="16384" width="9" style="1"/>
  </cols>
  <sheetData>
    <row r="1" spans="1:54" ht="39.75" customHeight="1" thickBot="1" x14ac:dyDescent="0.35">
      <c r="A1" s="185" t="s">
        <v>2932</v>
      </c>
      <c r="B1" s="185"/>
      <c r="C1" s="185"/>
      <c r="D1" s="185"/>
      <c r="E1" s="185"/>
      <c r="F1" s="185"/>
      <c r="G1" s="185"/>
      <c r="I1" s="186" t="s">
        <v>2933</v>
      </c>
      <c r="J1" s="186"/>
      <c r="K1" s="186"/>
      <c r="L1" s="186"/>
      <c r="N1" s="187" t="s">
        <v>2935</v>
      </c>
      <c r="O1" s="187"/>
      <c r="P1" s="187"/>
      <c r="Q1" s="187"/>
      <c r="R1" s="187"/>
      <c r="S1" s="187"/>
      <c r="T1" s="187"/>
      <c r="U1" s="187"/>
      <c r="V1" s="187"/>
      <c r="X1" s="188" t="s">
        <v>2934</v>
      </c>
      <c r="Y1" s="188"/>
      <c r="Z1" s="188"/>
      <c r="AA1" s="188"/>
      <c r="AB1" s="188"/>
    </row>
    <row r="2" spans="1:54" ht="18" customHeight="1" thickBot="1" x14ac:dyDescent="0.35">
      <c r="A2" s="136" t="s">
        <v>723</v>
      </c>
      <c r="B2" s="137" t="s">
        <v>719</v>
      </c>
      <c r="C2" s="138" t="s">
        <v>717</v>
      </c>
      <c r="D2" s="139" t="s">
        <v>715</v>
      </c>
      <c r="E2" s="140" t="s">
        <v>716</v>
      </c>
      <c r="F2" s="141" t="s">
        <v>722</v>
      </c>
      <c r="G2" s="136" t="s">
        <v>721</v>
      </c>
      <c r="I2" s="151" t="s">
        <v>933</v>
      </c>
      <c r="J2" s="151" t="s">
        <v>1529</v>
      </c>
      <c r="K2" s="152" t="s">
        <v>934</v>
      </c>
      <c r="L2" s="152" t="s">
        <v>1528</v>
      </c>
      <c r="N2" s="195" t="s">
        <v>245</v>
      </c>
      <c r="O2" s="195"/>
      <c r="P2" s="195"/>
      <c r="Q2" s="195"/>
      <c r="R2" s="195"/>
      <c r="S2" s="195"/>
      <c r="T2" s="195"/>
      <c r="U2" s="195"/>
      <c r="V2" s="195"/>
      <c r="X2" s="196" t="s">
        <v>0</v>
      </c>
      <c r="Y2" s="196" t="s">
        <v>1</v>
      </c>
      <c r="Z2" s="196" t="s">
        <v>2</v>
      </c>
      <c r="AA2" s="197" t="s">
        <v>3</v>
      </c>
      <c r="AB2" s="198" t="s">
        <v>7</v>
      </c>
      <c r="AI2" s="189" t="s">
        <v>933</v>
      </c>
      <c r="AJ2" s="190"/>
      <c r="AK2" s="190"/>
      <c r="AL2" s="191"/>
      <c r="AN2" s="192" t="s">
        <v>934</v>
      </c>
      <c r="AO2" s="193"/>
      <c r="AP2" s="193"/>
      <c r="AQ2" s="194"/>
      <c r="AT2" s="184" t="s">
        <v>2936</v>
      </c>
      <c r="AU2" s="184"/>
      <c r="AV2" s="184"/>
      <c r="AW2" s="184"/>
      <c r="AY2" s="184" t="s">
        <v>2937</v>
      </c>
      <c r="AZ2" s="184"/>
      <c r="BA2" s="184"/>
      <c r="BB2" s="184"/>
    </row>
    <row r="3" spans="1:54" ht="18" customHeight="1" x14ac:dyDescent="0.3">
      <c r="A3" s="136" t="s">
        <v>730</v>
      </c>
      <c r="B3" s="137" t="s">
        <v>720</v>
      </c>
      <c r="C3" s="142" t="s">
        <v>718</v>
      </c>
      <c r="D3" s="143" t="s">
        <v>713</v>
      </c>
      <c r="E3" s="144" t="s">
        <v>714</v>
      </c>
      <c r="F3" s="141" t="s">
        <v>728</v>
      </c>
      <c r="G3" s="136" t="s">
        <v>729</v>
      </c>
      <c r="I3" s="136"/>
      <c r="J3" s="136"/>
      <c r="K3" s="136"/>
      <c r="L3" s="136"/>
      <c r="N3" s="8" t="s">
        <v>246</v>
      </c>
      <c r="O3" s="8" t="s">
        <v>0</v>
      </c>
      <c r="P3" s="9" t="s">
        <v>1</v>
      </c>
      <c r="Q3" s="9" t="s">
        <v>247</v>
      </c>
      <c r="R3" s="8" t="s">
        <v>2</v>
      </c>
      <c r="S3" s="8" t="s">
        <v>4</v>
      </c>
      <c r="T3" s="8" t="s">
        <v>5</v>
      </c>
      <c r="U3" s="10" t="s">
        <v>6</v>
      </c>
      <c r="V3" s="13" t="s">
        <v>248</v>
      </c>
      <c r="X3" s="196"/>
      <c r="Y3" s="196"/>
      <c r="Z3" s="196"/>
      <c r="AA3" s="197"/>
      <c r="AB3" s="199"/>
      <c r="AD3" s="153" t="s">
        <v>933</v>
      </c>
      <c r="AE3" s="156" t="s">
        <v>1529</v>
      </c>
      <c r="AF3" s="157" t="s">
        <v>934</v>
      </c>
      <c r="AG3" s="158" t="s">
        <v>1528</v>
      </c>
      <c r="AI3" s="154" t="s">
        <v>0</v>
      </c>
      <c r="AJ3" s="8" t="s">
        <v>1</v>
      </c>
      <c r="AK3" s="8" t="s">
        <v>2</v>
      </c>
      <c r="AL3" s="155" t="s">
        <v>247</v>
      </c>
      <c r="AN3" s="159" t="s">
        <v>0</v>
      </c>
      <c r="AO3" s="8" t="s">
        <v>1</v>
      </c>
      <c r="AP3" s="8" t="s">
        <v>2</v>
      </c>
      <c r="AQ3" s="160" t="s">
        <v>247</v>
      </c>
      <c r="AT3" s="163" t="s">
        <v>0</v>
      </c>
      <c r="AU3" s="163" t="s">
        <v>1</v>
      </c>
      <c r="AV3" s="163" t="s">
        <v>2</v>
      </c>
      <c r="AW3" s="163" t="s">
        <v>247</v>
      </c>
      <c r="AY3" s="163" t="s">
        <v>0</v>
      </c>
      <c r="AZ3" s="163" t="s">
        <v>1</v>
      </c>
      <c r="BA3" s="163" t="s">
        <v>2</v>
      </c>
      <c r="BB3" s="163" t="s">
        <v>247</v>
      </c>
    </row>
    <row r="4" spans="1:54" ht="18" customHeight="1" x14ac:dyDescent="0.3">
      <c r="A4" s="120" t="str">
        <f>B4&amp;"_VM_0000_"&amp;C4&amp;"_"&amp;F4&amp;"_"&amp;G4</f>
        <v>SPP_BK_VM_0000_15_FIT_STRAIGHT_J_WELD</v>
      </c>
      <c r="B4" s="124" t="s">
        <v>732</v>
      </c>
      <c r="C4" s="129">
        <v>15</v>
      </c>
      <c r="D4" s="121" t="s">
        <v>712</v>
      </c>
      <c r="E4" s="128" t="str">
        <f>C4&amp;"A, SPP, 흑관, 반제품"</f>
        <v>15A, SPP, 흑관, 반제품</v>
      </c>
      <c r="F4" s="126" t="s">
        <v>725</v>
      </c>
      <c r="G4" s="120" t="s">
        <v>727</v>
      </c>
      <c r="I4" s="120" t="s">
        <v>733</v>
      </c>
      <c r="J4" s="162">
        <v>1.25E-3</v>
      </c>
      <c r="K4" s="161"/>
      <c r="L4" s="135"/>
      <c r="N4" s="13" t="s">
        <v>249</v>
      </c>
      <c r="O4" s="14" t="s">
        <v>217</v>
      </c>
      <c r="P4" s="14" t="s">
        <v>250</v>
      </c>
      <c r="Q4" s="13">
        <v>1</v>
      </c>
      <c r="R4" s="13" t="s">
        <v>251</v>
      </c>
      <c r="S4" s="14">
        <v>0</v>
      </c>
      <c r="T4" s="14">
        <v>52678648</v>
      </c>
      <c r="U4" s="14">
        <v>1580359.44</v>
      </c>
      <c r="V4" s="13"/>
      <c r="X4" s="145" t="s">
        <v>8</v>
      </c>
      <c r="Y4" s="3" t="s">
        <v>9</v>
      </c>
      <c r="Z4" s="2" t="s">
        <v>10</v>
      </c>
      <c r="AA4" s="146">
        <v>14.2</v>
      </c>
      <c r="AB4" s="148" t="s">
        <v>11</v>
      </c>
      <c r="AD4" s="205" t="str">
        <f t="shared" ref="AD4:AD35" si="0">IFERROR(INDEX(I:I,MATCH(AB4,A:A,0),1),"")</f>
        <v>호표61</v>
      </c>
      <c r="AE4" s="213">
        <f>IFERROR(INDEX(J:J,MATCH(AB4,A:A,0),1),0)</f>
        <v>1.31E-3</v>
      </c>
      <c r="AF4" s="207" t="str">
        <f t="shared" ref="AF4:AF35" si="1">IFERROR(INDEX(K:K,MATCH(AB4,A:A,0),1),"")</f>
        <v>호표98</v>
      </c>
      <c r="AG4" s="214">
        <f t="shared" ref="AG4:AG35" si="2">IFERROR(INDEX(L:L,MATCH(AB4,A:A,0),1),"")</f>
        <v>0.16666666666666666</v>
      </c>
      <c r="AI4" s="205" t="str">
        <f t="shared" ref="AI4:AI35" si="3">IFERROR(INDEX(O:O,MATCH(AD4,$N:$N,0),1),"")</f>
        <v>STS배관설치공사(옥내-용접)</v>
      </c>
      <c r="AJ4" s="206" t="str">
        <f t="shared" ref="AJ4:AJ35" si="4">IFERROR(INDEX(P:P,MATCH(AD4,$N:$N,0),1),"")</f>
        <v>20A TON</v>
      </c>
      <c r="AK4" s="206" t="str">
        <f t="shared" ref="AK4:AK35" si="5">IFERROR(INDEX(R:R,MATCH(AD4,$N:$N,0),1),"")</f>
        <v>ton</v>
      </c>
      <c r="AL4" s="220">
        <f>IFERROR(IF(AE4=0,1,AE4)*AA4,"")</f>
        <v>1.8601999999999997E-2</v>
      </c>
      <c r="AM4" s="217"/>
      <c r="AN4" s="207" t="str">
        <f t="shared" ref="AN4:AN35" si="6">IFERROR(INDEX(O:O,MATCH(AF4,$N:$N,0),1),"")</f>
        <v>STS배관용접</v>
      </c>
      <c r="AO4" s="221" t="str">
        <f t="shared" ref="AO4:AO35" si="7">IFERROR(INDEX(P:P,MATCH(AF4,$N:$N,0),1),"")</f>
        <v>20A 개소</v>
      </c>
      <c r="AP4" s="221" t="str">
        <f t="shared" ref="AP4:AP35" si="8">IFERROR(INDEX(R:R,MATCH(AF4,$N:$N,0),1),"")</f>
        <v>개소</v>
      </c>
      <c r="AQ4" s="215">
        <f>IFERROR(AA4*AG4,"")</f>
        <v>2.3666666666666663</v>
      </c>
      <c r="AT4" s="164" t="s">
        <v>206</v>
      </c>
      <c r="AU4" s="164" t="s">
        <v>259</v>
      </c>
      <c r="AV4" s="164" t="s">
        <v>251</v>
      </c>
      <c r="AW4" s="165">
        <v>1.8602E-2</v>
      </c>
      <c r="AY4" s="164" t="s">
        <v>206</v>
      </c>
      <c r="AZ4" s="164" t="s">
        <v>259</v>
      </c>
      <c r="BA4" s="164" t="s">
        <v>251</v>
      </c>
      <c r="BB4" s="165">
        <v>1.8602E-2</v>
      </c>
    </row>
    <row r="5" spans="1:54" ht="18" customHeight="1" x14ac:dyDescent="0.3">
      <c r="A5" s="120" t="str">
        <f t="shared" ref="A5:A24" si="9">B5&amp;"_VM_0000_"&amp;C5&amp;"_"&amp;F5&amp;"_"&amp;G5</f>
        <v>SPP_BK_VM_0000_20_FIT_STRAIGHT_J_WELD</v>
      </c>
      <c r="B5" s="124" t="s">
        <v>732</v>
      </c>
      <c r="C5" s="129">
        <v>20</v>
      </c>
      <c r="D5" s="121" t="s">
        <v>712</v>
      </c>
      <c r="E5" s="128" t="str">
        <f t="shared" ref="E5:E24" si="10">C5&amp;"A, SPP, 흑관, 반제품"</f>
        <v>20A, SPP, 흑관, 반제품</v>
      </c>
      <c r="F5" s="126" t="s">
        <v>725</v>
      </c>
      <c r="G5" s="120" t="s">
        <v>727</v>
      </c>
      <c r="I5" s="120" t="s">
        <v>734</v>
      </c>
      <c r="J5" s="162">
        <v>1.6000000000000001E-3</v>
      </c>
      <c r="K5" s="161"/>
      <c r="L5" s="135"/>
      <c r="N5" s="13" t="s">
        <v>252</v>
      </c>
      <c r="O5" s="14" t="s">
        <v>217</v>
      </c>
      <c r="P5" s="14" t="s">
        <v>253</v>
      </c>
      <c r="Q5" s="13">
        <v>1</v>
      </c>
      <c r="R5" s="13" t="s">
        <v>251</v>
      </c>
      <c r="S5" s="14">
        <v>0</v>
      </c>
      <c r="T5" s="14">
        <v>39309926</v>
      </c>
      <c r="U5" s="14">
        <v>1179297.78</v>
      </c>
      <c r="V5" s="13"/>
      <c r="X5" s="145" t="s">
        <v>8</v>
      </c>
      <c r="Y5" s="3" t="s">
        <v>12</v>
      </c>
      <c r="Z5" s="2" t="s">
        <v>10</v>
      </c>
      <c r="AA5" s="146">
        <v>15.1</v>
      </c>
      <c r="AB5" s="148" t="s">
        <v>13</v>
      </c>
      <c r="AD5" s="205" t="str">
        <f t="shared" si="0"/>
        <v>호표63</v>
      </c>
      <c r="AE5" s="213">
        <f t="shared" ref="AE5:AE35" si="11">IFERROR(INDEX(J:J,MATCH(AB5,A:A,0),1),"")</f>
        <v>2.7799999999999999E-3</v>
      </c>
      <c r="AF5" s="207" t="str">
        <f t="shared" si="1"/>
        <v>호표100</v>
      </c>
      <c r="AG5" s="214">
        <f t="shared" si="2"/>
        <v>0.16666666666666666</v>
      </c>
      <c r="AI5" s="205" t="str">
        <f t="shared" si="3"/>
        <v>STS배관설치공사(옥내-용접)</v>
      </c>
      <c r="AJ5" s="206" t="str">
        <f t="shared" si="4"/>
        <v>32A TON</v>
      </c>
      <c r="AK5" s="206" t="str">
        <f t="shared" si="5"/>
        <v>ton</v>
      </c>
      <c r="AL5" s="220">
        <f t="shared" ref="AL5:AL68" si="12">IFERROR(IF(AE5=0,1,AE5)*AA5,"")</f>
        <v>4.1977999999999994E-2</v>
      </c>
      <c r="AM5" s="217"/>
      <c r="AN5" s="207" t="str">
        <f t="shared" si="6"/>
        <v>STS배관용접</v>
      </c>
      <c r="AO5" s="221" t="str">
        <f t="shared" si="7"/>
        <v>32A 개소</v>
      </c>
      <c r="AP5" s="221" t="str">
        <f t="shared" si="8"/>
        <v>개소</v>
      </c>
      <c r="AQ5" s="215">
        <f t="shared" ref="AQ5:AQ68" si="13">IFERROR(AA5*AG5,"")</f>
        <v>2.5166666666666666</v>
      </c>
      <c r="AT5" s="164" t="s">
        <v>206</v>
      </c>
      <c r="AU5" s="164" t="s">
        <v>263</v>
      </c>
      <c r="AV5" s="164" t="s">
        <v>251</v>
      </c>
      <c r="AW5" s="165">
        <v>4.1977999999999994E-2</v>
      </c>
      <c r="AY5" s="164" t="s">
        <v>206</v>
      </c>
      <c r="AZ5" s="164" t="s">
        <v>263</v>
      </c>
      <c r="BA5" s="164" t="s">
        <v>251</v>
      </c>
      <c r="BB5" s="165">
        <v>4.1977999999999994E-2</v>
      </c>
    </row>
    <row r="6" spans="1:54" ht="18" customHeight="1" x14ac:dyDescent="0.3">
      <c r="A6" s="120" t="str">
        <f t="shared" si="9"/>
        <v>SPP_BK_VM_0000_25_FIT_STRAIGHT_J_WELD</v>
      </c>
      <c r="B6" s="124" t="s">
        <v>732</v>
      </c>
      <c r="C6" s="129">
        <v>25</v>
      </c>
      <c r="D6" s="121" t="s">
        <v>712</v>
      </c>
      <c r="E6" s="128" t="str">
        <f t="shared" si="10"/>
        <v>25A, SPP, 흑관, 반제품</v>
      </c>
      <c r="F6" s="126" t="s">
        <v>725</v>
      </c>
      <c r="G6" s="120" t="s">
        <v>727</v>
      </c>
      <c r="I6" s="120" t="s">
        <v>260</v>
      </c>
      <c r="J6" s="162">
        <v>2.4500000000000004E-3</v>
      </c>
      <c r="K6" s="161"/>
      <c r="L6" s="135"/>
      <c r="N6" s="13" t="s">
        <v>254</v>
      </c>
      <c r="O6" s="14" t="s">
        <v>217</v>
      </c>
      <c r="P6" s="14" t="s">
        <v>255</v>
      </c>
      <c r="Q6" s="13">
        <v>1</v>
      </c>
      <c r="R6" s="13" t="s">
        <v>251</v>
      </c>
      <c r="S6" s="14">
        <v>0</v>
      </c>
      <c r="T6" s="14">
        <v>34295684.799999997</v>
      </c>
      <c r="U6" s="14">
        <v>1028870.5439999999</v>
      </c>
      <c r="V6" s="13"/>
      <c r="X6" s="145" t="s">
        <v>8</v>
      </c>
      <c r="Y6" s="3" t="s">
        <v>14</v>
      </c>
      <c r="Z6" s="2" t="s">
        <v>10</v>
      </c>
      <c r="AA6" s="146">
        <v>80.599999999999994</v>
      </c>
      <c r="AB6" s="148" t="s">
        <v>15</v>
      </c>
      <c r="AD6" s="205" t="str">
        <f t="shared" si="0"/>
        <v>호표65</v>
      </c>
      <c r="AE6" s="213">
        <f t="shared" si="11"/>
        <v>4.0199999999999993E-3</v>
      </c>
      <c r="AF6" s="207" t="str">
        <f t="shared" si="1"/>
        <v>호표102</v>
      </c>
      <c r="AG6" s="214">
        <f t="shared" si="2"/>
        <v>0.16666666666666666</v>
      </c>
      <c r="AI6" s="205" t="str">
        <f t="shared" si="3"/>
        <v>STS배관설치공사(옥내-용접)</v>
      </c>
      <c r="AJ6" s="206" t="str">
        <f t="shared" si="4"/>
        <v>50A TON</v>
      </c>
      <c r="AK6" s="206" t="str">
        <f t="shared" si="5"/>
        <v>ton</v>
      </c>
      <c r="AL6" s="220">
        <f t="shared" si="12"/>
        <v>0.32401199999999991</v>
      </c>
      <c r="AM6" s="217"/>
      <c r="AN6" s="207" t="str">
        <f t="shared" si="6"/>
        <v>STS배관용접</v>
      </c>
      <c r="AO6" s="221" t="str">
        <f t="shared" si="7"/>
        <v>50A 개소</v>
      </c>
      <c r="AP6" s="221" t="str">
        <f t="shared" si="8"/>
        <v>개소</v>
      </c>
      <c r="AQ6" s="215">
        <f t="shared" si="13"/>
        <v>13.433333333333332</v>
      </c>
      <c r="AT6" s="164" t="s">
        <v>206</v>
      </c>
      <c r="AU6" s="164" t="s">
        <v>266</v>
      </c>
      <c r="AV6" s="164" t="s">
        <v>251</v>
      </c>
      <c r="AW6" s="165">
        <v>0.32401199999999997</v>
      </c>
      <c r="AY6" s="164" t="s">
        <v>206</v>
      </c>
      <c r="AZ6" s="164" t="s">
        <v>266</v>
      </c>
      <c r="BA6" s="164" t="s">
        <v>251</v>
      </c>
      <c r="BB6" s="165">
        <v>0.32401199999999997</v>
      </c>
    </row>
    <row r="7" spans="1:54" ht="18" customHeight="1" x14ac:dyDescent="0.3">
      <c r="A7" s="120" t="str">
        <f t="shared" si="9"/>
        <v>SPP_BK_VM_0000_32_FIT_STRAIGHT_J_WELD</v>
      </c>
      <c r="B7" s="124" t="s">
        <v>732</v>
      </c>
      <c r="C7" s="129">
        <v>32</v>
      </c>
      <c r="D7" s="121" t="s">
        <v>712</v>
      </c>
      <c r="E7" s="128" t="str">
        <f t="shared" si="10"/>
        <v>32A, SPP, 흑관, 반제품</v>
      </c>
      <c r="F7" s="126" t="s">
        <v>725</v>
      </c>
      <c r="G7" s="120" t="s">
        <v>727</v>
      </c>
      <c r="I7" s="120" t="s">
        <v>262</v>
      </c>
      <c r="J7" s="162">
        <v>3.16E-3</v>
      </c>
      <c r="K7" s="161"/>
      <c r="L7" s="135"/>
      <c r="N7" s="13" t="s">
        <v>256</v>
      </c>
      <c r="O7" s="14" t="s">
        <v>217</v>
      </c>
      <c r="P7" s="14" t="s">
        <v>257</v>
      </c>
      <c r="Q7" s="13">
        <v>1</v>
      </c>
      <c r="R7" s="13" t="s">
        <v>251</v>
      </c>
      <c r="S7" s="14">
        <v>0</v>
      </c>
      <c r="T7" s="14">
        <v>26911918</v>
      </c>
      <c r="U7" s="14">
        <v>807357.53999999992</v>
      </c>
      <c r="V7" s="14"/>
      <c r="X7" s="145" t="s">
        <v>8</v>
      </c>
      <c r="Y7" s="3" t="s">
        <v>16</v>
      </c>
      <c r="Z7" s="2" t="s">
        <v>10</v>
      </c>
      <c r="AA7" s="146">
        <v>3</v>
      </c>
      <c r="AB7" s="148" t="s">
        <v>17</v>
      </c>
      <c r="AD7" s="205" t="str">
        <f t="shared" si="0"/>
        <v>호표66</v>
      </c>
      <c r="AE7" s="213">
        <f t="shared" si="11"/>
        <v>5.4800000000000005E-3</v>
      </c>
      <c r="AF7" s="207" t="str">
        <f t="shared" si="1"/>
        <v>호표103</v>
      </c>
      <c r="AG7" s="214">
        <f t="shared" si="2"/>
        <v>0.16666666666666666</v>
      </c>
      <c r="AI7" s="205" t="str">
        <f t="shared" si="3"/>
        <v>STS배관설치공사(옥내-용접)</v>
      </c>
      <c r="AJ7" s="206" t="str">
        <f t="shared" si="4"/>
        <v>65A TON</v>
      </c>
      <c r="AK7" s="206" t="str">
        <f t="shared" si="5"/>
        <v>ton</v>
      </c>
      <c r="AL7" s="220">
        <f t="shared" si="12"/>
        <v>1.6440000000000003E-2</v>
      </c>
      <c r="AM7" s="217"/>
      <c r="AN7" s="207" t="str">
        <f t="shared" si="6"/>
        <v>STS배관용접</v>
      </c>
      <c r="AO7" s="221" t="str">
        <f t="shared" si="7"/>
        <v>65A 개소</v>
      </c>
      <c r="AP7" s="221" t="str">
        <f t="shared" si="8"/>
        <v>개소</v>
      </c>
      <c r="AQ7" s="215">
        <f t="shared" si="13"/>
        <v>0.5</v>
      </c>
      <c r="AT7" s="164" t="s">
        <v>206</v>
      </c>
      <c r="AU7" s="164" t="s">
        <v>268</v>
      </c>
      <c r="AV7" s="164" t="s">
        <v>251</v>
      </c>
      <c r="AW7" s="165">
        <v>1.644E-2</v>
      </c>
      <c r="AY7" s="164" t="s">
        <v>206</v>
      </c>
      <c r="AZ7" s="164" t="s">
        <v>268</v>
      </c>
      <c r="BA7" s="164" t="s">
        <v>251</v>
      </c>
      <c r="BB7" s="165">
        <v>1.644E-2</v>
      </c>
    </row>
    <row r="8" spans="1:54" ht="18" customHeight="1" x14ac:dyDescent="0.3">
      <c r="A8" s="120" t="str">
        <f t="shared" si="9"/>
        <v>SPP_BK_VM_0000_40_FIT_STRAIGHT_J_WELD</v>
      </c>
      <c r="B8" s="124" t="s">
        <v>732</v>
      </c>
      <c r="C8" s="129">
        <v>40</v>
      </c>
      <c r="D8" s="121" t="s">
        <v>712</v>
      </c>
      <c r="E8" s="128" t="str">
        <f t="shared" si="10"/>
        <v>40A, SPP, 흑관, 반제품</v>
      </c>
      <c r="F8" s="126" t="s">
        <v>725</v>
      </c>
      <c r="G8" s="120" t="s">
        <v>727</v>
      </c>
      <c r="I8" s="120" t="s">
        <v>264</v>
      </c>
      <c r="J8" s="162">
        <v>3.63E-3</v>
      </c>
      <c r="K8" s="161"/>
      <c r="L8" s="135"/>
      <c r="N8" s="13" t="s">
        <v>258</v>
      </c>
      <c r="O8" s="14" t="s">
        <v>217</v>
      </c>
      <c r="P8" s="14" t="s">
        <v>259</v>
      </c>
      <c r="Q8" s="13">
        <v>1</v>
      </c>
      <c r="R8" s="13" t="s">
        <v>251</v>
      </c>
      <c r="S8" s="14">
        <v>0</v>
      </c>
      <c r="T8" s="14">
        <v>24537000.799999997</v>
      </c>
      <c r="U8" s="14">
        <v>736110.02399999986</v>
      </c>
      <c r="V8" s="13"/>
      <c r="X8" s="145" t="s">
        <v>8</v>
      </c>
      <c r="Y8" s="3" t="s">
        <v>18</v>
      </c>
      <c r="Z8" s="2" t="s">
        <v>10</v>
      </c>
      <c r="AA8" s="146">
        <v>87</v>
      </c>
      <c r="AB8" s="148" t="s">
        <v>19</v>
      </c>
      <c r="AD8" s="205" t="str">
        <f t="shared" si="0"/>
        <v>호표67</v>
      </c>
      <c r="AE8" s="213">
        <f t="shared" si="11"/>
        <v>6.43E-3</v>
      </c>
      <c r="AF8" s="207" t="str">
        <f t="shared" si="1"/>
        <v>호표104</v>
      </c>
      <c r="AG8" s="214">
        <f t="shared" si="2"/>
        <v>0.16666666666666666</v>
      </c>
      <c r="AI8" s="205" t="str">
        <f t="shared" si="3"/>
        <v>STS배관설치공사(옥내-용접)</v>
      </c>
      <c r="AJ8" s="206" t="str">
        <f t="shared" si="4"/>
        <v>80A TON</v>
      </c>
      <c r="AK8" s="206" t="str">
        <f t="shared" si="5"/>
        <v>ton</v>
      </c>
      <c r="AL8" s="220">
        <f t="shared" si="12"/>
        <v>0.55940999999999996</v>
      </c>
      <c r="AM8" s="217"/>
      <c r="AN8" s="207" t="str">
        <f t="shared" si="6"/>
        <v>STS배관용접</v>
      </c>
      <c r="AO8" s="221" t="str">
        <f t="shared" si="7"/>
        <v>80A 개소</v>
      </c>
      <c r="AP8" s="221" t="str">
        <f t="shared" si="8"/>
        <v>개소</v>
      </c>
      <c r="AQ8" s="215">
        <f t="shared" si="13"/>
        <v>14.5</v>
      </c>
      <c r="AT8" s="164" t="s">
        <v>206</v>
      </c>
      <c r="AU8" s="164" t="s">
        <v>269</v>
      </c>
      <c r="AV8" s="164" t="s">
        <v>251</v>
      </c>
      <c r="AW8" s="165">
        <v>0.55940999999999996</v>
      </c>
      <c r="AY8" s="164" t="s">
        <v>206</v>
      </c>
      <c r="AZ8" s="164" t="s">
        <v>269</v>
      </c>
      <c r="BA8" s="164" t="s">
        <v>251</v>
      </c>
      <c r="BB8" s="165">
        <v>0.55940999999999996</v>
      </c>
    </row>
    <row r="9" spans="1:54" ht="18" customHeight="1" x14ac:dyDescent="0.3">
      <c r="A9" s="120" t="str">
        <f t="shared" si="9"/>
        <v>SPP_BK_VM_0000_50_FIT_STRAIGHT_J_WELD</v>
      </c>
      <c r="B9" s="124" t="s">
        <v>732</v>
      </c>
      <c r="C9" s="129">
        <v>50</v>
      </c>
      <c r="D9" s="121" t="s">
        <v>712</v>
      </c>
      <c r="E9" s="128" t="str">
        <f t="shared" si="10"/>
        <v>50A, SPP, 흑관, 반제품</v>
      </c>
      <c r="F9" s="126" t="s">
        <v>725</v>
      </c>
      <c r="G9" s="120" t="s">
        <v>727</v>
      </c>
      <c r="I9" s="120" t="s">
        <v>218</v>
      </c>
      <c r="J9" s="162">
        <v>5.1200000000000004E-3</v>
      </c>
      <c r="K9" s="161"/>
      <c r="L9" s="135"/>
      <c r="N9" s="13" t="s">
        <v>260</v>
      </c>
      <c r="O9" s="14" t="s">
        <v>217</v>
      </c>
      <c r="P9" s="14" t="s">
        <v>261</v>
      </c>
      <c r="Q9" s="13">
        <v>1</v>
      </c>
      <c r="R9" s="13" t="s">
        <v>251</v>
      </c>
      <c r="S9" s="14">
        <v>0</v>
      </c>
      <c r="T9" s="14">
        <v>20872399.199999999</v>
      </c>
      <c r="U9" s="14">
        <v>626171.97599999991</v>
      </c>
      <c r="V9" s="14"/>
      <c r="X9" s="145" t="s">
        <v>8</v>
      </c>
      <c r="Y9" s="3" t="s">
        <v>20</v>
      </c>
      <c r="Z9" s="2" t="s">
        <v>10</v>
      </c>
      <c r="AA9" s="146">
        <v>17.599999999999998</v>
      </c>
      <c r="AB9" s="148" t="s">
        <v>21</v>
      </c>
      <c r="AD9" s="205" t="str">
        <f t="shared" si="0"/>
        <v>호표69</v>
      </c>
      <c r="AE9" s="213">
        <f t="shared" si="11"/>
        <v>8.320000000000001E-3</v>
      </c>
      <c r="AF9" s="207" t="str">
        <f t="shared" si="1"/>
        <v>호표106</v>
      </c>
      <c r="AG9" s="214">
        <f t="shared" si="2"/>
        <v>0.16666666666666666</v>
      </c>
      <c r="AI9" s="205" t="str">
        <f t="shared" si="3"/>
        <v>STS배관설치공사(옥내-용접)</v>
      </c>
      <c r="AJ9" s="206" t="str">
        <f t="shared" si="4"/>
        <v>100A TON</v>
      </c>
      <c r="AK9" s="206" t="str">
        <f t="shared" si="5"/>
        <v>ton</v>
      </c>
      <c r="AL9" s="220">
        <f t="shared" si="12"/>
        <v>0.14643200000000001</v>
      </c>
      <c r="AM9" s="217"/>
      <c r="AN9" s="207" t="str">
        <f t="shared" si="6"/>
        <v>STS배관용접</v>
      </c>
      <c r="AO9" s="221" t="str">
        <f t="shared" si="7"/>
        <v>100A 개소</v>
      </c>
      <c r="AP9" s="221" t="str">
        <f t="shared" si="8"/>
        <v>개소</v>
      </c>
      <c r="AQ9" s="215">
        <f t="shared" si="13"/>
        <v>2.9333333333333327</v>
      </c>
      <c r="AT9" s="164" t="s">
        <v>206</v>
      </c>
      <c r="AU9" s="164" t="s">
        <v>273</v>
      </c>
      <c r="AV9" s="164" t="s">
        <v>251</v>
      </c>
      <c r="AW9" s="165">
        <v>0.14643199999999998</v>
      </c>
      <c r="AY9" s="164" t="s">
        <v>206</v>
      </c>
      <c r="AZ9" s="164" t="s">
        <v>273</v>
      </c>
      <c r="BA9" s="164" t="s">
        <v>251</v>
      </c>
      <c r="BB9" s="165">
        <v>0.14643199999999998</v>
      </c>
    </row>
    <row r="10" spans="1:54" ht="18" customHeight="1" x14ac:dyDescent="0.3">
      <c r="A10" s="120" t="str">
        <f t="shared" si="9"/>
        <v>SPP_BK_VM_0000_65_FIT_STRAIGHT_J_WELD</v>
      </c>
      <c r="B10" s="124" t="s">
        <v>732</v>
      </c>
      <c r="C10" s="129">
        <v>65</v>
      </c>
      <c r="D10" s="121" t="s">
        <v>712</v>
      </c>
      <c r="E10" s="128" t="str">
        <f t="shared" si="10"/>
        <v>65A, SPP, 흑관, 반제품</v>
      </c>
      <c r="F10" s="126" t="s">
        <v>725</v>
      </c>
      <c r="G10" s="120" t="s">
        <v>727</v>
      </c>
      <c r="I10" s="120" t="s">
        <v>267</v>
      </c>
      <c r="J10" s="162">
        <v>6.5399999999999998E-3</v>
      </c>
      <c r="K10" s="161"/>
      <c r="L10" s="135"/>
      <c r="N10" s="13" t="s">
        <v>262</v>
      </c>
      <c r="O10" s="14" t="s">
        <v>217</v>
      </c>
      <c r="P10" s="14" t="s">
        <v>263</v>
      </c>
      <c r="Q10" s="13">
        <v>1</v>
      </c>
      <c r="R10" s="13" t="s">
        <v>251</v>
      </c>
      <c r="S10" s="14">
        <v>0</v>
      </c>
      <c r="T10" s="14">
        <v>18552045.600000001</v>
      </c>
      <c r="U10" s="14">
        <v>556561.36800000002</v>
      </c>
      <c r="V10" s="14"/>
      <c r="X10" s="145" t="s">
        <v>8</v>
      </c>
      <c r="Y10" s="3" t="s">
        <v>22</v>
      </c>
      <c r="Z10" s="2" t="s">
        <v>10</v>
      </c>
      <c r="AA10" s="146">
        <v>42.4</v>
      </c>
      <c r="AB10" s="148" t="s">
        <v>23</v>
      </c>
      <c r="AD10" s="205" t="str">
        <f t="shared" si="0"/>
        <v>호표70</v>
      </c>
      <c r="AE10" s="213">
        <f t="shared" si="11"/>
        <v>1.1599999999999999E-2</v>
      </c>
      <c r="AF10" s="207" t="str">
        <f t="shared" si="1"/>
        <v>호표107</v>
      </c>
      <c r="AG10" s="214">
        <f t="shared" si="2"/>
        <v>0.16666666666666666</v>
      </c>
      <c r="AI10" s="205" t="str">
        <f t="shared" si="3"/>
        <v>STS배관설치공사(옥내-용접)</v>
      </c>
      <c r="AJ10" s="206" t="str">
        <f t="shared" si="4"/>
        <v>125A TON</v>
      </c>
      <c r="AK10" s="206" t="str">
        <f t="shared" si="5"/>
        <v>ton</v>
      </c>
      <c r="AL10" s="220">
        <f t="shared" si="12"/>
        <v>0.49183999999999994</v>
      </c>
      <c r="AM10" s="217"/>
      <c r="AN10" s="207" t="str">
        <f t="shared" si="6"/>
        <v>STS배관용접</v>
      </c>
      <c r="AO10" s="221" t="str">
        <f t="shared" si="7"/>
        <v>125A 개소</v>
      </c>
      <c r="AP10" s="221" t="str">
        <f t="shared" si="8"/>
        <v>개소</v>
      </c>
      <c r="AQ10" s="215">
        <f t="shared" si="13"/>
        <v>7.0666666666666664</v>
      </c>
      <c r="AT10" s="164" t="s">
        <v>206</v>
      </c>
      <c r="AU10" s="164" t="s">
        <v>275</v>
      </c>
      <c r="AV10" s="164" t="s">
        <v>251</v>
      </c>
      <c r="AW10" s="165">
        <v>0.49184</v>
      </c>
      <c r="AY10" s="164" t="s">
        <v>206</v>
      </c>
      <c r="AZ10" s="164" t="s">
        <v>275</v>
      </c>
      <c r="BA10" s="164" t="s">
        <v>251</v>
      </c>
      <c r="BB10" s="165">
        <v>0.49184</v>
      </c>
    </row>
    <row r="11" spans="1:54" ht="18" customHeight="1" x14ac:dyDescent="0.3">
      <c r="A11" s="120" t="str">
        <f t="shared" si="9"/>
        <v>SPP_BK_VM_0000_80_FIT_STRAIGHT_J_WELD</v>
      </c>
      <c r="B11" s="124" t="s">
        <v>732</v>
      </c>
      <c r="C11" s="129">
        <v>80</v>
      </c>
      <c r="D11" s="121" t="s">
        <v>712</v>
      </c>
      <c r="E11" s="128" t="str">
        <f t="shared" si="10"/>
        <v>80A, SPP, 흑관, 반제품</v>
      </c>
      <c r="F11" s="126" t="s">
        <v>725</v>
      </c>
      <c r="G11" s="120" t="s">
        <v>727</v>
      </c>
      <c r="I11" s="120" t="s">
        <v>219</v>
      </c>
      <c r="J11" s="162">
        <v>8.490000000000001E-3</v>
      </c>
      <c r="K11" s="161"/>
      <c r="L11" s="135"/>
      <c r="N11" s="13" t="s">
        <v>264</v>
      </c>
      <c r="O11" s="14" t="s">
        <v>217</v>
      </c>
      <c r="P11" s="14" t="s">
        <v>265</v>
      </c>
      <c r="Q11" s="13">
        <v>1</v>
      </c>
      <c r="R11" s="13" t="s">
        <v>251</v>
      </c>
      <c r="S11" s="14">
        <v>0</v>
      </c>
      <c r="T11" s="14">
        <v>17979451.600000001</v>
      </c>
      <c r="U11" s="14">
        <v>539383.54800000007</v>
      </c>
      <c r="V11" s="14"/>
      <c r="X11" s="145" t="s">
        <v>8</v>
      </c>
      <c r="Y11" s="3" t="s">
        <v>24</v>
      </c>
      <c r="Z11" s="2" t="s">
        <v>10</v>
      </c>
      <c r="AA11" s="146">
        <v>64.2</v>
      </c>
      <c r="AB11" s="148" t="s">
        <v>25</v>
      </c>
      <c r="AD11" s="205" t="str">
        <f t="shared" si="0"/>
        <v>호표71</v>
      </c>
      <c r="AE11" s="213">
        <f t="shared" si="11"/>
        <v>1.3699999999999999E-2</v>
      </c>
      <c r="AF11" s="207" t="str">
        <f t="shared" si="1"/>
        <v>호표108</v>
      </c>
      <c r="AG11" s="214">
        <f t="shared" si="2"/>
        <v>0.16666666666666666</v>
      </c>
      <c r="AI11" s="205" t="str">
        <f t="shared" si="3"/>
        <v>STS배관설치공사(옥내-용접)</v>
      </c>
      <c r="AJ11" s="206" t="str">
        <f t="shared" si="4"/>
        <v>150A TON</v>
      </c>
      <c r="AK11" s="206" t="str">
        <f t="shared" si="5"/>
        <v>ton</v>
      </c>
      <c r="AL11" s="220">
        <f t="shared" si="12"/>
        <v>0.87953999999999999</v>
      </c>
      <c r="AM11" s="217"/>
      <c r="AN11" s="207" t="str">
        <f t="shared" si="6"/>
        <v>STS배관용접</v>
      </c>
      <c r="AO11" s="221" t="str">
        <f t="shared" si="7"/>
        <v>150A 개소</v>
      </c>
      <c r="AP11" s="221" t="str">
        <f t="shared" si="8"/>
        <v>개소</v>
      </c>
      <c r="AQ11" s="215">
        <f t="shared" si="13"/>
        <v>10.7</v>
      </c>
      <c r="AT11" s="164" t="s">
        <v>206</v>
      </c>
      <c r="AU11" s="164" t="s">
        <v>276</v>
      </c>
      <c r="AV11" s="164" t="s">
        <v>251</v>
      </c>
      <c r="AW11" s="165">
        <v>0.87953999999999999</v>
      </c>
      <c r="AY11" s="164" t="s">
        <v>206</v>
      </c>
      <c r="AZ11" s="164" t="s">
        <v>276</v>
      </c>
      <c r="BA11" s="164" t="s">
        <v>251</v>
      </c>
      <c r="BB11" s="165">
        <v>0.87953999999999999</v>
      </c>
    </row>
    <row r="12" spans="1:54" ht="18" customHeight="1" x14ac:dyDescent="0.3">
      <c r="A12" s="120" t="str">
        <f t="shared" si="9"/>
        <v>SPP_BK_VM_0000_90_FIT_STRAIGHT_J_WELD</v>
      </c>
      <c r="B12" s="124" t="s">
        <v>732</v>
      </c>
      <c r="C12" s="129">
        <v>90</v>
      </c>
      <c r="D12" s="121" t="s">
        <v>712</v>
      </c>
      <c r="E12" s="128" t="str">
        <f t="shared" si="10"/>
        <v>90A, SPP, 흑관, 반제품</v>
      </c>
      <c r="F12" s="126" t="s">
        <v>725</v>
      </c>
      <c r="G12" s="120" t="s">
        <v>727</v>
      </c>
      <c r="I12" s="120" t="s">
        <v>270</v>
      </c>
      <c r="J12" s="162">
        <v>9.7400000000000004E-3</v>
      </c>
      <c r="K12" s="161"/>
      <c r="L12" s="135"/>
      <c r="N12" s="13" t="s">
        <v>218</v>
      </c>
      <c r="O12" s="14" t="s">
        <v>217</v>
      </c>
      <c r="P12" s="14" t="s">
        <v>266</v>
      </c>
      <c r="Q12" s="13">
        <v>1</v>
      </c>
      <c r="R12" s="13" t="s">
        <v>251</v>
      </c>
      <c r="S12" s="14">
        <v>0</v>
      </c>
      <c r="T12" s="14">
        <v>16520684.800000001</v>
      </c>
      <c r="U12" s="14">
        <v>495620.54399999999</v>
      </c>
      <c r="V12" s="13"/>
      <c r="X12" s="145" t="s">
        <v>8</v>
      </c>
      <c r="Y12" s="3" t="s">
        <v>26</v>
      </c>
      <c r="Z12" s="2" t="s">
        <v>10</v>
      </c>
      <c r="AA12" s="146">
        <v>73.7</v>
      </c>
      <c r="AB12" s="148" t="s">
        <v>27</v>
      </c>
      <c r="AD12" s="205" t="str">
        <f t="shared" si="0"/>
        <v>호표73</v>
      </c>
      <c r="AE12" s="213">
        <f t="shared" si="11"/>
        <v>2.12E-2</v>
      </c>
      <c r="AF12" s="207" t="str">
        <f t="shared" si="1"/>
        <v>호표110</v>
      </c>
      <c r="AG12" s="214">
        <f t="shared" si="2"/>
        <v>0.16666666666666666</v>
      </c>
      <c r="AI12" s="205" t="str">
        <f t="shared" si="3"/>
        <v>STS배관설치공사(옥내-용접)</v>
      </c>
      <c r="AJ12" s="206" t="str">
        <f t="shared" si="4"/>
        <v>200A TON</v>
      </c>
      <c r="AK12" s="206" t="str">
        <f t="shared" si="5"/>
        <v>ton</v>
      </c>
      <c r="AL12" s="220">
        <f t="shared" si="12"/>
        <v>1.5624400000000001</v>
      </c>
      <c r="AM12" s="217"/>
      <c r="AN12" s="207" t="str">
        <f t="shared" si="6"/>
        <v>STS배관용접</v>
      </c>
      <c r="AO12" s="221" t="str">
        <f t="shared" si="7"/>
        <v>200A 개소</v>
      </c>
      <c r="AP12" s="221" t="str">
        <f t="shared" si="8"/>
        <v>개소</v>
      </c>
      <c r="AQ12" s="215">
        <f t="shared" si="13"/>
        <v>12.283333333333333</v>
      </c>
      <c r="AT12" s="164" t="s">
        <v>206</v>
      </c>
      <c r="AU12" s="164" t="s">
        <v>280</v>
      </c>
      <c r="AV12" s="164" t="s">
        <v>251</v>
      </c>
      <c r="AW12" s="165">
        <v>1.5624400000000001</v>
      </c>
      <c r="AY12" s="164" t="s">
        <v>206</v>
      </c>
      <c r="AZ12" s="164" t="s">
        <v>280</v>
      </c>
      <c r="BA12" s="164" t="s">
        <v>251</v>
      </c>
      <c r="BB12" s="165">
        <v>1.5624400000000001</v>
      </c>
    </row>
    <row r="13" spans="1:54" ht="18" customHeight="1" x14ac:dyDescent="0.3">
      <c r="A13" s="120" t="str">
        <f t="shared" si="9"/>
        <v>SPP_BK_VM_0000_100_FIT_STRAIGHT_J_WELD</v>
      </c>
      <c r="B13" s="124" t="s">
        <v>732</v>
      </c>
      <c r="C13" s="129">
        <v>100</v>
      </c>
      <c r="D13" s="121" t="s">
        <v>712</v>
      </c>
      <c r="E13" s="128" t="str">
        <f t="shared" si="10"/>
        <v>100A, SPP, 흑관, 반제품</v>
      </c>
      <c r="F13" s="126" t="s">
        <v>725</v>
      </c>
      <c r="G13" s="120" t="s">
        <v>727</v>
      </c>
      <c r="I13" s="120" t="s">
        <v>272</v>
      </c>
      <c r="J13" s="162">
        <v>1.2199999999999999E-2</v>
      </c>
      <c r="K13" s="161"/>
      <c r="L13" s="135"/>
      <c r="N13" s="13" t="s">
        <v>267</v>
      </c>
      <c r="O13" s="14" t="s">
        <v>217</v>
      </c>
      <c r="P13" s="14" t="s">
        <v>268</v>
      </c>
      <c r="Q13" s="13">
        <v>1</v>
      </c>
      <c r="R13" s="13" t="s">
        <v>251</v>
      </c>
      <c r="S13" s="14">
        <v>0</v>
      </c>
      <c r="T13" s="14">
        <v>14917421.600000001</v>
      </c>
      <c r="U13" s="14">
        <v>447522.64800000004</v>
      </c>
      <c r="V13" s="13"/>
      <c r="X13" s="145" t="s">
        <v>8</v>
      </c>
      <c r="Y13" s="3" t="s">
        <v>28</v>
      </c>
      <c r="Z13" s="2" t="s">
        <v>10</v>
      </c>
      <c r="AA13" s="146">
        <v>4.8</v>
      </c>
      <c r="AB13" s="148" t="s">
        <v>29</v>
      </c>
      <c r="AD13" s="205" t="str">
        <f t="shared" si="0"/>
        <v>호표76</v>
      </c>
      <c r="AE13" s="213">
        <f t="shared" si="11"/>
        <v>3.5200000000000002E-2</v>
      </c>
      <c r="AF13" s="207" t="str">
        <f t="shared" si="1"/>
        <v>호표113</v>
      </c>
      <c r="AG13" s="214">
        <f t="shared" si="2"/>
        <v>0.16666666666666666</v>
      </c>
      <c r="AI13" s="205" t="str">
        <f t="shared" si="3"/>
        <v>STS배관설치공사(옥내-용접)</v>
      </c>
      <c r="AJ13" s="206" t="str">
        <f t="shared" si="4"/>
        <v>300A TON</v>
      </c>
      <c r="AK13" s="206" t="str">
        <f t="shared" si="5"/>
        <v>ton</v>
      </c>
      <c r="AL13" s="220">
        <f t="shared" si="12"/>
        <v>0.16896</v>
      </c>
      <c r="AM13" s="217"/>
      <c r="AN13" s="207" t="str">
        <f t="shared" si="6"/>
        <v>STS배관용접</v>
      </c>
      <c r="AO13" s="221" t="str">
        <f t="shared" si="7"/>
        <v>300A 개소</v>
      </c>
      <c r="AP13" s="221" t="str">
        <f t="shared" si="8"/>
        <v>개소</v>
      </c>
      <c r="AQ13" s="215">
        <f t="shared" si="13"/>
        <v>0.79999999999999993</v>
      </c>
      <c r="AT13" s="164" t="s">
        <v>206</v>
      </c>
      <c r="AU13" s="164" t="s">
        <v>286</v>
      </c>
      <c r="AV13" s="164" t="s">
        <v>251</v>
      </c>
      <c r="AW13" s="165">
        <v>0.16896</v>
      </c>
      <c r="AY13" s="164" t="s">
        <v>206</v>
      </c>
      <c r="AZ13" s="164" t="s">
        <v>286</v>
      </c>
      <c r="BA13" s="164" t="s">
        <v>251</v>
      </c>
      <c r="BB13" s="165">
        <v>0.16896</v>
      </c>
    </row>
    <row r="14" spans="1:54" ht="18" customHeight="1" x14ac:dyDescent="0.3">
      <c r="A14" s="120" t="str">
        <f t="shared" si="9"/>
        <v>SPP_BK_VM_0000_125_FIT_STRAIGHT_J_WELD</v>
      </c>
      <c r="B14" s="124" t="s">
        <v>732</v>
      </c>
      <c r="C14" s="129">
        <v>125</v>
      </c>
      <c r="D14" s="121" t="s">
        <v>712</v>
      </c>
      <c r="E14" s="128" t="str">
        <f t="shared" si="10"/>
        <v>125A, SPP, 흑관, 반제품</v>
      </c>
      <c r="F14" s="126" t="s">
        <v>725</v>
      </c>
      <c r="G14" s="120" t="s">
        <v>727</v>
      </c>
      <c r="I14" s="120" t="s">
        <v>274</v>
      </c>
      <c r="J14" s="162">
        <v>1.61E-2</v>
      </c>
      <c r="K14" s="161"/>
      <c r="L14" s="135"/>
      <c r="N14" s="13" t="s">
        <v>219</v>
      </c>
      <c r="O14" s="14" t="s">
        <v>217</v>
      </c>
      <c r="P14" s="14" t="s">
        <v>269</v>
      </c>
      <c r="Q14" s="13">
        <v>1</v>
      </c>
      <c r="R14" s="13" t="s">
        <v>251</v>
      </c>
      <c r="S14" s="14">
        <v>0</v>
      </c>
      <c r="T14" s="14">
        <v>14628428.800000001</v>
      </c>
      <c r="U14" s="14">
        <v>438852.864</v>
      </c>
      <c r="V14" s="14"/>
      <c r="X14" s="7" t="s">
        <v>30</v>
      </c>
      <c r="Y14" s="3" t="s">
        <v>31</v>
      </c>
      <c r="Z14" s="2" t="s">
        <v>32</v>
      </c>
      <c r="AA14" s="146">
        <v>4</v>
      </c>
      <c r="AB14" s="148" t="s">
        <v>33</v>
      </c>
      <c r="AD14" s="205" t="str">
        <f t="shared" si="0"/>
        <v/>
      </c>
      <c r="AE14" s="206" t="str">
        <f t="shared" si="11"/>
        <v/>
      </c>
      <c r="AF14" s="207" t="str">
        <f t="shared" si="1"/>
        <v/>
      </c>
      <c r="AG14" s="208" t="str">
        <f t="shared" si="2"/>
        <v/>
      </c>
      <c r="AI14" s="205" t="str">
        <f t="shared" si="3"/>
        <v/>
      </c>
      <c r="AJ14" s="206" t="str">
        <f t="shared" si="4"/>
        <v/>
      </c>
      <c r="AK14" s="206" t="str">
        <f t="shared" si="5"/>
        <v/>
      </c>
      <c r="AL14" s="216" t="str">
        <f t="shared" si="12"/>
        <v/>
      </c>
      <c r="AM14" s="217"/>
      <c r="AN14" s="207" t="str">
        <f t="shared" si="6"/>
        <v/>
      </c>
      <c r="AO14" s="221" t="str">
        <f t="shared" si="7"/>
        <v/>
      </c>
      <c r="AP14" s="221" t="str">
        <f t="shared" si="8"/>
        <v/>
      </c>
      <c r="AQ14" s="208" t="str">
        <f t="shared" si="13"/>
        <v/>
      </c>
      <c r="AT14" s="164" t="s">
        <v>221</v>
      </c>
      <c r="AU14" s="164" t="s">
        <v>376</v>
      </c>
      <c r="AV14" s="164" t="s">
        <v>194</v>
      </c>
      <c r="AW14" s="164">
        <v>2.3666666666666663</v>
      </c>
      <c r="AY14" s="164" t="s">
        <v>221</v>
      </c>
      <c r="AZ14" s="164" t="s">
        <v>376</v>
      </c>
      <c r="BA14" s="164" t="s">
        <v>194</v>
      </c>
      <c r="BB14" s="164">
        <v>2.3666666666666663</v>
      </c>
    </row>
    <row r="15" spans="1:54" ht="18" customHeight="1" x14ac:dyDescent="0.3">
      <c r="A15" s="120" t="str">
        <f t="shared" si="9"/>
        <v>SPP_BK_VM_0000_150_FIT_STRAIGHT_J_WELD</v>
      </c>
      <c r="B15" s="124" t="s">
        <v>732</v>
      </c>
      <c r="C15" s="129">
        <v>150</v>
      </c>
      <c r="D15" s="121" t="s">
        <v>712</v>
      </c>
      <c r="E15" s="128" t="str">
        <f t="shared" si="10"/>
        <v>150A, SPP, 흑관, 반제품</v>
      </c>
      <c r="F15" s="126" t="s">
        <v>725</v>
      </c>
      <c r="G15" s="120" t="s">
        <v>727</v>
      </c>
      <c r="I15" s="120" t="s">
        <v>220</v>
      </c>
      <c r="J15" s="162">
        <v>1.9199999999999998E-2</v>
      </c>
      <c r="K15" s="161"/>
      <c r="L15" s="135"/>
      <c r="N15" s="13" t="s">
        <v>270</v>
      </c>
      <c r="O15" s="14" t="s">
        <v>217</v>
      </c>
      <c r="P15" s="14" t="s">
        <v>271</v>
      </c>
      <c r="Q15" s="13">
        <v>1</v>
      </c>
      <c r="R15" s="13" t="s">
        <v>251</v>
      </c>
      <c r="S15" s="14">
        <v>0</v>
      </c>
      <c r="T15" s="14">
        <v>14344827.600000001</v>
      </c>
      <c r="U15" s="14">
        <v>430344.82800000004</v>
      </c>
      <c r="V15" s="14"/>
      <c r="X15" s="7" t="s">
        <v>30</v>
      </c>
      <c r="Y15" s="3" t="s">
        <v>34</v>
      </c>
      <c r="Z15" s="2" t="s">
        <v>32</v>
      </c>
      <c r="AA15" s="146">
        <v>2</v>
      </c>
      <c r="AB15" s="148" t="s">
        <v>35</v>
      </c>
      <c r="AD15" s="205" t="str">
        <f t="shared" si="0"/>
        <v/>
      </c>
      <c r="AE15" s="206" t="str">
        <f t="shared" si="11"/>
        <v/>
      </c>
      <c r="AF15" s="207" t="str">
        <f t="shared" si="1"/>
        <v/>
      </c>
      <c r="AG15" s="208" t="str">
        <f t="shared" si="2"/>
        <v/>
      </c>
      <c r="AI15" s="205" t="str">
        <f t="shared" si="3"/>
        <v/>
      </c>
      <c r="AJ15" s="206" t="str">
        <f t="shared" si="4"/>
        <v/>
      </c>
      <c r="AK15" s="206" t="str">
        <f t="shared" si="5"/>
        <v/>
      </c>
      <c r="AL15" s="216" t="str">
        <f t="shared" si="12"/>
        <v/>
      </c>
      <c r="AM15" s="217"/>
      <c r="AN15" s="207" t="str">
        <f t="shared" si="6"/>
        <v/>
      </c>
      <c r="AO15" s="221" t="str">
        <f t="shared" si="7"/>
        <v/>
      </c>
      <c r="AP15" s="221" t="str">
        <f t="shared" si="8"/>
        <v/>
      </c>
      <c r="AQ15" s="208" t="str">
        <f t="shared" si="13"/>
        <v/>
      </c>
      <c r="AT15" s="164" t="s">
        <v>221</v>
      </c>
      <c r="AU15" s="164" t="s">
        <v>379</v>
      </c>
      <c r="AV15" s="164" t="s">
        <v>194</v>
      </c>
      <c r="AW15" s="164">
        <v>2.5166666666666666</v>
      </c>
      <c r="AY15" s="164" t="s">
        <v>221</v>
      </c>
      <c r="AZ15" s="164" t="s">
        <v>379</v>
      </c>
      <c r="BA15" s="164" t="s">
        <v>194</v>
      </c>
      <c r="BB15" s="164">
        <v>2.5166666666666666</v>
      </c>
    </row>
    <row r="16" spans="1:54" ht="18" customHeight="1" x14ac:dyDescent="0.3">
      <c r="A16" s="120" t="str">
        <f t="shared" si="9"/>
        <v>SPP_BK_VM_0000_200_FIT_STRAIGHT_J_WELD</v>
      </c>
      <c r="B16" s="124" t="s">
        <v>732</v>
      </c>
      <c r="C16" s="129">
        <v>200</v>
      </c>
      <c r="D16" s="121" t="s">
        <v>712</v>
      </c>
      <c r="E16" s="128" t="str">
        <f t="shared" si="10"/>
        <v>200A, SPP, 흑관, 반제품</v>
      </c>
      <c r="F16" s="126" t="s">
        <v>725</v>
      </c>
      <c r="G16" s="120" t="s">
        <v>727</v>
      </c>
      <c r="I16" s="120" t="s">
        <v>279</v>
      </c>
      <c r="J16" s="162">
        <v>3.04E-2</v>
      </c>
      <c r="K16" s="161"/>
      <c r="L16" s="135"/>
      <c r="N16" s="13" t="s">
        <v>272</v>
      </c>
      <c r="O16" s="14" t="s">
        <v>217</v>
      </c>
      <c r="P16" s="14" t="s">
        <v>273</v>
      </c>
      <c r="Q16" s="13">
        <v>1</v>
      </c>
      <c r="R16" s="13" t="s">
        <v>251</v>
      </c>
      <c r="S16" s="14">
        <v>0</v>
      </c>
      <c r="T16" s="14">
        <v>13657714.799999999</v>
      </c>
      <c r="U16" s="14">
        <v>409731.44399999996</v>
      </c>
      <c r="V16" s="14"/>
      <c r="X16" s="7" t="s">
        <v>30</v>
      </c>
      <c r="Y16" s="3" t="s">
        <v>36</v>
      </c>
      <c r="Z16" s="2" t="s">
        <v>32</v>
      </c>
      <c r="AA16" s="146">
        <v>26</v>
      </c>
      <c r="AB16" s="148" t="s">
        <v>37</v>
      </c>
      <c r="AD16" s="205" t="str">
        <f t="shared" si="0"/>
        <v/>
      </c>
      <c r="AE16" s="206" t="str">
        <f t="shared" si="11"/>
        <v/>
      </c>
      <c r="AF16" s="207" t="str">
        <f t="shared" si="1"/>
        <v/>
      </c>
      <c r="AG16" s="208" t="str">
        <f t="shared" si="2"/>
        <v/>
      </c>
      <c r="AI16" s="205" t="str">
        <f t="shared" si="3"/>
        <v/>
      </c>
      <c r="AJ16" s="206" t="str">
        <f t="shared" si="4"/>
        <v/>
      </c>
      <c r="AK16" s="206" t="str">
        <f t="shared" si="5"/>
        <v/>
      </c>
      <c r="AL16" s="216" t="str">
        <f t="shared" si="12"/>
        <v/>
      </c>
      <c r="AM16" s="217"/>
      <c r="AN16" s="207" t="str">
        <f t="shared" si="6"/>
        <v/>
      </c>
      <c r="AO16" s="221" t="str">
        <f t="shared" si="7"/>
        <v/>
      </c>
      <c r="AP16" s="221" t="str">
        <f t="shared" si="8"/>
        <v/>
      </c>
      <c r="AQ16" s="208" t="str">
        <f t="shared" si="13"/>
        <v/>
      </c>
      <c r="AT16" s="164" t="s">
        <v>221</v>
      </c>
      <c r="AU16" s="164" t="s">
        <v>382</v>
      </c>
      <c r="AV16" s="164" t="s">
        <v>194</v>
      </c>
      <c r="AW16" s="164">
        <v>13.433333333333332</v>
      </c>
      <c r="AY16" s="164" t="s">
        <v>221</v>
      </c>
      <c r="AZ16" s="164" t="s">
        <v>382</v>
      </c>
      <c r="BA16" s="164" t="s">
        <v>194</v>
      </c>
      <c r="BB16" s="164">
        <v>13.433333333333332</v>
      </c>
    </row>
    <row r="17" spans="1:54" ht="18" customHeight="1" x14ac:dyDescent="0.3">
      <c r="A17" s="120" t="str">
        <f t="shared" si="9"/>
        <v>SPP_BK_VM_0000_250_FIT_STRAIGHT_J_WELD</v>
      </c>
      <c r="B17" s="124" t="s">
        <v>732</v>
      </c>
      <c r="C17" s="129">
        <v>250</v>
      </c>
      <c r="D17" s="121" t="s">
        <v>712</v>
      </c>
      <c r="E17" s="128" t="str">
        <f t="shared" si="10"/>
        <v>250A, SPP, 흑관, 반제품</v>
      </c>
      <c r="F17" s="126" t="s">
        <v>725</v>
      </c>
      <c r="G17" s="120" t="s">
        <v>727</v>
      </c>
      <c r="I17" s="120" t="s">
        <v>283</v>
      </c>
      <c r="J17" s="162">
        <v>4.1200000000000001E-2</v>
      </c>
      <c r="K17" s="161"/>
      <c r="L17" s="135"/>
      <c r="N17" s="13" t="s">
        <v>274</v>
      </c>
      <c r="O17" s="14" t="s">
        <v>217</v>
      </c>
      <c r="P17" s="14" t="s">
        <v>275</v>
      </c>
      <c r="Q17" s="13">
        <v>1</v>
      </c>
      <c r="R17" s="13" t="s">
        <v>251</v>
      </c>
      <c r="S17" s="14">
        <v>0</v>
      </c>
      <c r="T17" s="14">
        <v>13428677.199999999</v>
      </c>
      <c r="U17" s="14">
        <v>402860.31599999999</v>
      </c>
      <c r="V17" s="13"/>
      <c r="X17" s="7" t="s">
        <v>30</v>
      </c>
      <c r="Y17" s="3" t="s">
        <v>38</v>
      </c>
      <c r="Z17" s="2" t="s">
        <v>32</v>
      </c>
      <c r="AA17" s="146">
        <v>2</v>
      </c>
      <c r="AB17" s="148" t="s">
        <v>39</v>
      </c>
      <c r="AD17" s="205" t="str">
        <f t="shared" si="0"/>
        <v/>
      </c>
      <c r="AE17" s="206" t="str">
        <f t="shared" si="11"/>
        <v/>
      </c>
      <c r="AF17" s="207" t="str">
        <f t="shared" si="1"/>
        <v/>
      </c>
      <c r="AG17" s="208" t="str">
        <f t="shared" si="2"/>
        <v/>
      </c>
      <c r="AI17" s="205" t="str">
        <f t="shared" si="3"/>
        <v/>
      </c>
      <c r="AJ17" s="206" t="str">
        <f t="shared" si="4"/>
        <v/>
      </c>
      <c r="AK17" s="206" t="str">
        <f t="shared" si="5"/>
        <v/>
      </c>
      <c r="AL17" s="216" t="str">
        <f t="shared" si="12"/>
        <v/>
      </c>
      <c r="AM17" s="217"/>
      <c r="AN17" s="207" t="str">
        <f t="shared" si="6"/>
        <v/>
      </c>
      <c r="AO17" s="221" t="str">
        <f t="shared" si="7"/>
        <v/>
      </c>
      <c r="AP17" s="221" t="str">
        <f t="shared" si="8"/>
        <v/>
      </c>
      <c r="AQ17" s="208" t="str">
        <f t="shared" si="13"/>
        <v/>
      </c>
      <c r="AT17" s="164" t="s">
        <v>221</v>
      </c>
      <c r="AU17" s="164" t="s">
        <v>383</v>
      </c>
      <c r="AV17" s="164" t="s">
        <v>194</v>
      </c>
      <c r="AW17" s="164">
        <v>0.5</v>
      </c>
      <c r="AY17" s="164" t="s">
        <v>221</v>
      </c>
      <c r="AZ17" s="164" t="s">
        <v>383</v>
      </c>
      <c r="BA17" s="164" t="s">
        <v>194</v>
      </c>
      <c r="BB17" s="164">
        <v>0.5</v>
      </c>
    </row>
    <row r="18" spans="1:54" ht="18" customHeight="1" x14ac:dyDescent="0.3">
      <c r="A18" s="120" t="str">
        <f t="shared" si="9"/>
        <v>SPP_BK_VM_0000_300_FIT_STRAIGHT_J_WELD</v>
      </c>
      <c r="B18" s="124" t="s">
        <v>732</v>
      </c>
      <c r="C18" s="129">
        <v>300</v>
      </c>
      <c r="D18" s="121" t="s">
        <v>712</v>
      </c>
      <c r="E18" s="128" t="str">
        <f t="shared" si="10"/>
        <v>300A, SPP, 흑관, 반제품</v>
      </c>
      <c r="F18" s="126" t="s">
        <v>725</v>
      </c>
      <c r="G18" s="120" t="s">
        <v>727</v>
      </c>
      <c r="I18" s="120" t="s">
        <v>285</v>
      </c>
      <c r="J18" s="162">
        <v>5.3800000000000001E-2</v>
      </c>
      <c r="K18" s="161"/>
      <c r="L18" s="135"/>
      <c r="N18" s="13" t="s">
        <v>220</v>
      </c>
      <c r="O18" s="14" t="s">
        <v>217</v>
      </c>
      <c r="P18" s="14" t="s">
        <v>276</v>
      </c>
      <c r="Q18" s="13">
        <v>1</v>
      </c>
      <c r="R18" s="13" t="s">
        <v>251</v>
      </c>
      <c r="S18" s="14">
        <v>0</v>
      </c>
      <c r="T18" s="14">
        <v>12567090.399999999</v>
      </c>
      <c r="U18" s="14">
        <v>377012.71199999994</v>
      </c>
      <c r="V18" s="14"/>
      <c r="X18" s="7" t="s">
        <v>30</v>
      </c>
      <c r="Y18" s="3" t="s">
        <v>40</v>
      </c>
      <c r="Z18" s="2" t="s">
        <v>32</v>
      </c>
      <c r="AA18" s="146">
        <v>13</v>
      </c>
      <c r="AB18" s="148" t="s">
        <v>41</v>
      </c>
      <c r="AD18" s="205" t="str">
        <f t="shared" si="0"/>
        <v/>
      </c>
      <c r="AE18" s="206" t="str">
        <f t="shared" si="11"/>
        <v/>
      </c>
      <c r="AF18" s="207" t="str">
        <f t="shared" si="1"/>
        <v/>
      </c>
      <c r="AG18" s="208" t="str">
        <f t="shared" si="2"/>
        <v/>
      </c>
      <c r="AI18" s="205" t="str">
        <f t="shared" si="3"/>
        <v/>
      </c>
      <c r="AJ18" s="206" t="str">
        <f t="shared" si="4"/>
        <v/>
      </c>
      <c r="AK18" s="206" t="str">
        <f t="shared" si="5"/>
        <v/>
      </c>
      <c r="AL18" s="216" t="str">
        <f t="shared" si="12"/>
        <v/>
      </c>
      <c r="AM18" s="217"/>
      <c r="AN18" s="207" t="str">
        <f t="shared" si="6"/>
        <v/>
      </c>
      <c r="AO18" s="221" t="str">
        <f t="shared" si="7"/>
        <v/>
      </c>
      <c r="AP18" s="221" t="str">
        <f t="shared" si="8"/>
        <v/>
      </c>
      <c r="AQ18" s="208" t="str">
        <f t="shared" si="13"/>
        <v/>
      </c>
      <c r="AT18" s="164" t="s">
        <v>221</v>
      </c>
      <c r="AU18" s="164" t="s">
        <v>384</v>
      </c>
      <c r="AV18" s="164" t="s">
        <v>194</v>
      </c>
      <c r="AW18" s="164">
        <v>14.5</v>
      </c>
      <c r="AY18" s="164" t="s">
        <v>221</v>
      </c>
      <c r="AZ18" s="164" t="s">
        <v>384</v>
      </c>
      <c r="BA18" s="164" t="s">
        <v>194</v>
      </c>
      <c r="BB18" s="164">
        <v>14.5</v>
      </c>
    </row>
    <row r="19" spans="1:54" ht="18" customHeight="1" x14ac:dyDescent="0.3">
      <c r="A19" s="120" t="str">
        <f t="shared" si="9"/>
        <v>SPP_BK_VM_0000_350_FIT_STRAIGHT_J_WELD</v>
      </c>
      <c r="B19" s="124" t="s">
        <v>732</v>
      </c>
      <c r="C19" s="129">
        <v>350</v>
      </c>
      <c r="D19" s="121" t="s">
        <v>712</v>
      </c>
      <c r="E19" s="128" t="str">
        <f t="shared" si="10"/>
        <v>350A, SPP, 흑관, 반제품</v>
      </c>
      <c r="F19" s="126" t="s">
        <v>725</v>
      </c>
      <c r="G19" s="120" t="s">
        <v>727</v>
      </c>
      <c r="I19" s="120" t="s">
        <v>287</v>
      </c>
      <c r="J19" s="162">
        <v>6.5200000000000008E-2</v>
      </c>
      <c r="K19" s="161"/>
      <c r="L19" s="135"/>
      <c r="N19" s="13" t="s">
        <v>277</v>
      </c>
      <c r="O19" s="14" t="s">
        <v>217</v>
      </c>
      <c r="P19" s="14" t="s">
        <v>278</v>
      </c>
      <c r="Q19" s="13">
        <v>1</v>
      </c>
      <c r="R19" s="13" t="s">
        <v>251</v>
      </c>
      <c r="S19" s="14">
        <v>0</v>
      </c>
      <c r="T19" s="14">
        <v>12109015.200000001</v>
      </c>
      <c r="U19" s="14">
        <v>363270.45600000001</v>
      </c>
      <c r="V19" s="13"/>
      <c r="X19" s="7" t="s">
        <v>30</v>
      </c>
      <c r="Y19" s="3" t="s">
        <v>42</v>
      </c>
      <c r="Z19" s="2" t="s">
        <v>32</v>
      </c>
      <c r="AA19" s="146">
        <v>4</v>
      </c>
      <c r="AB19" s="148" t="s">
        <v>43</v>
      </c>
      <c r="AD19" s="205" t="str">
        <f t="shared" si="0"/>
        <v/>
      </c>
      <c r="AE19" s="206" t="str">
        <f t="shared" si="11"/>
        <v/>
      </c>
      <c r="AF19" s="207" t="str">
        <f t="shared" si="1"/>
        <v/>
      </c>
      <c r="AG19" s="208" t="str">
        <f t="shared" si="2"/>
        <v/>
      </c>
      <c r="AI19" s="205" t="str">
        <f t="shared" si="3"/>
        <v/>
      </c>
      <c r="AJ19" s="206" t="str">
        <f t="shared" si="4"/>
        <v/>
      </c>
      <c r="AK19" s="206" t="str">
        <f t="shared" si="5"/>
        <v/>
      </c>
      <c r="AL19" s="216" t="str">
        <f t="shared" si="12"/>
        <v/>
      </c>
      <c r="AM19" s="217"/>
      <c r="AN19" s="207" t="str">
        <f t="shared" si="6"/>
        <v/>
      </c>
      <c r="AO19" s="221" t="str">
        <f t="shared" si="7"/>
        <v/>
      </c>
      <c r="AP19" s="221" t="str">
        <f t="shared" si="8"/>
        <v/>
      </c>
      <c r="AQ19" s="208" t="str">
        <f t="shared" si="13"/>
        <v/>
      </c>
      <c r="AT19" s="164" t="s">
        <v>221</v>
      </c>
      <c r="AU19" s="164" t="s">
        <v>387</v>
      </c>
      <c r="AV19" s="164" t="s">
        <v>194</v>
      </c>
      <c r="AW19" s="164">
        <v>2.9333333333333327</v>
      </c>
      <c r="AY19" s="164" t="s">
        <v>221</v>
      </c>
      <c r="AZ19" s="164" t="s">
        <v>387</v>
      </c>
      <c r="BA19" s="164" t="s">
        <v>194</v>
      </c>
      <c r="BB19" s="164">
        <v>2.9333333333333327</v>
      </c>
    </row>
    <row r="20" spans="1:54" ht="18" customHeight="1" x14ac:dyDescent="0.3">
      <c r="A20" s="120" t="str">
        <f t="shared" si="9"/>
        <v>SPP_BK_VM_0000_400_FIT_STRAIGHT_J_WELD</v>
      </c>
      <c r="B20" s="124" t="s">
        <v>732</v>
      </c>
      <c r="C20" s="129">
        <v>400</v>
      </c>
      <c r="D20" s="121" t="s">
        <v>712</v>
      </c>
      <c r="E20" s="128" t="str">
        <f t="shared" si="10"/>
        <v>400A, SPP, 흑관, 반제품</v>
      </c>
      <c r="F20" s="126" t="s">
        <v>725</v>
      </c>
      <c r="G20" s="120" t="s">
        <v>727</v>
      </c>
      <c r="I20" s="120" t="s">
        <v>289</v>
      </c>
      <c r="J20" s="162">
        <v>7.7599999999999988E-2</v>
      </c>
      <c r="K20" s="161"/>
      <c r="L20" s="135"/>
      <c r="N20" s="13" t="s">
        <v>279</v>
      </c>
      <c r="O20" s="14" t="s">
        <v>217</v>
      </c>
      <c r="P20" s="14" t="s">
        <v>280</v>
      </c>
      <c r="Q20" s="13">
        <v>1</v>
      </c>
      <c r="R20" s="13" t="s">
        <v>251</v>
      </c>
      <c r="S20" s="14">
        <v>0</v>
      </c>
      <c r="T20" s="14">
        <v>11481857.600000001</v>
      </c>
      <c r="U20" s="14">
        <v>344455.72800000006</v>
      </c>
      <c r="V20" s="14"/>
      <c r="X20" s="7" t="s">
        <v>30</v>
      </c>
      <c r="Y20" s="3" t="s">
        <v>44</v>
      </c>
      <c r="Z20" s="2" t="s">
        <v>32</v>
      </c>
      <c r="AA20" s="146">
        <v>13</v>
      </c>
      <c r="AB20" s="148" t="s">
        <v>45</v>
      </c>
      <c r="AD20" s="205" t="str">
        <f t="shared" si="0"/>
        <v/>
      </c>
      <c r="AE20" s="206" t="str">
        <f t="shared" si="11"/>
        <v/>
      </c>
      <c r="AF20" s="207" t="str">
        <f t="shared" si="1"/>
        <v/>
      </c>
      <c r="AG20" s="208" t="str">
        <f t="shared" si="2"/>
        <v/>
      </c>
      <c r="AI20" s="205" t="str">
        <f t="shared" si="3"/>
        <v/>
      </c>
      <c r="AJ20" s="206" t="str">
        <f t="shared" si="4"/>
        <v/>
      </c>
      <c r="AK20" s="206" t="str">
        <f t="shared" si="5"/>
        <v/>
      </c>
      <c r="AL20" s="216" t="str">
        <f t="shared" si="12"/>
        <v/>
      </c>
      <c r="AM20" s="217"/>
      <c r="AN20" s="207" t="str">
        <f t="shared" si="6"/>
        <v/>
      </c>
      <c r="AO20" s="221" t="str">
        <f t="shared" si="7"/>
        <v/>
      </c>
      <c r="AP20" s="221" t="str">
        <f t="shared" si="8"/>
        <v/>
      </c>
      <c r="AQ20" s="208" t="str">
        <f t="shared" si="13"/>
        <v/>
      </c>
      <c r="AT20" s="164" t="s">
        <v>221</v>
      </c>
      <c r="AU20" s="164" t="s">
        <v>388</v>
      </c>
      <c r="AV20" s="164" t="s">
        <v>194</v>
      </c>
      <c r="AW20" s="164">
        <v>7.0666666666666664</v>
      </c>
      <c r="AY20" s="164" t="s">
        <v>221</v>
      </c>
      <c r="AZ20" s="164" t="s">
        <v>388</v>
      </c>
      <c r="BA20" s="164" t="s">
        <v>194</v>
      </c>
      <c r="BB20" s="164">
        <v>7.0666666666666664</v>
      </c>
    </row>
    <row r="21" spans="1:54" ht="18" customHeight="1" x14ac:dyDescent="0.3">
      <c r="A21" s="120" t="str">
        <f t="shared" si="9"/>
        <v>SPP_BK_VM_0000_450_FIT_STRAIGHT_J_WELD</v>
      </c>
      <c r="B21" s="124" t="s">
        <v>732</v>
      </c>
      <c r="C21" s="129">
        <v>450</v>
      </c>
      <c r="D21" s="121" t="s">
        <v>712</v>
      </c>
      <c r="E21" s="128" t="str">
        <f t="shared" si="10"/>
        <v>450A, SPP, 흑관, 반제품</v>
      </c>
      <c r="F21" s="126" t="s">
        <v>725</v>
      </c>
      <c r="G21" s="120" t="s">
        <v>727</v>
      </c>
      <c r="I21" s="120" t="s">
        <v>291</v>
      </c>
      <c r="J21" s="162">
        <v>8.7499999999999994E-2</v>
      </c>
      <c r="K21" s="161"/>
      <c r="L21" s="135"/>
      <c r="N21" s="13" t="s">
        <v>281</v>
      </c>
      <c r="O21" s="14" t="s">
        <v>217</v>
      </c>
      <c r="P21" s="14" t="s">
        <v>282</v>
      </c>
      <c r="Q21" s="13">
        <v>1</v>
      </c>
      <c r="R21" s="13" t="s">
        <v>251</v>
      </c>
      <c r="S21" s="14">
        <v>0</v>
      </c>
      <c r="T21" s="14">
        <v>11023782.4</v>
      </c>
      <c r="U21" s="14">
        <v>330713.47200000001</v>
      </c>
      <c r="V21" s="13"/>
      <c r="X21" s="7" t="s">
        <v>30</v>
      </c>
      <c r="Y21" s="3" t="s">
        <v>46</v>
      </c>
      <c r="Z21" s="2" t="s">
        <v>32</v>
      </c>
      <c r="AA21" s="146">
        <v>6</v>
      </c>
      <c r="AB21" s="148" t="s">
        <v>47</v>
      </c>
      <c r="AD21" s="205" t="str">
        <f t="shared" si="0"/>
        <v/>
      </c>
      <c r="AE21" s="206" t="str">
        <f t="shared" si="11"/>
        <v/>
      </c>
      <c r="AF21" s="207" t="str">
        <f t="shared" si="1"/>
        <v/>
      </c>
      <c r="AG21" s="208" t="str">
        <f t="shared" si="2"/>
        <v/>
      </c>
      <c r="AI21" s="205" t="str">
        <f t="shared" si="3"/>
        <v/>
      </c>
      <c r="AJ21" s="206" t="str">
        <f t="shared" si="4"/>
        <v/>
      </c>
      <c r="AK21" s="206" t="str">
        <f t="shared" si="5"/>
        <v/>
      </c>
      <c r="AL21" s="216" t="str">
        <f t="shared" si="12"/>
        <v/>
      </c>
      <c r="AM21" s="217"/>
      <c r="AN21" s="207" t="str">
        <f t="shared" si="6"/>
        <v/>
      </c>
      <c r="AO21" s="221" t="str">
        <f t="shared" si="7"/>
        <v/>
      </c>
      <c r="AP21" s="221" t="str">
        <f t="shared" si="8"/>
        <v/>
      </c>
      <c r="AQ21" s="208" t="str">
        <f t="shared" si="13"/>
        <v/>
      </c>
      <c r="AT21" s="164" t="s">
        <v>221</v>
      </c>
      <c r="AU21" s="164" t="s">
        <v>389</v>
      </c>
      <c r="AV21" s="164" t="s">
        <v>194</v>
      </c>
      <c r="AW21" s="164">
        <v>10.7</v>
      </c>
      <c r="AY21" s="164" t="s">
        <v>221</v>
      </c>
      <c r="AZ21" s="164" t="s">
        <v>389</v>
      </c>
      <c r="BA21" s="164" t="s">
        <v>194</v>
      </c>
      <c r="BB21" s="164">
        <v>10.7</v>
      </c>
    </row>
    <row r="22" spans="1:54" ht="18" customHeight="1" x14ac:dyDescent="0.3">
      <c r="A22" s="120" t="str">
        <f t="shared" si="9"/>
        <v>SPP_BK_VM_0000_500_FIT_STRAIGHT_J_WELD</v>
      </c>
      <c r="B22" s="124" t="s">
        <v>732</v>
      </c>
      <c r="C22" s="129">
        <v>500</v>
      </c>
      <c r="D22" s="121" t="s">
        <v>712</v>
      </c>
      <c r="E22" s="128" t="str">
        <f t="shared" si="10"/>
        <v>500A, SPP, 흑관, 반제품</v>
      </c>
      <c r="F22" s="126" t="s">
        <v>725</v>
      </c>
      <c r="G22" s="120" t="s">
        <v>727</v>
      </c>
      <c r="I22" s="120" t="s">
        <v>293</v>
      </c>
      <c r="J22" s="162">
        <v>9.74E-2</v>
      </c>
      <c r="K22" s="161"/>
      <c r="L22" s="135"/>
      <c r="N22" s="13" t="s">
        <v>283</v>
      </c>
      <c r="O22" s="14" t="s">
        <v>217</v>
      </c>
      <c r="P22" s="14" t="s">
        <v>284</v>
      </c>
      <c r="Q22" s="13">
        <v>1</v>
      </c>
      <c r="R22" s="13" t="s">
        <v>251</v>
      </c>
      <c r="S22" s="14">
        <v>0</v>
      </c>
      <c r="T22" s="14">
        <v>10650248.400000002</v>
      </c>
      <c r="U22" s="14">
        <v>319507.45200000005</v>
      </c>
      <c r="V22" s="14"/>
      <c r="X22" s="7" t="s">
        <v>30</v>
      </c>
      <c r="Y22" s="3" t="s">
        <v>48</v>
      </c>
      <c r="Z22" s="2" t="s">
        <v>32</v>
      </c>
      <c r="AA22" s="146">
        <v>25</v>
      </c>
      <c r="AB22" s="148" t="s">
        <v>49</v>
      </c>
      <c r="AD22" s="205" t="str">
        <f t="shared" si="0"/>
        <v/>
      </c>
      <c r="AE22" s="206" t="str">
        <f t="shared" si="11"/>
        <v/>
      </c>
      <c r="AF22" s="207" t="str">
        <f t="shared" si="1"/>
        <v/>
      </c>
      <c r="AG22" s="208" t="str">
        <f t="shared" si="2"/>
        <v/>
      </c>
      <c r="AI22" s="205" t="str">
        <f t="shared" si="3"/>
        <v/>
      </c>
      <c r="AJ22" s="206" t="str">
        <f t="shared" si="4"/>
        <v/>
      </c>
      <c r="AK22" s="206" t="str">
        <f t="shared" si="5"/>
        <v/>
      </c>
      <c r="AL22" s="216" t="str">
        <f t="shared" si="12"/>
        <v/>
      </c>
      <c r="AM22" s="217"/>
      <c r="AN22" s="207" t="str">
        <f t="shared" si="6"/>
        <v/>
      </c>
      <c r="AO22" s="221" t="str">
        <f t="shared" si="7"/>
        <v/>
      </c>
      <c r="AP22" s="221" t="str">
        <f t="shared" si="8"/>
        <v/>
      </c>
      <c r="AQ22" s="208" t="str">
        <f t="shared" si="13"/>
        <v/>
      </c>
      <c r="AT22" s="164" t="s">
        <v>221</v>
      </c>
      <c r="AU22" s="164" t="s">
        <v>392</v>
      </c>
      <c r="AV22" s="164" t="s">
        <v>194</v>
      </c>
      <c r="AW22" s="164">
        <v>12.283333333333333</v>
      </c>
      <c r="AY22" s="164" t="s">
        <v>221</v>
      </c>
      <c r="AZ22" s="164" t="s">
        <v>392</v>
      </c>
      <c r="BA22" s="164" t="s">
        <v>194</v>
      </c>
      <c r="BB22" s="164">
        <v>12.283333333333333</v>
      </c>
    </row>
    <row r="23" spans="1:54" ht="18" customHeight="1" x14ac:dyDescent="0.3">
      <c r="A23" s="120" t="str">
        <f t="shared" si="9"/>
        <v>SPP_BK_VM_0000_550_FIT_STRAIGHT_J_WELD</v>
      </c>
      <c r="B23" s="124" t="s">
        <v>732</v>
      </c>
      <c r="C23" s="129">
        <v>550</v>
      </c>
      <c r="D23" s="121" t="s">
        <v>712</v>
      </c>
      <c r="E23" s="128" t="str">
        <f t="shared" si="10"/>
        <v>550A, SPP, 흑관, 반제품</v>
      </c>
      <c r="F23" s="126" t="s">
        <v>725</v>
      </c>
      <c r="G23" s="120" t="s">
        <v>727</v>
      </c>
      <c r="I23" s="120" t="s">
        <v>295</v>
      </c>
      <c r="J23" s="162">
        <v>0.107</v>
      </c>
      <c r="K23" s="161"/>
      <c r="L23" s="135"/>
      <c r="N23" s="13" t="s">
        <v>285</v>
      </c>
      <c r="O23" s="14" t="s">
        <v>217</v>
      </c>
      <c r="P23" s="14" t="s">
        <v>286</v>
      </c>
      <c r="Q23" s="13">
        <v>1</v>
      </c>
      <c r="R23" s="13" t="s">
        <v>251</v>
      </c>
      <c r="S23" s="14">
        <v>0</v>
      </c>
      <c r="T23" s="14">
        <v>10410427.6</v>
      </c>
      <c r="U23" s="14">
        <v>312312.82799999998</v>
      </c>
      <c r="V23" s="14"/>
      <c r="X23" s="4" t="s">
        <v>50</v>
      </c>
      <c r="Y23" s="4" t="s">
        <v>51</v>
      </c>
      <c r="Z23" s="5" t="s">
        <v>32</v>
      </c>
      <c r="AA23" s="147">
        <v>1</v>
      </c>
      <c r="AB23" s="149"/>
      <c r="AD23" s="205" t="str">
        <f t="shared" si="0"/>
        <v/>
      </c>
      <c r="AE23" s="206" t="str">
        <f t="shared" si="11"/>
        <v/>
      </c>
      <c r="AF23" s="207" t="str">
        <f t="shared" si="1"/>
        <v/>
      </c>
      <c r="AG23" s="208" t="str">
        <f t="shared" si="2"/>
        <v/>
      </c>
      <c r="AI23" s="205" t="str">
        <f t="shared" si="3"/>
        <v/>
      </c>
      <c r="AJ23" s="206" t="str">
        <f t="shared" si="4"/>
        <v/>
      </c>
      <c r="AK23" s="206" t="str">
        <f t="shared" si="5"/>
        <v/>
      </c>
      <c r="AL23" s="216" t="str">
        <f t="shared" si="12"/>
        <v/>
      </c>
      <c r="AM23" s="217"/>
      <c r="AN23" s="207" t="str">
        <f t="shared" si="6"/>
        <v/>
      </c>
      <c r="AO23" s="221" t="str">
        <f t="shared" si="7"/>
        <v/>
      </c>
      <c r="AP23" s="221" t="str">
        <f t="shared" si="8"/>
        <v/>
      </c>
      <c r="AQ23" s="208" t="str">
        <f t="shared" si="13"/>
        <v/>
      </c>
      <c r="AT23" s="164" t="s">
        <v>221</v>
      </c>
      <c r="AU23" s="164" t="s">
        <v>397</v>
      </c>
      <c r="AV23" s="164" t="s">
        <v>194</v>
      </c>
      <c r="AW23" s="164">
        <v>0.79999999999999993</v>
      </c>
      <c r="AY23" s="164" t="s">
        <v>221</v>
      </c>
      <c r="AZ23" s="164" t="s">
        <v>397</v>
      </c>
      <c r="BA23" s="164" t="s">
        <v>194</v>
      </c>
      <c r="BB23" s="164">
        <v>0.79999999999999993</v>
      </c>
    </row>
    <row r="24" spans="1:54" ht="18" customHeight="1" x14ac:dyDescent="0.3">
      <c r="A24" s="120" t="str">
        <f t="shared" si="9"/>
        <v>SPP_BK_VM_0000_600_FIT_STRAIGHT_J_WELD</v>
      </c>
      <c r="B24" s="124" t="s">
        <v>732</v>
      </c>
      <c r="C24" s="129">
        <v>600</v>
      </c>
      <c r="D24" s="121" t="s">
        <v>712</v>
      </c>
      <c r="E24" s="128" t="str">
        <f t="shared" si="10"/>
        <v>600A, SPP, 흑관, 반제품</v>
      </c>
      <c r="F24" s="126" t="s">
        <v>725</v>
      </c>
      <c r="G24" s="120" t="s">
        <v>727</v>
      </c>
      <c r="I24" s="120" t="s">
        <v>297</v>
      </c>
      <c r="J24" s="162">
        <v>0.11700000000000001</v>
      </c>
      <c r="K24" s="161"/>
      <c r="L24" s="135"/>
      <c r="N24" s="13" t="s">
        <v>287</v>
      </c>
      <c r="O24" s="14" t="s">
        <v>217</v>
      </c>
      <c r="P24" s="14" t="s">
        <v>288</v>
      </c>
      <c r="Q24" s="13">
        <v>1</v>
      </c>
      <c r="R24" s="13" t="s">
        <v>251</v>
      </c>
      <c r="S24" s="14">
        <v>0</v>
      </c>
      <c r="T24" s="14">
        <v>9619579.1999999993</v>
      </c>
      <c r="U24" s="14">
        <v>288587.37599999999</v>
      </c>
      <c r="V24" s="14"/>
      <c r="X24" s="7" t="s">
        <v>52</v>
      </c>
      <c r="Y24" s="3" t="s">
        <v>53</v>
      </c>
      <c r="Z24" s="2" t="s">
        <v>32</v>
      </c>
      <c r="AA24" s="146">
        <v>3</v>
      </c>
      <c r="AB24" s="148" t="s">
        <v>54</v>
      </c>
      <c r="AD24" s="205" t="str">
        <f t="shared" si="0"/>
        <v/>
      </c>
      <c r="AE24" s="206" t="str">
        <f t="shared" si="11"/>
        <v/>
      </c>
      <c r="AF24" s="207" t="str">
        <f t="shared" si="1"/>
        <v/>
      </c>
      <c r="AG24" s="208" t="str">
        <f t="shared" si="2"/>
        <v/>
      </c>
      <c r="AI24" s="205" t="str">
        <f t="shared" si="3"/>
        <v/>
      </c>
      <c r="AJ24" s="206" t="str">
        <f t="shared" si="4"/>
        <v/>
      </c>
      <c r="AK24" s="206" t="str">
        <f t="shared" si="5"/>
        <v/>
      </c>
      <c r="AL24" s="216" t="str">
        <f t="shared" si="12"/>
        <v/>
      </c>
      <c r="AM24" s="217"/>
      <c r="AN24" s="207" t="str">
        <f t="shared" si="6"/>
        <v/>
      </c>
      <c r="AO24" s="221" t="str">
        <f t="shared" si="7"/>
        <v/>
      </c>
      <c r="AP24" s="221" t="str">
        <f t="shared" si="8"/>
        <v/>
      </c>
      <c r="AQ24" s="208" t="str">
        <f t="shared" si="13"/>
        <v/>
      </c>
      <c r="AT24" s="167" t="s">
        <v>193</v>
      </c>
      <c r="AU24" s="167" t="s">
        <v>378</v>
      </c>
      <c r="AV24" s="167" t="s">
        <v>194</v>
      </c>
      <c r="AW24" s="167">
        <v>1</v>
      </c>
      <c r="AY24" s="167" t="s">
        <v>193</v>
      </c>
      <c r="AZ24" s="167" t="s">
        <v>378</v>
      </c>
      <c r="BA24" s="167" t="s">
        <v>194</v>
      </c>
      <c r="BB24" s="167">
        <v>6</v>
      </c>
    </row>
    <row r="25" spans="1:54" ht="18" customHeight="1" x14ac:dyDescent="0.3">
      <c r="A25" s="120" t="str">
        <f>B25&amp;"_VM_0000_"&amp;C25&amp;"_"&amp;F25&amp;"_"&amp;G25</f>
        <v>SPP_GV_VM_0000_15_FIT_STRAIGHT_J_WELD</v>
      </c>
      <c r="B25" s="124" t="s">
        <v>736</v>
      </c>
      <c r="C25" s="129">
        <v>15</v>
      </c>
      <c r="D25" s="121" t="s">
        <v>737</v>
      </c>
      <c r="E25" s="128" t="str">
        <f>C25&amp;"A, SPP, 백관, 반제품"</f>
        <v>15A, SPP, 백관, 반제품</v>
      </c>
      <c r="F25" s="126" t="s">
        <v>725</v>
      </c>
      <c r="G25" s="120" t="s">
        <v>727</v>
      </c>
      <c r="I25" s="120" t="s">
        <v>733</v>
      </c>
      <c r="J25" s="162">
        <v>1.25E-3</v>
      </c>
      <c r="K25" s="161"/>
      <c r="L25" s="135"/>
      <c r="N25" s="13" t="s">
        <v>289</v>
      </c>
      <c r="O25" s="14" t="s">
        <v>217</v>
      </c>
      <c r="P25" s="14" t="s">
        <v>290</v>
      </c>
      <c r="Q25" s="13">
        <v>1</v>
      </c>
      <c r="R25" s="13" t="s">
        <v>251</v>
      </c>
      <c r="S25" s="14">
        <v>0</v>
      </c>
      <c r="T25" s="14">
        <v>9589601.5999999996</v>
      </c>
      <c r="U25" s="14">
        <v>287688.04799999995</v>
      </c>
      <c r="V25" s="14"/>
      <c r="X25" s="7" t="s">
        <v>52</v>
      </c>
      <c r="Y25" s="3" t="s">
        <v>55</v>
      </c>
      <c r="Z25" s="2" t="s">
        <v>32</v>
      </c>
      <c r="AA25" s="146">
        <v>2</v>
      </c>
      <c r="AB25" s="148" t="s">
        <v>56</v>
      </c>
      <c r="AD25" s="205" t="str">
        <f t="shared" si="0"/>
        <v/>
      </c>
      <c r="AE25" s="206" t="str">
        <f t="shared" si="11"/>
        <v/>
      </c>
      <c r="AF25" s="207" t="str">
        <f t="shared" si="1"/>
        <v/>
      </c>
      <c r="AG25" s="208" t="str">
        <f t="shared" si="2"/>
        <v/>
      </c>
      <c r="AI25" s="205" t="str">
        <f t="shared" si="3"/>
        <v/>
      </c>
      <c r="AJ25" s="206" t="str">
        <f t="shared" si="4"/>
        <v/>
      </c>
      <c r="AK25" s="206" t="str">
        <f t="shared" si="5"/>
        <v/>
      </c>
      <c r="AL25" s="216" t="str">
        <f t="shared" si="12"/>
        <v/>
      </c>
      <c r="AM25" s="217"/>
      <c r="AN25" s="207" t="str">
        <f t="shared" si="6"/>
        <v/>
      </c>
      <c r="AO25" s="221" t="str">
        <f t="shared" si="7"/>
        <v/>
      </c>
      <c r="AP25" s="221" t="str">
        <f t="shared" si="8"/>
        <v/>
      </c>
      <c r="AQ25" s="208" t="str">
        <f t="shared" si="13"/>
        <v/>
      </c>
      <c r="AT25" s="167" t="s">
        <v>193</v>
      </c>
      <c r="AU25" s="167" t="s">
        <v>383</v>
      </c>
      <c r="AV25" s="167" t="s">
        <v>194</v>
      </c>
      <c r="AW25" s="167">
        <v>1</v>
      </c>
      <c r="AY25" s="167" t="s">
        <v>193</v>
      </c>
      <c r="AZ25" s="167" t="s">
        <v>383</v>
      </c>
      <c r="BA25" s="167" t="s">
        <v>194</v>
      </c>
      <c r="BB25" s="167">
        <v>50</v>
      </c>
    </row>
    <row r="26" spans="1:54" ht="18" customHeight="1" x14ac:dyDescent="0.3">
      <c r="A26" s="120" t="str">
        <f t="shared" ref="A26:A45" si="14">B26&amp;"_VM_0000_"&amp;C26&amp;"_"&amp;F26&amp;"_"&amp;G26</f>
        <v>SPP_GV_VM_0000_20_FIT_STRAIGHT_J_WELD</v>
      </c>
      <c r="B26" s="124" t="s">
        <v>736</v>
      </c>
      <c r="C26" s="129">
        <v>20</v>
      </c>
      <c r="D26" s="121" t="s">
        <v>737</v>
      </c>
      <c r="E26" s="128" t="str">
        <f t="shared" ref="E26:E45" si="15">C26&amp;"A, SPP, 백관, 반제품"</f>
        <v>20A, SPP, 백관, 반제품</v>
      </c>
      <c r="F26" s="126" t="s">
        <v>725</v>
      </c>
      <c r="G26" s="120" t="s">
        <v>727</v>
      </c>
      <c r="I26" s="120" t="s">
        <v>734</v>
      </c>
      <c r="J26" s="162">
        <v>1.6000000000000001E-3</v>
      </c>
      <c r="K26" s="161"/>
      <c r="L26" s="135"/>
      <c r="N26" s="13" t="s">
        <v>291</v>
      </c>
      <c r="O26" s="14" t="s">
        <v>217</v>
      </c>
      <c r="P26" s="14" t="s">
        <v>292</v>
      </c>
      <c r="Q26" s="13">
        <v>1</v>
      </c>
      <c r="R26" s="13" t="s">
        <v>251</v>
      </c>
      <c r="S26" s="14">
        <v>0</v>
      </c>
      <c r="T26" s="14">
        <v>9535038</v>
      </c>
      <c r="U26" s="14">
        <v>286051.14</v>
      </c>
      <c r="V26" s="14"/>
      <c r="X26" s="7" t="s">
        <v>52</v>
      </c>
      <c r="Y26" s="3" t="s">
        <v>57</v>
      </c>
      <c r="Z26" s="2" t="s">
        <v>32</v>
      </c>
      <c r="AA26" s="146">
        <v>10</v>
      </c>
      <c r="AB26" s="148" t="s">
        <v>58</v>
      </c>
      <c r="AD26" s="205" t="str">
        <f t="shared" si="0"/>
        <v/>
      </c>
      <c r="AE26" s="206" t="str">
        <f t="shared" si="11"/>
        <v/>
      </c>
      <c r="AF26" s="207" t="str">
        <f t="shared" si="1"/>
        <v/>
      </c>
      <c r="AG26" s="208" t="str">
        <f t="shared" si="2"/>
        <v/>
      </c>
      <c r="AI26" s="205" t="str">
        <f t="shared" si="3"/>
        <v/>
      </c>
      <c r="AJ26" s="206" t="str">
        <f t="shared" si="4"/>
        <v/>
      </c>
      <c r="AK26" s="206" t="str">
        <f t="shared" si="5"/>
        <v/>
      </c>
      <c r="AL26" s="216" t="str">
        <f t="shared" si="12"/>
        <v/>
      </c>
      <c r="AM26" s="217"/>
      <c r="AN26" s="207" t="str">
        <f t="shared" si="6"/>
        <v/>
      </c>
      <c r="AO26" s="221" t="str">
        <f t="shared" si="7"/>
        <v/>
      </c>
      <c r="AP26" s="221" t="str">
        <f t="shared" si="8"/>
        <v/>
      </c>
      <c r="AQ26" s="208" t="str">
        <f t="shared" si="13"/>
        <v/>
      </c>
      <c r="AT26" s="167" t="s">
        <v>193</v>
      </c>
      <c r="AU26" s="167" t="s">
        <v>383</v>
      </c>
      <c r="AV26" s="167" t="s">
        <v>194</v>
      </c>
      <c r="AW26" s="167">
        <v>38</v>
      </c>
      <c r="AY26" s="167" t="s">
        <v>193</v>
      </c>
      <c r="AZ26" s="167" t="s">
        <v>384</v>
      </c>
      <c r="BA26" s="167" t="s">
        <v>194</v>
      </c>
      <c r="BB26" s="167">
        <v>47</v>
      </c>
    </row>
    <row r="27" spans="1:54" ht="18" customHeight="1" x14ac:dyDescent="0.3">
      <c r="A27" s="120" t="str">
        <f t="shared" si="14"/>
        <v>SPP_GV_VM_0000_25_FIT_STRAIGHT_J_WELD</v>
      </c>
      <c r="B27" s="124" t="s">
        <v>736</v>
      </c>
      <c r="C27" s="129">
        <v>25</v>
      </c>
      <c r="D27" s="121" t="s">
        <v>737</v>
      </c>
      <c r="E27" s="128" t="str">
        <f t="shared" si="15"/>
        <v>25A, SPP, 백관, 반제품</v>
      </c>
      <c r="F27" s="126" t="s">
        <v>725</v>
      </c>
      <c r="G27" s="120" t="s">
        <v>727</v>
      </c>
      <c r="I27" s="120" t="s">
        <v>260</v>
      </c>
      <c r="J27" s="162">
        <v>2.4500000000000004E-3</v>
      </c>
      <c r="K27" s="161"/>
      <c r="L27" s="135"/>
      <c r="N27" s="13" t="s">
        <v>293</v>
      </c>
      <c r="O27" s="14" t="s">
        <v>217</v>
      </c>
      <c r="P27" s="14" t="s">
        <v>294</v>
      </c>
      <c r="Q27" s="13">
        <v>1</v>
      </c>
      <c r="R27" s="13" t="s">
        <v>251</v>
      </c>
      <c r="S27" s="14">
        <v>0</v>
      </c>
      <c r="T27" s="14">
        <v>9170562.8000000007</v>
      </c>
      <c r="U27" s="14">
        <v>275116.88400000002</v>
      </c>
      <c r="V27" s="14"/>
      <c r="X27" s="7" t="s">
        <v>52</v>
      </c>
      <c r="Y27" s="3" t="s">
        <v>59</v>
      </c>
      <c r="Z27" s="2" t="s">
        <v>32</v>
      </c>
      <c r="AA27" s="146">
        <v>9</v>
      </c>
      <c r="AB27" s="148" t="s">
        <v>60</v>
      </c>
      <c r="AD27" s="205" t="str">
        <f t="shared" si="0"/>
        <v/>
      </c>
      <c r="AE27" s="206" t="str">
        <f t="shared" si="11"/>
        <v/>
      </c>
      <c r="AF27" s="207" t="str">
        <f t="shared" si="1"/>
        <v/>
      </c>
      <c r="AG27" s="208" t="str">
        <f t="shared" si="2"/>
        <v/>
      </c>
      <c r="AI27" s="205" t="str">
        <f t="shared" si="3"/>
        <v/>
      </c>
      <c r="AJ27" s="206" t="str">
        <f t="shared" si="4"/>
        <v/>
      </c>
      <c r="AK27" s="206" t="str">
        <f t="shared" si="5"/>
        <v/>
      </c>
      <c r="AL27" s="216" t="str">
        <f t="shared" si="12"/>
        <v/>
      </c>
      <c r="AM27" s="217"/>
      <c r="AN27" s="207" t="str">
        <f t="shared" si="6"/>
        <v/>
      </c>
      <c r="AO27" s="221" t="str">
        <f t="shared" si="7"/>
        <v/>
      </c>
      <c r="AP27" s="221" t="str">
        <f t="shared" si="8"/>
        <v/>
      </c>
      <c r="AQ27" s="208" t="str">
        <f t="shared" si="13"/>
        <v/>
      </c>
      <c r="AT27" s="167" t="s">
        <v>193</v>
      </c>
      <c r="AU27" s="167" t="s">
        <v>383</v>
      </c>
      <c r="AV27" s="167" t="s">
        <v>194</v>
      </c>
      <c r="AW27" s="167">
        <v>8</v>
      </c>
      <c r="AY27" s="167" t="s">
        <v>193</v>
      </c>
      <c r="AZ27" s="167" t="s">
        <v>387</v>
      </c>
      <c r="BA27" s="167" t="s">
        <v>194</v>
      </c>
      <c r="BB27" s="167">
        <v>8</v>
      </c>
    </row>
    <row r="28" spans="1:54" ht="18" customHeight="1" x14ac:dyDescent="0.3">
      <c r="A28" s="120" t="str">
        <f t="shared" si="14"/>
        <v>SPP_GV_VM_0000_32_FIT_STRAIGHT_J_WELD</v>
      </c>
      <c r="B28" s="124" t="s">
        <v>736</v>
      </c>
      <c r="C28" s="129">
        <v>32</v>
      </c>
      <c r="D28" s="121" t="s">
        <v>737</v>
      </c>
      <c r="E28" s="128" t="str">
        <f t="shared" si="15"/>
        <v>32A, SPP, 백관, 반제품</v>
      </c>
      <c r="F28" s="126" t="s">
        <v>725</v>
      </c>
      <c r="G28" s="120" t="s">
        <v>727</v>
      </c>
      <c r="I28" s="120" t="s">
        <v>262</v>
      </c>
      <c r="J28" s="162">
        <v>3.16E-3</v>
      </c>
      <c r="K28" s="161"/>
      <c r="L28" s="135"/>
      <c r="N28" s="13" t="s">
        <v>295</v>
      </c>
      <c r="O28" s="14" t="s">
        <v>217</v>
      </c>
      <c r="P28" s="14" t="s">
        <v>296</v>
      </c>
      <c r="Q28" s="13">
        <v>1</v>
      </c>
      <c r="R28" s="13" t="s">
        <v>251</v>
      </c>
      <c r="S28" s="14">
        <v>0</v>
      </c>
      <c r="T28" s="14">
        <v>8673451.1999999993</v>
      </c>
      <c r="U28" s="14">
        <v>260203.53599999996</v>
      </c>
      <c r="V28" s="14"/>
      <c r="X28" s="7" t="s">
        <v>52</v>
      </c>
      <c r="Y28" s="3" t="s">
        <v>61</v>
      </c>
      <c r="Z28" s="2" t="s">
        <v>32</v>
      </c>
      <c r="AA28" s="146">
        <v>5</v>
      </c>
      <c r="AB28" s="148" t="s">
        <v>62</v>
      </c>
      <c r="AD28" s="205" t="str">
        <f t="shared" si="0"/>
        <v/>
      </c>
      <c r="AE28" s="206" t="str">
        <f t="shared" si="11"/>
        <v/>
      </c>
      <c r="AF28" s="207" t="str">
        <f t="shared" si="1"/>
        <v/>
      </c>
      <c r="AG28" s="208" t="str">
        <f t="shared" si="2"/>
        <v/>
      </c>
      <c r="AI28" s="205" t="str">
        <f t="shared" si="3"/>
        <v/>
      </c>
      <c r="AJ28" s="206" t="str">
        <f t="shared" si="4"/>
        <v/>
      </c>
      <c r="AK28" s="206" t="str">
        <f t="shared" si="5"/>
        <v/>
      </c>
      <c r="AL28" s="216" t="str">
        <f t="shared" si="12"/>
        <v/>
      </c>
      <c r="AM28" s="217"/>
      <c r="AN28" s="207" t="str">
        <f t="shared" si="6"/>
        <v/>
      </c>
      <c r="AO28" s="221" t="str">
        <f t="shared" si="7"/>
        <v/>
      </c>
      <c r="AP28" s="221" t="str">
        <f t="shared" si="8"/>
        <v/>
      </c>
      <c r="AQ28" s="208" t="str">
        <f t="shared" si="13"/>
        <v/>
      </c>
      <c r="AT28" s="167" t="s">
        <v>193</v>
      </c>
      <c r="AU28" s="167" t="s">
        <v>384</v>
      </c>
      <c r="AV28" s="167" t="s">
        <v>194</v>
      </c>
      <c r="AW28" s="167">
        <v>46</v>
      </c>
      <c r="AY28" s="167" t="s">
        <v>193</v>
      </c>
      <c r="AZ28" s="167" t="s">
        <v>388</v>
      </c>
      <c r="BA28" s="167" t="s">
        <v>194</v>
      </c>
      <c r="BB28" s="167">
        <v>19</v>
      </c>
    </row>
    <row r="29" spans="1:54" ht="18" customHeight="1" x14ac:dyDescent="0.3">
      <c r="A29" s="120" t="str">
        <f t="shared" si="14"/>
        <v>SPP_GV_VM_0000_40_FIT_STRAIGHT_J_WELD</v>
      </c>
      <c r="B29" s="124" t="s">
        <v>736</v>
      </c>
      <c r="C29" s="129">
        <v>40</v>
      </c>
      <c r="D29" s="121" t="s">
        <v>737</v>
      </c>
      <c r="E29" s="128" t="str">
        <f t="shared" si="15"/>
        <v>40A, SPP, 백관, 반제품</v>
      </c>
      <c r="F29" s="126" t="s">
        <v>725</v>
      </c>
      <c r="G29" s="120" t="s">
        <v>727</v>
      </c>
      <c r="I29" s="120" t="s">
        <v>264</v>
      </c>
      <c r="J29" s="162">
        <v>3.63E-3</v>
      </c>
      <c r="K29" s="161"/>
      <c r="L29" s="135"/>
      <c r="N29" s="13" t="s">
        <v>297</v>
      </c>
      <c r="O29" s="14" t="s">
        <v>217</v>
      </c>
      <c r="P29" s="14" t="s">
        <v>298</v>
      </c>
      <c r="Q29" s="13">
        <v>1</v>
      </c>
      <c r="R29" s="13" t="s">
        <v>251</v>
      </c>
      <c r="S29" s="14">
        <v>0</v>
      </c>
      <c r="T29" s="14">
        <v>8329894.7999999998</v>
      </c>
      <c r="U29" s="14">
        <v>249896.84399999998</v>
      </c>
      <c r="V29" s="14"/>
      <c r="X29" s="7" t="s">
        <v>52</v>
      </c>
      <c r="Y29" s="3" t="s">
        <v>63</v>
      </c>
      <c r="Z29" s="2" t="s">
        <v>32</v>
      </c>
      <c r="AA29" s="146">
        <v>10</v>
      </c>
      <c r="AB29" s="148" t="s">
        <v>64</v>
      </c>
      <c r="AD29" s="205" t="str">
        <f t="shared" si="0"/>
        <v/>
      </c>
      <c r="AE29" s="206" t="str">
        <f t="shared" si="11"/>
        <v/>
      </c>
      <c r="AF29" s="207" t="str">
        <f t="shared" si="1"/>
        <v/>
      </c>
      <c r="AG29" s="208" t="str">
        <f t="shared" si="2"/>
        <v/>
      </c>
      <c r="AI29" s="205" t="str">
        <f t="shared" si="3"/>
        <v/>
      </c>
      <c r="AJ29" s="206" t="str">
        <f t="shared" si="4"/>
        <v/>
      </c>
      <c r="AK29" s="206" t="str">
        <f t="shared" si="5"/>
        <v/>
      </c>
      <c r="AL29" s="216" t="str">
        <f t="shared" si="12"/>
        <v/>
      </c>
      <c r="AM29" s="217"/>
      <c r="AN29" s="207" t="str">
        <f t="shared" si="6"/>
        <v/>
      </c>
      <c r="AO29" s="221" t="str">
        <f t="shared" si="7"/>
        <v/>
      </c>
      <c r="AP29" s="221" t="str">
        <f t="shared" si="8"/>
        <v/>
      </c>
      <c r="AQ29" s="208" t="str">
        <f t="shared" si="13"/>
        <v/>
      </c>
      <c r="AT29" s="167" t="s">
        <v>193</v>
      </c>
      <c r="AU29" s="167" t="s">
        <v>387</v>
      </c>
      <c r="AV29" s="167" t="s">
        <v>194</v>
      </c>
      <c r="AW29" s="167">
        <v>6</v>
      </c>
      <c r="AY29" s="167" t="s">
        <v>193</v>
      </c>
      <c r="AZ29" s="167" t="s">
        <v>389</v>
      </c>
      <c r="BA29" s="167" t="s">
        <v>194</v>
      </c>
      <c r="BB29" s="167">
        <v>41</v>
      </c>
    </row>
    <row r="30" spans="1:54" ht="18" customHeight="1" x14ac:dyDescent="0.3">
      <c r="A30" s="120" t="str">
        <f t="shared" si="14"/>
        <v>SPP_GV_VM_0000_50_FIT_STRAIGHT_J_WELD</v>
      </c>
      <c r="B30" s="124" t="s">
        <v>736</v>
      </c>
      <c r="C30" s="129">
        <v>50</v>
      </c>
      <c r="D30" s="121" t="s">
        <v>737</v>
      </c>
      <c r="E30" s="128" t="str">
        <f t="shared" si="15"/>
        <v>50A, SPP, 백관, 반제품</v>
      </c>
      <c r="F30" s="126" t="s">
        <v>725</v>
      </c>
      <c r="G30" s="120" t="s">
        <v>727</v>
      </c>
      <c r="I30" s="120" t="s">
        <v>218</v>
      </c>
      <c r="J30" s="162">
        <v>5.1200000000000004E-3</v>
      </c>
      <c r="K30" s="161"/>
      <c r="L30" s="135"/>
      <c r="N30" s="13" t="s">
        <v>299</v>
      </c>
      <c r="O30" s="14" t="s">
        <v>217</v>
      </c>
      <c r="P30" s="14" t="s">
        <v>300</v>
      </c>
      <c r="Q30" s="13">
        <v>1</v>
      </c>
      <c r="R30" s="13" t="s">
        <v>251</v>
      </c>
      <c r="S30" s="14">
        <v>0</v>
      </c>
      <c r="T30" s="14">
        <v>8016316</v>
      </c>
      <c r="U30" s="14">
        <v>240489.47999999998</v>
      </c>
      <c r="V30" s="14"/>
      <c r="X30" s="7" t="s">
        <v>52</v>
      </c>
      <c r="Y30" s="3" t="s">
        <v>65</v>
      </c>
      <c r="Z30" s="2" t="s">
        <v>32</v>
      </c>
      <c r="AA30" s="146">
        <v>7</v>
      </c>
      <c r="AB30" s="148" t="s">
        <v>66</v>
      </c>
      <c r="AD30" s="205" t="str">
        <f t="shared" si="0"/>
        <v/>
      </c>
      <c r="AE30" s="206" t="str">
        <f t="shared" si="11"/>
        <v/>
      </c>
      <c r="AF30" s="207" t="str">
        <f t="shared" si="1"/>
        <v/>
      </c>
      <c r="AG30" s="208" t="str">
        <f t="shared" si="2"/>
        <v/>
      </c>
      <c r="AI30" s="205" t="str">
        <f t="shared" si="3"/>
        <v/>
      </c>
      <c r="AJ30" s="206" t="str">
        <f t="shared" si="4"/>
        <v/>
      </c>
      <c r="AK30" s="206" t="str">
        <f t="shared" si="5"/>
        <v/>
      </c>
      <c r="AL30" s="216" t="str">
        <f t="shared" si="12"/>
        <v/>
      </c>
      <c r="AM30" s="217"/>
      <c r="AN30" s="207" t="str">
        <f t="shared" si="6"/>
        <v/>
      </c>
      <c r="AO30" s="221" t="str">
        <f t="shared" si="7"/>
        <v/>
      </c>
      <c r="AP30" s="221" t="str">
        <f t="shared" si="8"/>
        <v/>
      </c>
      <c r="AQ30" s="208" t="str">
        <f t="shared" si="13"/>
        <v/>
      </c>
      <c r="AT30" s="167" t="s">
        <v>193</v>
      </c>
      <c r="AU30" s="167" t="s">
        <v>388</v>
      </c>
      <c r="AV30" s="167" t="s">
        <v>194</v>
      </c>
      <c r="AW30" s="167">
        <v>19</v>
      </c>
      <c r="AY30" s="167" t="s">
        <v>193</v>
      </c>
      <c r="AZ30" s="167" t="s">
        <v>392</v>
      </c>
      <c r="BA30" s="167" t="s">
        <v>194</v>
      </c>
      <c r="BB30" s="167">
        <v>52</v>
      </c>
    </row>
    <row r="31" spans="1:54" ht="18" customHeight="1" x14ac:dyDescent="0.3">
      <c r="A31" s="120" t="str">
        <f t="shared" si="14"/>
        <v>SPP_GV_VM_0000_65_FIT_STRAIGHT_J_WELD</v>
      </c>
      <c r="B31" s="124" t="s">
        <v>736</v>
      </c>
      <c r="C31" s="129">
        <v>65</v>
      </c>
      <c r="D31" s="121" t="s">
        <v>737</v>
      </c>
      <c r="E31" s="128" t="str">
        <f t="shared" si="15"/>
        <v>65A, SPP, 백관, 반제품</v>
      </c>
      <c r="F31" s="126" t="s">
        <v>725</v>
      </c>
      <c r="G31" s="120" t="s">
        <v>727</v>
      </c>
      <c r="I31" s="120" t="s">
        <v>267</v>
      </c>
      <c r="J31" s="162">
        <v>6.5399999999999998E-3</v>
      </c>
      <c r="K31" s="161"/>
      <c r="L31" s="135"/>
      <c r="N31" s="13" t="s">
        <v>301</v>
      </c>
      <c r="O31" s="14" t="s">
        <v>217</v>
      </c>
      <c r="P31" s="14" t="s">
        <v>302</v>
      </c>
      <c r="Q31" s="13">
        <v>1</v>
      </c>
      <c r="R31" s="13" t="s">
        <v>251</v>
      </c>
      <c r="S31" s="14">
        <v>0</v>
      </c>
      <c r="T31" s="14">
        <v>7702737.2000000002</v>
      </c>
      <c r="U31" s="14">
        <v>231082.11600000001</v>
      </c>
      <c r="V31" s="14"/>
      <c r="X31" s="7" t="s">
        <v>52</v>
      </c>
      <c r="Y31" s="3" t="s">
        <v>67</v>
      </c>
      <c r="Z31" s="2" t="s">
        <v>32</v>
      </c>
      <c r="AA31" s="146">
        <v>12</v>
      </c>
      <c r="AB31" s="148" t="s">
        <v>68</v>
      </c>
      <c r="AD31" s="205" t="str">
        <f t="shared" si="0"/>
        <v/>
      </c>
      <c r="AE31" s="206" t="str">
        <f t="shared" si="11"/>
        <v/>
      </c>
      <c r="AF31" s="207" t="str">
        <f t="shared" si="1"/>
        <v/>
      </c>
      <c r="AG31" s="208" t="str">
        <f t="shared" si="2"/>
        <v/>
      </c>
      <c r="AI31" s="205" t="str">
        <f t="shared" si="3"/>
        <v/>
      </c>
      <c r="AJ31" s="206" t="str">
        <f t="shared" si="4"/>
        <v/>
      </c>
      <c r="AK31" s="206" t="str">
        <f t="shared" si="5"/>
        <v/>
      </c>
      <c r="AL31" s="216" t="str">
        <f t="shared" si="12"/>
        <v/>
      </c>
      <c r="AM31" s="217"/>
      <c r="AN31" s="207" t="str">
        <f t="shared" si="6"/>
        <v/>
      </c>
      <c r="AO31" s="221" t="str">
        <f t="shared" si="7"/>
        <v/>
      </c>
      <c r="AP31" s="221" t="str">
        <f t="shared" si="8"/>
        <v/>
      </c>
      <c r="AQ31" s="208" t="str">
        <f t="shared" si="13"/>
        <v/>
      </c>
      <c r="AT31" s="167" t="s">
        <v>193</v>
      </c>
      <c r="AU31" s="167" t="s">
        <v>389</v>
      </c>
      <c r="AV31" s="167" t="s">
        <v>194</v>
      </c>
      <c r="AW31" s="167">
        <v>38</v>
      </c>
      <c r="AY31" s="167" t="s">
        <v>193</v>
      </c>
      <c r="AZ31" s="167" t="s">
        <v>397</v>
      </c>
      <c r="BA31" s="167" t="s">
        <v>194</v>
      </c>
      <c r="BB31" s="167">
        <v>2</v>
      </c>
    </row>
    <row r="32" spans="1:54" ht="18" customHeight="1" x14ac:dyDescent="0.3">
      <c r="A32" s="120" t="str">
        <f t="shared" si="14"/>
        <v>SPP_GV_VM_0000_80_FIT_STRAIGHT_J_WELD</v>
      </c>
      <c r="B32" s="124" t="s">
        <v>736</v>
      </c>
      <c r="C32" s="129">
        <v>80</v>
      </c>
      <c r="D32" s="121" t="s">
        <v>737</v>
      </c>
      <c r="E32" s="128" t="str">
        <f t="shared" si="15"/>
        <v>80A, SPP, 백관, 반제품</v>
      </c>
      <c r="F32" s="126" t="s">
        <v>725</v>
      </c>
      <c r="G32" s="120" t="s">
        <v>727</v>
      </c>
      <c r="I32" s="120" t="s">
        <v>219</v>
      </c>
      <c r="J32" s="162">
        <v>8.490000000000001E-3</v>
      </c>
      <c r="K32" s="161"/>
      <c r="L32" s="135"/>
      <c r="N32" s="13" t="s">
        <v>303</v>
      </c>
      <c r="O32" s="14" t="s">
        <v>217</v>
      </c>
      <c r="P32" s="14" t="s">
        <v>304</v>
      </c>
      <c r="Q32" s="13">
        <v>1</v>
      </c>
      <c r="R32" s="13" t="s">
        <v>251</v>
      </c>
      <c r="S32" s="14">
        <v>0</v>
      </c>
      <c r="T32" s="14">
        <v>7702737.2000000002</v>
      </c>
      <c r="U32" s="14">
        <v>231082.11600000001</v>
      </c>
      <c r="V32" s="14"/>
      <c r="X32" s="7" t="s">
        <v>52</v>
      </c>
      <c r="Y32" s="3" t="s">
        <v>69</v>
      </c>
      <c r="Z32" s="2" t="s">
        <v>32</v>
      </c>
      <c r="AA32" s="146">
        <v>3</v>
      </c>
      <c r="AB32" s="148" t="s">
        <v>70</v>
      </c>
      <c r="AD32" s="205" t="str">
        <f t="shared" si="0"/>
        <v/>
      </c>
      <c r="AE32" s="206" t="str">
        <f t="shared" si="11"/>
        <v/>
      </c>
      <c r="AF32" s="207" t="str">
        <f t="shared" si="1"/>
        <v/>
      </c>
      <c r="AG32" s="208" t="str">
        <f t="shared" si="2"/>
        <v/>
      </c>
      <c r="AI32" s="205" t="str">
        <f t="shared" si="3"/>
        <v/>
      </c>
      <c r="AJ32" s="206" t="str">
        <f t="shared" si="4"/>
        <v/>
      </c>
      <c r="AK32" s="206" t="str">
        <f t="shared" si="5"/>
        <v/>
      </c>
      <c r="AL32" s="216" t="str">
        <f t="shared" si="12"/>
        <v/>
      </c>
      <c r="AM32" s="217"/>
      <c r="AN32" s="207" t="str">
        <f t="shared" si="6"/>
        <v/>
      </c>
      <c r="AO32" s="221" t="str">
        <f t="shared" si="7"/>
        <v/>
      </c>
      <c r="AP32" s="221" t="str">
        <f t="shared" si="8"/>
        <v/>
      </c>
      <c r="AQ32" s="208" t="str">
        <f t="shared" si="13"/>
        <v/>
      </c>
      <c r="AT32" s="167" t="s">
        <v>193</v>
      </c>
      <c r="AU32" s="167" t="s">
        <v>392</v>
      </c>
      <c r="AV32" s="167" t="s">
        <v>194</v>
      </c>
      <c r="AW32" s="167">
        <v>51</v>
      </c>
      <c r="AY32" s="164"/>
      <c r="AZ32" s="164"/>
      <c r="BA32" s="164"/>
      <c r="BB32" s="164"/>
    </row>
    <row r="33" spans="1:54" ht="18" customHeight="1" x14ac:dyDescent="0.3">
      <c r="A33" s="120" t="str">
        <f t="shared" si="14"/>
        <v>SPP_GV_VM_0000_90_FIT_STRAIGHT_J_WELD</v>
      </c>
      <c r="B33" s="124" t="s">
        <v>736</v>
      </c>
      <c r="C33" s="129">
        <v>90</v>
      </c>
      <c r="D33" s="121" t="s">
        <v>737</v>
      </c>
      <c r="E33" s="128" t="str">
        <f t="shared" si="15"/>
        <v>90A, SPP, 백관, 반제품</v>
      </c>
      <c r="F33" s="126" t="s">
        <v>725</v>
      </c>
      <c r="G33" s="120" t="s">
        <v>727</v>
      </c>
      <c r="I33" s="120" t="s">
        <v>270</v>
      </c>
      <c r="J33" s="162">
        <v>9.7400000000000004E-3</v>
      </c>
      <c r="K33" s="161"/>
      <c r="L33" s="135"/>
      <c r="N33" s="13" t="s">
        <v>305</v>
      </c>
      <c r="O33" s="14" t="s">
        <v>217</v>
      </c>
      <c r="P33" s="14" t="s">
        <v>306</v>
      </c>
      <c r="Q33" s="13">
        <v>1</v>
      </c>
      <c r="R33" s="13" t="s">
        <v>251</v>
      </c>
      <c r="S33" s="14">
        <v>0</v>
      </c>
      <c r="T33" s="14">
        <v>7702737.2000000002</v>
      </c>
      <c r="U33" s="14">
        <v>231082.11600000001</v>
      </c>
      <c r="V33" s="14"/>
      <c r="X33" s="4" t="s">
        <v>71</v>
      </c>
      <c r="Y33" s="4" t="s">
        <v>72</v>
      </c>
      <c r="Z33" s="5" t="s">
        <v>32</v>
      </c>
      <c r="AA33" s="147">
        <v>1</v>
      </c>
      <c r="AB33" s="149"/>
      <c r="AD33" s="205" t="str">
        <f t="shared" si="0"/>
        <v/>
      </c>
      <c r="AE33" s="206" t="str">
        <f t="shared" si="11"/>
        <v/>
      </c>
      <c r="AF33" s="207" t="str">
        <f t="shared" si="1"/>
        <v/>
      </c>
      <c r="AG33" s="208" t="str">
        <f t="shared" si="2"/>
        <v/>
      </c>
      <c r="AI33" s="205" t="str">
        <f t="shared" si="3"/>
        <v/>
      </c>
      <c r="AJ33" s="206" t="str">
        <f t="shared" si="4"/>
        <v/>
      </c>
      <c r="AK33" s="206" t="str">
        <f t="shared" si="5"/>
        <v/>
      </c>
      <c r="AL33" s="216" t="str">
        <f t="shared" si="12"/>
        <v/>
      </c>
      <c r="AM33" s="217"/>
      <c r="AN33" s="207" t="str">
        <f t="shared" si="6"/>
        <v/>
      </c>
      <c r="AO33" s="221" t="str">
        <f t="shared" si="7"/>
        <v/>
      </c>
      <c r="AP33" s="221" t="str">
        <f t="shared" si="8"/>
        <v/>
      </c>
      <c r="AQ33" s="208" t="str">
        <f t="shared" si="13"/>
        <v/>
      </c>
      <c r="AT33" s="167" t="s">
        <v>193</v>
      </c>
      <c r="AU33" s="167" t="s">
        <v>397</v>
      </c>
      <c r="AV33" s="167" t="s">
        <v>194</v>
      </c>
      <c r="AW33" s="167">
        <v>2</v>
      </c>
      <c r="AY33" s="166"/>
      <c r="AZ33" s="166"/>
      <c r="BA33" s="166"/>
      <c r="BB33" s="166"/>
    </row>
    <row r="34" spans="1:54" ht="18" customHeight="1" x14ac:dyDescent="0.3">
      <c r="A34" s="120" t="str">
        <f t="shared" si="14"/>
        <v>SPP_GV_VM_0000_100_FIT_STRAIGHT_J_WELD</v>
      </c>
      <c r="B34" s="124" t="s">
        <v>736</v>
      </c>
      <c r="C34" s="129">
        <v>100</v>
      </c>
      <c r="D34" s="121" t="s">
        <v>737</v>
      </c>
      <c r="E34" s="128" t="str">
        <f t="shared" si="15"/>
        <v>100A, SPP, 백관, 반제품</v>
      </c>
      <c r="F34" s="126" t="s">
        <v>725</v>
      </c>
      <c r="G34" s="120" t="s">
        <v>727</v>
      </c>
      <c r="I34" s="120" t="s">
        <v>272</v>
      </c>
      <c r="J34" s="162">
        <v>1.2199999999999999E-2</v>
      </c>
      <c r="K34" s="161"/>
      <c r="L34" s="135"/>
      <c r="N34" s="13" t="s">
        <v>307</v>
      </c>
      <c r="O34" s="14" t="s">
        <v>217</v>
      </c>
      <c r="P34" s="14" t="s">
        <v>308</v>
      </c>
      <c r="Q34" s="13">
        <v>1</v>
      </c>
      <c r="R34" s="13" t="s">
        <v>251</v>
      </c>
      <c r="S34" s="14">
        <v>0</v>
      </c>
      <c r="T34" s="14">
        <v>7473699.5999999996</v>
      </c>
      <c r="U34" s="14">
        <v>224210.98799999998</v>
      </c>
      <c r="V34" s="14"/>
      <c r="X34" s="4" t="s">
        <v>71</v>
      </c>
      <c r="Y34" s="4" t="s">
        <v>73</v>
      </c>
      <c r="Z34" s="5" t="s">
        <v>32</v>
      </c>
      <c r="AA34" s="147">
        <v>1</v>
      </c>
      <c r="AB34" s="149"/>
      <c r="AD34" s="205" t="str">
        <f t="shared" si="0"/>
        <v/>
      </c>
      <c r="AE34" s="206" t="str">
        <f t="shared" si="11"/>
        <v/>
      </c>
      <c r="AF34" s="207" t="str">
        <f t="shared" si="1"/>
        <v/>
      </c>
      <c r="AG34" s="208" t="str">
        <f t="shared" si="2"/>
        <v/>
      </c>
      <c r="AI34" s="205" t="str">
        <f t="shared" si="3"/>
        <v/>
      </c>
      <c r="AJ34" s="206" t="str">
        <f t="shared" si="4"/>
        <v/>
      </c>
      <c r="AK34" s="206" t="str">
        <f t="shared" si="5"/>
        <v/>
      </c>
      <c r="AL34" s="216" t="str">
        <f t="shared" si="12"/>
        <v/>
      </c>
      <c r="AM34" s="217"/>
      <c r="AN34" s="207" t="str">
        <f t="shared" si="6"/>
        <v/>
      </c>
      <c r="AO34" s="221" t="str">
        <f t="shared" si="7"/>
        <v/>
      </c>
      <c r="AP34" s="221" t="str">
        <f t="shared" si="8"/>
        <v/>
      </c>
      <c r="AQ34" s="208" t="str">
        <f t="shared" si="13"/>
        <v/>
      </c>
      <c r="AT34" s="167" t="s">
        <v>193</v>
      </c>
      <c r="AU34" s="167" t="s">
        <v>378</v>
      </c>
      <c r="AV34" s="167" t="s">
        <v>194</v>
      </c>
      <c r="AW34" s="167">
        <v>1</v>
      </c>
      <c r="AY34" s="164"/>
      <c r="AZ34" s="164"/>
      <c r="BA34" s="164"/>
      <c r="BB34" s="164"/>
    </row>
    <row r="35" spans="1:54" ht="18" customHeight="1" x14ac:dyDescent="0.3">
      <c r="A35" s="120" t="str">
        <f t="shared" si="14"/>
        <v>SPP_GV_VM_0000_125_FIT_STRAIGHT_J_WELD</v>
      </c>
      <c r="B35" s="124" t="s">
        <v>736</v>
      </c>
      <c r="C35" s="129">
        <v>125</v>
      </c>
      <c r="D35" s="121" t="s">
        <v>737</v>
      </c>
      <c r="E35" s="128" t="str">
        <f t="shared" si="15"/>
        <v>125A, SPP, 백관, 반제품</v>
      </c>
      <c r="F35" s="126" t="s">
        <v>725</v>
      </c>
      <c r="G35" s="120" t="s">
        <v>727</v>
      </c>
      <c r="I35" s="120" t="s">
        <v>274</v>
      </c>
      <c r="J35" s="162">
        <v>1.61E-2</v>
      </c>
      <c r="K35" s="161"/>
      <c r="L35" s="135"/>
      <c r="N35" s="13" t="s">
        <v>309</v>
      </c>
      <c r="O35" s="14" t="s">
        <v>217</v>
      </c>
      <c r="P35" s="14" t="s">
        <v>310</v>
      </c>
      <c r="Q35" s="13">
        <v>1</v>
      </c>
      <c r="R35" s="13" t="s">
        <v>251</v>
      </c>
      <c r="S35" s="14">
        <v>0</v>
      </c>
      <c r="T35" s="14">
        <v>7443722</v>
      </c>
      <c r="U35" s="14">
        <v>223311.66</v>
      </c>
      <c r="V35" s="14"/>
      <c r="X35" s="4" t="s">
        <v>71</v>
      </c>
      <c r="Y35" s="4" t="s">
        <v>74</v>
      </c>
      <c r="Z35" s="5" t="s">
        <v>32</v>
      </c>
      <c r="AA35" s="147">
        <v>2</v>
      </c>
      <c r="AB35" s="149"/>
      <c r="AD35" s="205" t="str">
        <f t="shared" si="0"/>
        <v/>
      </c>
      <c r="AE35" s="206" t="str">
        <f t="shared" si="11"/>
        <v/>
      </c>
      <c r="AF35" s="207" t="str">
        <f t="shared" si="1"/>
        <v/>
      </c>
      <c r="AG35" s="208" t="str">
        <f t="shared" si="2"/>
        <v/>
      </c>
      <c r="AI35" s="205" t="str">
        <f t="shared" si="3"/>
        <v/>
      </c>
      <c r="AJ35" s="206" t="str">
        <f t="shared" si="4"/>
        <v/>
      </c>
      <c r="AK35" s="206" t="str">
        <f t="shared" si="5"/>
        <v/>
      </c>
      <c r="AL35" s="216" t="str">
        <f t="shared" si="12"/>
        <v/>
      </c>
      <c r="AM35" s="217"/>
      <c r="AN35" s="207" t="str">
        <f t="shared" si="6"/>
        <v/>
      </c>
      <c r="AO35" s="221" t="str">
        <f t="shared" si="7"/>
        <v/>
      </c>
      <c r="AP35" s="221" t="str">
        <f t="shared" si="8"/>
        <v/>
      </c>
      <c r="AQ35" s="208" t="str">
        <f t="shared" si="13"/>
        <v/>
      </c>
      <c r="AT35" s="167" t="s">
        <v>193</v>
      </c>
      <c r="AU35" s="167" t="s">
        <v>383</v>
      </c>
      <c r="AV35" s="167" t="s">
        <v>194</v>
      </c>
      <c r="AW35" s="167">
        <v>1</v>
      </c>
      <c r="AY35" s="164"/>
      <c r="AZ35" s="164"/>
      <c r="BA35" s="164"/>
      <c r="BB35" s="164"/>
    </row>
    <row r="36" spans="1:54" ht="18" customHeight="1" x14ac:dyDescent="0.3">
      <c r="A36" s="120" t="str">
        <f t="shared" si="14"/>
        <v>SPP_GV_VM_0000_150_FIT_STRAIGHT_J_WELD</v>
      </c>
      <c r="B36" s="124" t="s">
        <v>736</v>
      </c>
      <c r="C36" s="129">
        <v>150</v>
      </c>
      <c r="D36" s="121" t="s">
        <v>737</v>
      </c>
      <c r="E36" s="128" t="str">
        <f t="shared" si="15"/>
        <v>150A, SPP, 백관, 반제품</v>
      </c>
      <c r="F36" s="126" t="s">
        <v>725</v>
      </c>
      <c r="G36" s="120" t="s">
        <v>727</v>
      </c>
      <c r="I36" s="120" t="s">
        <v>220</v>
      </c>
      <c r="J36" s="162">
        <v>1.9199999999999998E-2</v>
      </c>
      <c r="K36" s="161"/>
      <c r="L36" s="135"/>
      <c r="N36" s="13" t="s">
        <v>311</v>
      </c>
      <c r="O36" s="14" t="s">
        <v>217</v>
      </c>
      <c r="P36" s="14" t="s">
        <v>312</v>
      </c>
      <c r="Q36" s="13">
        <v>1</v>
      </c>
      <c r="R36" s="13" t="s">
        <v>251</v>
      </c>
      <c r="S36" s="14">
        <v>0</v>
      </c>
      <c r="T36" s="14">
        <v>8275331.2000000002</v>
      </c>
      <c r="U36" s="14">
        <v>248259.93599999999</v>
      </c>
      <c r="V36" s="14"/>
      <c r="X36" s="4" t="s">
        <v>71</v>
      </c>
      <c r="Y36" s="4" t="s">
        <v>75</v>
      </c>
      <c r="Z36" s="5" t="s">
        <v>32</v>
      </c>
      <c r="AA36" s="147">
        <v>1</v>
      </c>
      <c r="AB36" s="149"/>
      <c r="AD36" s="205" t="str">
        <f t="shared" ref="AD36:AD67" si="16">IFERROR(INDEX(I:I,MATCH(AB36,A:A,0),1),"")</f>
        <v/>
      </c>
      <c r="AE36" s="206" t="str">
        <f t="shared" ref="AE36:AE67" si="17">IFERROR(INDEX(J:J,MATCH(AB36,A:A,0),1),"")</f>
        <v/>
      </c>
      <c r="AF36" s="207" t="str">
        <f t="shared" ref="AF36:AF67" si="18">IFERROR(INDEX(K:K,MATCH(AB36,A:A,0),1),"")</f>
        <v/>
      </c>
      <c r="AG36" s="208" t="str">
        <f t="shared" ref="AG36:AG67" si="19">IFERROR(INDEX(L:L,MATCH(AB36,A:A,0),1),"")</f>
        <v/>
      </c>
      <c r="AI36" s="205" t="str">
        <f t="shared" ref="AI36:AI67" si="20">IFERROR(INDEX(O:O,MATCH(AD36,$N:$N,0),1),"")</f>
        <v/>
      </c>
      <c r="AJ36" s="206" t="str">
        <f t="shared" ref="AJ36:AJ67" si="21">IFERROR(INDEX(P:P,MATCH(AD36,$N:$N,0),1),"")</f>
        <v/>
      </c>
      <c r="AK36" s="206" t="str">
        <f t="shared" ref="AK36:AK67" si="22">IFERROR(INDEX(R:R,MATCH(AD36,$N:$N,0),1),"")</f>
        <v/>
      </c>
      <c r="AL36" s="216" t="str">
        <f t="shared" si="12"/>
        <v/>
      </c>
      <c r="AM36" s="217"/>
      <c r="AN36" s="207" t="str">
        <f t="shared" ref="AN36:AN67" si="23">IFERROR(INDEX(O:O,MATCH(AF36,$N:$N,0),1),"")</f>
        <v/>
      </c>
      <c r="AO36" s="221" t="str">
        <f t="shared" ref="AO36:AO67" si="24">IFERROR(INDEX(P:P,MATCH(AF36,$N:$N,0),1),"")</f>
        <v/>
      </c>
      <c r="AP36" s="221" t="str">
        <f t="shared" ref="AP36:AP67" si="25">IFERROR(INDEX(R:R,MATCH(AF36,$N:$N,0),1),"")</f>
        <v/>
      </c>
      <c r="AQ36" s="208" t="str">
        <f t="shared" si="13"/>
        <v/>
      </c>
      <c r="AT36" s="167" t="s">
        <v>193</v>
      </c>
      <c r="AU36" s="167" t="s">
        <v>383</v>
      </c>
      <c r="AV36" s="167" t="s">
        <v>194</v>
      </c>
      <c r="AW36" s="167">
        <v>2</v>
      </c>
      <c r="AY36" s="164"/>
      <c r="AZ36" s="164"/>
      <c r="BA36" s="164"/>
      <c r="BB36" s="164"/>
    </row>
    <row r="37" spans="1:54" ht="18" customHeight="1" x14ac:dyDescent="0.3">
      <c r="A37" s="120" t="str">
        <f t="shared" si="14"/>
        <v>SPP_GV_VM_0000_200_FIT_STRAIGHT_J_WELD</v>
      </c>
      <c r="B37" s="124" t="s">
        <v>736</v>
      </c>
      <c r="C37" s="129">
        <v>200</v>
      </c>
      <c r="D37" s="121" t="s">
        <v>737</v>
      </c>
      <c r="E37" s="128" t="str">
        <f t="shared" si="15"/>
        <v>200A, SPP, 백관, 반제품</v>
      </c>
      <c r="F37" s="126" t="s">
        <v>725</v>
      </c>
      <c r="G37" s="120" t="s">
        <v>727</v>
      </c>
      <c r="I37" s="120" t="s">
        <v>279</v>
      </c>
      <c r="J37" s="162">
        <v>3.04E-2</v>
      </c>
      <c r="K37" s="161"/>
      <c r="L37" s="135"/>
      <c r="N37" s="13" t="s">
        <v>313</v>
      </c>
      <c r="O37" s="14" t="s">
        <v>217</v>
      </c>
      <c r="P37" s="14" t="s">
        <v>314</v>
      </c>
      <c r="Q37" s="13">
        <v>1</v>
      </c>
      <c r="R37" s="13" t="s">
        <v>251</v>
      </c>
      <c r="S37" s="14">
        <v>0</v>
      </c>
      <c r="T37" s="14">
        <v>7901797.2000000011</v>
      </c>
      <c r="U37" s="14">
        <v>237053.91600000003</v>
      </c>
      <c r="V37" s="14"/>
      <c r="X37" s="4" t="s">
        <v>71</v>
      </c>
      <c r="Y37" s="4" t="s">
        <v>76</v>
      </c>
      <c r="Z37" s="5" t="s">
        <v>32</v>
      </c>
      <c r="AA37" s="147">
        <v>7</v>
      </c>
      <c r="AB37" s="149"/>
      <c r="AD37" s="205" t="str">
        <f t="shared" si="16"/>
        <v/>
      </c>
      <c r="AE37" s="206" t="str">
        <f t="shared" si="17"/>
        <v/>
      </c>
      <c r="AF37" s="207" t="str">
        <f t="shared" si="18"/>
        <v/>
      </c>
      <c r="AG37" s="208" t="str">
        <f t="shared" si="19"/>
        <v/>
      </c>
      <c r="AI37" s="205" t="str">
        <f t="shared" si="20"/>
        <v/>
      </c>
      <c r="AJ37" s="206" t="str">
        <f t="shared" si="21"/>
        <v/>
      </c>
      <c r="AK37" s="206" t="str">
        <f t="shared" si="22"/>
        <v/>
      </c>
      <c r="AL37" s="216" t="str">
        <f t="shared" si="12"/>
        <v/>
      </c>
      <c r="AM37" s="217"/>
      <c r="AN37" s="207" t="str">
        <f t="shared" si="23"/>
        <v/>
      </c>
      <c r="AO37" s="221" t="str">
        <f t="shared" si="24"/>
        <v/>
      </c>
      <c r="AP37" s="221" t="str">
        <f t="shared" si="25"/>
        <v/>
      </c>
      <c r="AQ37" s="208" t="str">
        <f t="shared" si="13"/>
        <v/>
      </c>
      <c r="AT37" s="167" t="s">
        <v>193</v>
      </c>
      <c r="AU37" s="167" t="s">
        <v>384</v>
      </c>
      <c r="AV37" s="167" t="s">
        <v>194</v>
      </c>
      <c r="AW37" s="167">
        <v>1</v>
      </c>
      <c r="AY37" s="164"/>
      <c r="AZ37" s="164"/>
      <c r="BA37" s="164"/>
      <c r="BB37" s="164"/>
    </row>
    <row r="38" spans="1:54" ht="18" customHeight="1" x14ac:dyDescent="0.3">
      <c r="A38" s="120" t="str">
        <f t="shared" si="14"/>
        <v>SPP_GV_VM_0000_250_FIT_STRAIGHT_J_WELD</v>
      </c>
      <c r="B38" s="124" t="s">
        <v>736</v>
      </c>
      <c r="C38" s="129">
        <v>250</v>
      </c>
      <c r="D38" s="121" t="s">
        <v>737</v>
      </c>
      <c r="E38" s="128" t="str">
        <f t="shared" si="15"/>
        <v>250A, SPP, 백관, 반제품</v>
      </c>
      <c r="F38" s="126" t="s">
        <v>725</v>
      </c>
      <c r="G38" s="120" t="s">
        <v>727</v>
      </c>
      <c r="I38" s="120" t="s">
        <v>283</v>
      </c>
      <c r="J38" s="162">
        <v>4.1200000000000001E-2</v>
      </c>
      <c r="K38" s="161"/>
      <c r="L38" s="135"/>
      <c r="N38" s="13" t="s">
        <v>315</v>
      </c>
      <c r="O38" s="14" t="s">
        <v>217</v>
      </c>
      <c r="P38" s="14" t="s">
        <v>316</v>
      </c>
      <c r="Q38" s="13">
        <v>1</v>
      </c>
      <c r="R38" s="13" t="s">
        <v>251</v>
      </c>
      <c r="S38" s="14">
        <v>0</v>
      </c>
      <c r="T38" s="14">
        <v>7672759.6000000006</v>
      </c>
      <c r="U38" s="14">
        <v>230182.788</v>
      </c>
      <c r="V38" s="14"/>
      <c r="X38" s="4" t="s">
        <v>71</v>
      </c>
      <c r="Y38" s="4" t="s">
        <v>77</v>
      </c>
      <c r="Z38" s="5" t="s">
        <v>32</v>
      </c>
      <c r="AA38" s="147">
        <v>3</v>
      </c>
      <c r="AB38" s="149"/>
      <c r="AD38" s="205" t="str">
        <f t="shared" si="16"/>
        <v/>
      </c>
      <c r="AE38" s="206" t="str">
        <f t="shared" si="17"/>
        <v/>
      </c>
      <c r="AF38" s="207" t="str">
        <f t="shared" si="18"/>
        <v/>
      </c>
      <c r="AG38" s="208" t="str">
        <f t="shared" si="19"/>
        <v/>
      </c>
      <c r="AI38" s="205" t="str">
        <f t="shared" si="20"/>
        <v/>
      </c>
      <c r="AJ38" s="206" t="str">
        <f t="shared" si="21"/>
        <v/>
      </c>
      <c r="AK38" s="206" t="str">
        <f t="shared" si="22"/>
        <v/>
      </c>
      <c r="AL38" s="216" t="str">
        <f t="shared" si="12"/>
        <v/>
      </c>
      <c r="AM38" s="217"/>
      <c r="AN38" s="207" t="str">
        <f t="shared" si="23"/>
        <v/>
      </c>
      <c r="AO38" s="221" t="str">
        <f t="shared" si="24"/>
        <v/>
      </c>
      <c r="AP38" s="221" t="str">
        <f t="shared" si="25"/>
        <v/>
      </c>
      <c r="AQ38" s="208" t="str">
        <f t="shared" si="13"/>
        <v/>
      </c>
      <c r="AT38" s="167" t="s">
        <v>193</v>
      </c>
      <c r="AU38" s="167" t="s">
        <v>387</v>
      </c>
      <c r="AV38" s="167" t="s">
        <v>194</v>
      </c>
      <c r="AW38" s="167">
        <v>2</v>
      </c>
      <c r="AY38" s="164"/>
      <c r="AZ38" s="164"/>
      <c r="BA38" s="164"/>
      <c r="BB38" s="164"/>
    </row>
    <row r="39" spans="1:54" ht="18" customHeight="1" x14ac:dyDescent="0.3">
      <c r="A39" s="120" t="str">
        <f t="shared" si="14"/>
        <v>SPP_GV_VM_0000_300_FIT_STRAIGHT_J_WELD</v>
      </c>
      <c r="B39" s="124" t="s">
        <v>736</v>
      </c>
      <c r="C39" s="129">
        <v>300</v>
      </c>
      <c r="D39" s="121" t="s">
        <v>737</v>
      </c>
      <c r="E39" s="128" t="str">
        <f t="shared" si="15"/>
        <v>300A, SPP, 백관, 반제품</v>
      </c>
      <c r="F39" s="126" t="s">
        <v>725</v>
      </c>
      <c r="G39" s="120" t="s">
        <v>727</v>
      </c>
      <c r="I39" s="120" t="s">
        <v>285</v>
      </c>
      <c r="J39" s="162">
        <v>5.3800000000000001E-2</v>
      </c>
      <c r="K39" s="161"/>
      <c r="L39" s="135"/>
      <c r="N39" s="13" t="s">
        <v>317</v>
      </c>
      <c r="O39" s="14" t="s">
        <v>217</v>
      </c>
      <c r="P39" s="14" t="s">
        <v>318</v>
      </c>
      <c r="Q39" s="13">
        <v>1</v>
      </c>
      <c r="R39" s="13" t="s">
        <v>251</v>
      </c>
      <c r="S39" s="14">
        <v>0</v>
      </c>
      <c r="T39" s="14">
        <v>7299225.5999999996</v>
      </c>
      <c r="U39" s="14">
        <v>218976.76799999998</v>
      </c>
      <c r="V39" s="14"/>
      <c r="X39" s="4" t="s">
        <v>78</v>
      </c>
      <c r="Y39" s="4" t="s">
        <v>79</v>
      </c>
      <c r="Z39" s="5" t="s">
        <v>32</v>
      </c>
      <c r="AA39" s="147">
        <v>3</v>
      </c>
      <c r="AB39" s="149"/>
      <c r="AD39" s="205" t="str">
        <f t="shared" si="16"/>
        <v/>
      </c>
      <c r="AE39" s="206" t="str">
        <f t="shared" si="17"/>
        <v/>
      </c>
      <c r="AF39" s="207" t="str">
        <f t="shared" si="18"/>
        <v/>
      </c>
      <c r="AG39" s="208" t="str">
        <f t="shared" si="19"/>
        <v/>
      </c>
      <c r="AI39" s="205" t="str">
        <f t="shared" si="20"/>
        <v/>
      </c>
      <c r="AJ39" s="206" t="str">
        <f t="shared" si="21"/>
        <v/>
      </c>
      <c r="AK39" s="206" t="str">
        <f t="shared" si="22"/>
        <v/>
      </c>
      <c r="AL39" s="216" t="str">
        <f t="shared" si="12"/>
        <v/>
      </c>
      <c r="AM39" s="217"/>
      <c r="AN39" s="207" t="str">
        <f t="shared" si="23"/>
        <v/>
      </c>
      <c r="AO39" s="221" t="str">
        <f t="shared" si="24"/>
        <v/>
      </c>
      <c r="AP39" s="221" t="str">
        <f t="shared" si="25"/>
        <v/>
      </c>
      <c r="AQ39" s="208" t="str">
        <f t="shared" si="13"/>
        <v/>
      </c>
      <c r="AT39" s="167" t="s">
        <v>193</v>
      </c>
      <c r="AU39" s="167" t="s">
        <v>389</v>
      </c>
      <c r="AV39" s="167" t="s">
        <v>194</v>
      </c>
      <c r="AW39" s="167">
        <v>3</v>
      </c>
      <c r="AY39" s="164"/>
      <c r="AZ39" s="164"/>
      <c r="BA39" s="164"/>
      <c r="BB39" s="164"/>
    </row>
    <row r="40" spans="1:54" ht="18" customHeight="1" x14ac:dyDescent="0.3">
      <c r="A40" s="120" t="str">
        <f t="shared" si="14"/>
        <v>SPP_GV_VM_0000_350_FIT_STRAIGHT_J_WELD</v>
      </c>
      <c r="B40" s="124" t="s">
        <v>736</v>
      </c>
      <c r="C40" s="129">
        <v>350</v>
      </c>
      <c r="D40" s="121" t="s">
        <v>737</v>
      </c>
      <c r="E40" s="128" t="str">
        <f t="shared" si="15"/>
        <v>350A, SPP, 백관, 반제품</v>
      </c>
      <c r="F40" s="126" t="s">
        <v>725</v>
      </c>
      <c r="G40" s="120" t="s">
        <v>727</v>
      </c>
      <c r="I40" s="120" t="s">
        <v>287</v>
      </c>
      <c r="J40" s="162">
        <v>6.5200000000000008E-2</v>
      </c>
      <c r="K40" s="161"/>
      <c r="L40" s="135"/>
      <c r="N40" s="13" t="s">
        <v>319</v>
      </c>
      <c r="O40" s="14" t="s">
        <v>217</v>
      </c>
      <c r="P40" s="14" t="s">
        <v>320</v>
      </c>
      <c r="Q40" s="13">
        <v>1</v>
      </c>
      <c r="R40" s="13" t="s">
        <v>251</v>
      </c>
      <c r="S40" s="14">
        <v>0</v>
      </c>
      <c r="T40" s="14">
        <v>6901105.5999999996</v>
      </c>
      <c r="U40" s="14">
        <v>207033.16799999998</v>
      </c>
      <c r="V40" s="14"/>
      <c r="X40" s="4" t="s">
        <v>78</v>
      </c>
      <c r="Y40" s="4" t="s">
        <v>80</v>
      </c>
      <c r="Z40" s="5" t="s">
        <v>32</v>
      </c>
      <c r="AA40" s="147">
        <v>2</v>
      </c>
      <c r="AB40" s="149"/>
      <c r="AD40" s="205" t="str">
        <f t="shared" si="16"/>
        <v/>
      </c>
      <c r="AE40" s="206" t="str">
        <f t="shared" si="17"/>
        <v/>
      </c>
      <c r="AF40" s="207" t="str">
        <f t="shared" si="18"/>
        <v/>
      </c>
      <c r="AG40" s="208" t="str">
        <f t="shared" si="19"/>
        <v/>
      </c>
      <c r="AI40" s="205" t="str">
        <f t="shared" si="20"/>
        <v/>
      </c>
      <c r="AJ40" s="206" t="str">
        <f t="shared" si="21"/>
        <v/>
      </c>
      <c r="AK40" s="206" t="str">
        <f t="shared" si="22"/>
        <v/>
      </c>
      <c r="AL40" s="216" t="str">
        <f t="shared" si="12"/>
        <v/>
      </c>
      <c r="AM40" s="217"/>
      <c r="AN40" s="207" t="str">
        <f t="shared" si="23"/>
        <v/>
      </c>
      <c r="AO40" s="221" t="str">
        <f t="shared" si="24"/>
        <v/>
      </c>
      <c r="AP40" s="221" t="str">
        <f t="shared" si="25"/>
        <v/>
      </c>
      <c r="AQ40" s="208" t="str">
        <f t="shared" si="13"/>
        <v/>
      </c>
      <c r="AT40" s="167" t="s">
        <v>193</v>
      </c>
      <c r="AU40" s="167" t="s">
        <v>392</v>
      </c>
      <c r="AV40" s="167" t="s">
        <v>194</v>
      </c>
      <c r="AW40" s="167">
        <v>1</v>
      </c>
      <c r="AY40" s="164"/>
      <c r="AZ40" s="164"/>
      <c r="BA40" s="164"/>
      <c r="BB40" s="164"/>
    </row>
    <row r="41" spans="1:54" ht="18" customHeight="1" x14ac:dyDescent="0.3">
      <c r="A41" s="120" t="str">
        <f t="shared" si="14"/>
        <v>SPP_GV_VM_0000_400_FIT_STRAIGHT_J_WELD</v>
      </c>
      <c r="B41" s="124" t="s">
        <v>736</v>
      </c>
      <c r="C41" s="129">
        <v>400</v>
      </c>
      <c r="D41" s="121" t="s">
        <v>737</v>
      </c>
      <c r="E41" s="128" t="str">
        <f t="shared" si="15"/>
        <v>400A, SPP, 백관, 반제품</v>
      </c>
      <c r="F41" s="126" t="s">
        <v>725</v>
      </c>
      <c r="G41" s="120" t="s">
        <v>727</v>
      </c>
      <c r="I41" s="120" t="s">
        <v>289</v>
      </c>
      <c r="J41" s="162">
        <v>7.7599999999999988E-2</v>
      </c>
      <c r="K41" s="161"/>
      <c r="L41" s="135"/>
      <c r="N41" s="13" t="s">
        <v>321</v>
      </c>
      <c r="O41" s="14" t="s">
        <v>322</v>
      </c>
      <c r="P41" s="14" t="s">
        <v>250</v>
      </c>
      <c r="Q41" s="13">
        <v>1</v>
      </c>
      <c r="R41" s="13" t="s">
        <v>251</v>
      </c>
      <c r="S41" s="14">
        <v>0</v>
      </c>
      <c r="T41" s="14">
        <v>58031054</v>
      </c>
      <c r="U41" s="14">
        <v>1740931.6199999999</v>
      </c>
      <c r="V41" s="14"/>
      <c r="X41" s="7" t="s">
        <v>81</v>
      </c>
      <c r="Y41" s="3" t="s">
        <v>82</v>
      </c>
      <c r="Z41" s="2" t="s">
        <v>32</v>
      </c>
      <c r="AA41" s="146">
        <v>1</v>
      </c>
      <c r="AB41" s="148" t="s">
        <v>83</v>
      </c>
      <c r="AD41" s="205" t="str">
        <f t="shared" si="16"/>
        <v>호표222</v>
      </c>
      <c r="AE41" s="206">
        <f>IFERROR(INDEX(J:J,MATCH(AB41,A:A,0),1),"")</f>
        <v>0</v>
      </c>
      <c r="AF41" s="207">
        <f t="shared" si="18"/>
        <v>0</v>
      </c>
      <c r="AG41" s="208">
        <f t="shared" si="19"/>
        <v>0</v>
      </c>
      <c r="AI41" s="205" t="str">
        <f t="shared" si="20"/>
        <v>STS플랜지접합</v>
      </c>
      <c r="AJ41" s="206" t="str">
        <f t="shared" si="21"/>
        <v>25A 개소</v>
      </c>
      <c r="AK41" s="206" t="str">
        <f t="shared" si="22"/>
        <v>개소</v>
      </c>
      <c r="AL41" s="216">
        <f t="shared" si="12"/>
        <v>1</v>
      </c>
      <c r="AM41" s="217"/>
      <c r="AN41" s="207" t="str">
        <f t="shared" si="23"/>
        <v/>
      </c>
      <c r="AO41" s="221" t="str">
        <f t="shared" si="24"/>
        <v/>
      </c>
      <c r="AP41" s="221" t="str">
        <f t="shared" si="25"/>
        <v/>
      </c>
      <c r="AQ41" s="208">
        <f t="shared" si="13"/>
        <v>0</v>
      </c>
      <c r="AT41" s="164" t="s">
        <v>217</v>
      </c>
      <c r="AU41" s="164" t="s">
        <v>266</v>
      </c>
      <c r="AV41" s="164" t="s">
        <v>251</v>
      </c>
      <c r="AW41" s="165">
        <v>4.0959999999999998E-3</v>
      </c>
      <c r="AY41" s="164" t="s">
        <v>217</v>
      </c>
      <c r="AZ41" s="164" t="s">
        <v>266</v>
      </c>
      <c r="BA41" s="164" t="s">
        <v>251</v>
      </c>
      <c r="BB41" s="165">
        <v>4.0959999999999998E-3</v>
      </c>
    </row>
    <row r="42" spans="1:54" ht="18" customHeight="1" x14ac:dyDescent="0.3">
      <c r="A42" s="120" t="str">
        <f t="shared" si="14"/>
        <v>SPP_GV_VM_0000_450_FIT_STRAIGHT_J_WELD</v>
      </c>
      <c r="B42" s="124" t="s">
        <v>736</v>
      </c>
      <c r="C42" s="129">
        <v>450</v>
      </c>
      <c r="D42" s="121" t="s">
        <v>737</v>
      </c>
      <c r="E42" s="128" t="str">
        <f t="shared" si="15"/>
        <v>450A, SPP, 백관, 반제품</v>
      </c>
      <c r="F42" s="126" t="s">
        <v>725</v>
      </c>
      <c r="G42" s="120" t="s">
        <v>727</v>
      </c>
      <c r="I42" s="120" t="s">
        <v>291</v>
      </c>
      <c r="J42" s="162">
        <v>8.7499999999999994E-2</v>
      </c>
      <c r="K42" s="161"/>
      <c r="L42" s="135"/>
      <c r="N42" s="13" t="s">
        <v>323</v>
      </c>
      <c r="O42" s="14" t="s">
        <v>322</v>
      </c>
      <c r="P42" s="14" t="s">
        <v>253</v>
      </c>
      <c r="Q42" s="13">
        <v>1</v>
      </c>
      <c r="R42" s="13" t="s">
        <v>251</v>
      </c>
      <c r="S42" s="14">
        <v>0</v>
      </c>
      <c r="T42" s="14">
        <v>40455114</v>
      </c>
      <c r="U42" s="14">
        <v>1213653.42</v>
      </c>
      <c r="V42" s="14"/>
      <c r="X42" s="7" t="s">
        <v>81</v>
      </c>
      <c r="Y42" s="3" t="s">
        <v>84</v>
      </c>
      <c r="Z42" s="2" t="s">
        <v>32</v>
      </c>
      <c r="AA42" s="146">
        <v>1</v>
      </c>
      <c r="AB42" s="148" t="s">
        <v>85</v>
      </c>
      <c r="AD42" s="205" t="str">
        <f t="shared" si="16"/>
        <v>호표223</v>
      </c>
      <c r="AE42" s="206">
        <f t="shared" si="17"/>
        <v>0</v>
      </c>
      <c r="AF42" s="207">
        <f t="shared" si="18"/>
        <v>0</v>
      </c>
      <c r="AG42" s="208">
        <f t="shared" si="19"/>
        <v>0</v>
      </c>
      <c r="AI42" s="205" t="str">
        <f t="shared" si="20"/>
        <v>STS플랜지접합</v>
      </c>
      <c r="AJ42" s="206" t="str">
        <f t="shared" si="21"/>
        <v>65A 개소</v>
      </c>
      <c r="AK42" s="206" t="str">
        <f t="shared" si="22"/>
        <v>개소</v>
      </c>
      <c r="AL42" s="216">
        <f t="shared" si="12"/>
        <v>1</v>
      </c>
      <c r="AM42" s="217"/>
      <c r="AN42" s="207" t="str">
        <f t="shared" si="23"/>
        <v/>
      </c>
      <c r="AO42" s="221" t="str">
        <f t="shared" si="24"/>
        <v/>
      </c>
      <c r="AP42" s="221" t="str">
        <f t="shared" si="25"/>
        <v/>
      </c>
      <c r="AQ42" s="208">
        <f t="shared" si="13"/>
        <v>0</v>
      </c>
      <c r="AT42" s="164" t="s">
        <v>217</v>
      </c>
      <c r="AU42" s="164" t="s">
        <v>269</v>
      </c>
      <c r="AV42" s="164" t="s">
        <v>251</v>
      </c>
      <c r="AW42" s="165">
        <v>0.16725299999999999</v>
      </c>
      <c r="AY42" s="164" t="s">
        <v>217</v>
      </c>
      <c r="AZ42" s="164" t="s">
        <v>269</v>
      </c>
      <c r="BA42" s="164" t="s">
        <v>251</v>
      </c>
      <c r="BB42" s="165">
        <v>0.16725299999999999</v>
      </c>
    </row>
    <row r="43" spans="1:54" ht="18" customHeight="1" x14ac:dyDescent="0.3">
      <c r="A43" s="120" t="str">
        <f t="shared" si="14"/>
        <v>SPP_GV_VM_0000_500_FIT_STRAIGHT_J_WELD</v>
      </c>
      <c r="B43" s="124" t="s">
        <v>736</v>
      </c>
      <c r="C43" s="129">
        <v>500</v>
      </c>
      <c r="D43" s="121" t="s">
        <v>737</v>
      </c>
      <c r="E43" s="128" t="str">
        <f t="shared" si="15"/>
        <v>500A, SPP, 백관, 반제품</v>
      </c>
      <c r="F43" s="126" t="s">
        <v>725</v>
      </c>
      <c r="G43" s="120" t="s">
        <v>727</v>
      </c>
      <c r="I43" s="120" t="s">
        <v>293</v>
      </c>
      <c r="J43" s="162">
        <v>9.74E-2</v>
      </c>
      <c r="K43" s="161"/>
      <c r="L43" s="135"/>
      <c r="N43" s="13" t="s">
        <v>324</v>
      </c>
      <c r="O43" s="14" t="s">
        <v>322</v>
      </c>
      <c r="P43" s="14" t="s">
        <v>255</v>
      </c>
      <c r="Q43" s="13">
        <v>1</v>
      </c>
      <c r="R43" s="13" t="s">
        <v>251</v>
      </c>
      <c r="S43" s="14">
        <v>0</v>
      </c>
      <c r="T43" s="14">
        <v>34271098.799999997</v>
      </c>
      <c r="U43" s="14">
        <v>1028132.9639999999</v>
      </c>
      <c r="V43" s="14"/>
      <c r="X43" s="7" t="s">
        <v>81</v>
      </c>
      <c r="Y43" s="3" t="s">
        <v>86</v>
      </c>
      <c r="Z43" s="2" t="s">
        <v>32</v>
      </c>
      <c r="AA43" s="146">
        <v>38</v>
      </c>
      <c r="AB43" s="148" t="s">
        <v>87</v>
      </c>
      <c r="AD43" s="205" t="str">
        <f t="shared" si="16"/>
        <v>호표223</v>
      </c>
      <c r="AE43" s="206">
        <f t="shared" si="17"/>
        <v>0</v>
      </c>
      <c r="AF43" s="207">
        <f t="shared" si="18"/>
        <v>0</v>
      </c>
      <c r="AG43" s="208">
        <f t="shared" si="19"/>
        <v>0</v>
      </c>
      <c r="AI43" s="205" t="str">
        <f t="shared" si="20"/>
        <v>STS플랜지접합</v>
      </c>
      <c r="AJ43" s="206" t="str">
        <f t="shared" si="21"/>
        <v>65A 개소</v>
      </c>
      <c r="AK43" s="206" t="str">
        <f t="shared" si="22"/>
        <v>개소</v>
      </c>
      <c r="AL43" s="216">
        <f t="shared" si="12"/>
        <v>38</v>
      </c>
      <c r="AM43" s="217"/>
      <c r="AN43" s="207" t="str">
        <f t="shared" si="23"/>
        <v/>
      </c>
      <c r="AO43" s="221" t="str">
        <f t="shared" si="24"/>
        <v/>
      </c>
      <c r="AP43" s="221" t="str">
        <f t="shared" si="25"/>
        <v/>
      </c>
      <c r="AQ43" s="208">
        <f t="shared" si="13"/>
        <v>0</v>
      </c>
      <c r="AT43" s="164" t="s">
        <v>217</v>
      </c>
      <c r="AU43" s="164" t="s">
        <v>276</v>
      </c>
      <c r="AV43" s="164" t="s">
        <v>251</v>
      </c>
      <c r="AW43" s="165">
        <v>1.1308799999999999</v>
      </c>
      <c r="AY43" s="164" t="s">
        <v>217</v>
      </c>
      <c r="AZ43" s="164" t="s">
        <v>276</v>
      </c>
      <c r="BA43" s="164" t="s">
        <v>251</v>
      </c>
      <c r="BB43" s="165">
        <v>1.1308799999999999</v>
      </c>
    </row>
    <row r="44" spans="1:54" ht="18" customHeight="1" x14ac:dyDescent="0.3">
      <c r="A44" s="120" t="str">
        <f t="shared" si="14"/>
        <v>SPP_GV_VM_0000_550_FIT_STRAIGHT_J_WELD</v>
      </c>
      <c r="B44" s="124" t="s">
        <v>736</v>
      </c>
      <c r="C44" s="129">
        <v>550</v>
      </c>
      <c r="D44" s="121" t="s">
        <v>737</v>
      </c>
      <c r="E44" s="128" t="str">
        <f t="shared" si="15"/>
        <v>550A, SPP, 백관, 반제품</v>
      </c>
      <c r="F44" s="126" t="s">
        <v>725</v>
      </c>
      <c r="G44" s="120" t="s">
        <v>727</v>
      </c>
      <c r="I44" s="120" t="s">
        <v>295</v>
      </c>
      <c r="J44" s="162">
        <v>0.107</v>
      </c>
      <c r="K44" s="161"/>
      <c r="L44" s="135"/>
      <c r="N44" s="13" t="s">
        <v>325</v>
      </c>
      <c r="O44" s="14" t="s">
        <v>322</v>
      </c>
      <c r="P44" s="14" t="s">
        <v>257</v>
      </c>
      <c r="Q44" s="13">
        <v>1</v>
      </c>
      <c r="R44" s="13" t="s">
        <v>251</v>
      </c>
      <c r="S44" s="14">
        <v>0</v>
      </c>
      <c r="T44" s="14">
        <v>26911918</v>
      </c>
      <c r="U44" s="14">
        <v>807357.53999999992</v>
      </c>
      <c r="V44" s="14"/>
      <c r="X44" s="7" t="s">
        <v>81</v>
      </c>
      <c r="Y44" s="3" t="s">
        <v>88</v>
      </c>
      <c r="Z44" s="2" t="s">
        <v>32</v>
      </c>
      <c r="AA44" s="146">
        <v>8</v>
      </c>
      <c r="AB44" s="148" t="s">
        <v>89</v>
      </c>
      <c r="AD44" s="205" t="str">
        <f t="shared" si="16"/>
        <v>호표223</v>
      </c>
      <c r="AE44" s="206">
        <f t="shared" si="17"/>
        <v>0</v>
      </c>
      <c r="AF44" s="207">
        <f t="shared" si="18"/>
        <v>0</v>
      </c>
      <c r="AG44" s="208">
        <f t="shared" si="19"/>
        <v>0</v>
      </c>
      <c r="AI44" s="205" t="str">
        <f t="shared" si="20"/>
        <v>STS플랜지접합</v>
      </c>
      <c r="AJ44" s="206" t="str">
        <f t="shared" si="21"/>
        <v>65A 개소</v>
      </c>
      <c r="AK44" s="206" t="str">
        <f t="shared" si="22"/>
        <v>개소</v>
      </c>
      <c r="AL44" s="216">
        <f t="shared" si="12"/>
        <v>8</v>
      </c>
      <c r="AM44" s="217"/>
      <c r="AN44" s="207" t="str">
        <f t="shared" si="23"/>
        <v/>
      </c>
      <c r="AO44" s="221" t="str">
        <f t="shared" si="24"/>
        <v/>
      </c>
      <c r="AP44" s="221" t="str">
        <f t="shared" si="25"/>
        <v/>
      </c>
      <c r="AQ44" s="208">
        <f t="shared" si="13"/>
        <v>0</v>
      </c>
      <c r="AT44" s="164" t="s">
        <v>522</v>
      </c>
      <c r="AU44" s="164" t="s">
        <v>383</v>
      </c>
      <c r="AV44" s="164" t="s">
        <v>194</v>
      </c>
      <c r="AW44" s="164">
        <v>2</v>
      </c>
      <c r="AY44" s="164" t="s">
        <v>522</v>
      </c>
      <c r="AZ44" s="164" t="s">
        <v>383</v>
      </c>
      <c r="BA44" s="164" t="s">
        <v>194</v>
      </c>
      <c r="BB44" s="164">
        <v>2</v>
      </c>
    </row>
    <row r="45" spans="1:54" ht="18" customHeight="1" x14ac:dyDescent="0.3">
      <c r="A45" s="120" t="str">
        <f t="shared" si="14"/>
        <v>SPP_GV_VM_0000_600_FIT_STRAIGHT_J_WELD</v>
      </c>
      <c r="B45" s="124" t="s">
        <v>736</v>
      </c>
      <c r="C45" s="129">
        <v>600</v>
      </c>
      <c r="D45" s="121" t="s">
        <v>737</v>
      </c>
      <c r="E45" s="128" t="str">
        <f t="shared" si="15"/>
        <v>600A, SPP, 백관, 반제품</v>
      </c>
      <c r="F45" s="126" t="s">
        <v>725</v>
      </c>
      <c r="G45" s="120" t="s">
        <v>727</v>
      </c>
      <c r="I45" s="120" t="s">
        <v>297</v>
      </c>
      <c r="J45" s="162">
        <v>0.11700000000000001</v>
      </c>
      <c r="K45" s="161"/>
      <c r="L45" s="135"/>
      <c r="N45" s="13" t="s">
        <v>326</v>
      </c>
      <c r="O45" s="14" t="s">
        <v>322</v>
      </c>
      <c r="P45" s="14" t="s">
        <v>259</v>
      </c>
      <c r="Q45" s="13">
        <v>1</v>
      </c>
      <c r="R45" s="13" t="s">
        <v>251</v>
      </c>
      <c r="S45" s="14">
        <v>0</v>
      </c>
      <c r="T45" s="14">
        <v>23934429.199999996</v>
      </c>
      <c r="U45" s="14">
        <v>718032.87599999981</v>
      </c>
      <c r="V45" s="14"/>
      <c r="X45" s="7" t="s">
        <v>81</v>
      </c>
      <c r="Y45" s="3" t="s">
        <v>90</v>
      </c>
      <c r="Z45" s="2" t="s">
        <v>32</v>
      </c>
      <c r="AA45" s="146">
        <v>46</v>
      </c>
      <c r="AB45" s="148" t="s">
        <v>91</v>
      </c>
      <c r="AD45" s="205" t="str">
        <f t="shared" si="16"/>
        <v>호표224</v>
      </c>
      <c r="AE45" s="206">
        <f t="shared" si="17"/>
        <v>0</v>
      </c>
      <c r="AF45" s="207">
        <f t="shared" si="18"/>
        <v>0</v>
      </c>
      <c r="AG45" s="208">
        <f t="shared" si="19"/>
        <v>0</v>
      </c>
      <c r="AI45" s="205" t="str">
        <f t="shared" si="20"/>
        <v>STS플랜지접합</v>
      </c>
      <c r="AJ45" s="206" t="str">
        <f t="shared" si="21"/>
        <v>80A 개소</v>
      </c>
      <c r="AK45" s="206" t="str">
        <f t="shared" si="22"/>
        <v>개소</v>
      </c>
      <c r="AL45" s="216">
        <f t="shared" si="12"/>
        <v>46</v>
      </c>
      <c r="AM45" s="217"/>
      <c r="AN45" s="207" t="str">
        <f t="shared" si="23"/>
        <v/>
      </c>
      <c r="AO45" s="221" t="str">
        <f t="shared" si="24"/>
        <v/>
      </c>
      <c r="AP45" s="221" t="str">
        <f t="shared" si="25"/>
        <v/>
      </c>
      <c r="AQ45" s="208">
        <f t="shared" si="13"/>
        <v>0</v>
      </c>
      <c r="AT45" s="164" t="s">
        <v>522</v>
      </c>
      <c r="AU45" s="164" t="s">
        <v>384</v>
      </c>
      <c r="AV45" s="164" t="s">
        <v>194</v>
      </c>
      <c r="AW45" s="164">
        <v>7</v>
      </c>
      <c r="AY45" s="164" t="s">
        <v>522</v>
      </c>
      <c r="AZ45" s="164" t="s">
        <v>384</v>
      </c>
      <c r="BA45" s="164" t="s">
        <v>194</v>
      </c>
      <c r="BB45" s="164">
        <v>7</v>
      </c>
    </row>
    <row r="46" spans="1:54" ht="18" customHeight="1" x14ac:dyDescent="0.3">
      <c r="A46" s="120" t="str">
        <f>B46&amp;"_VM_0000_"&amp;C46&amp;"_40_"&amp;F46&amp;"_"&amp;G46</f>
        <v>SPPS370_VM_0000_15_40_FIT_STRAIGHT_J_WELD</v>
      </c>
      <c r="B46" s="124" t="s">
        <v>739</v>
      </c>
      <c r="C46" s="129">
        <v>15</v>
      </c>
      <c r="D46" s="122" t="s">
        <v>740</v>
      </c>
      <c r="E46" s="130" t="str">
        <f>C46&amp;"A, SPPS, 흑관(#40), 반제품"</f>
        <v>15A, SPPS, 흑관(#40), 반제품</v>
      </c>
      <c r="F46" s="126" t="s">
        <v>725</v>
      </c>
      <c r="G46" s="120" t="s">
        <v>727</v>
      </c>
      <c r="I46" s="120" t="s">
        <v>741</v>
      </c>
      <c r="J46" s="162">
        <v>1.31E-3</v>
      </c>
      <c r="K46" s="161"/>
      <c r="L46" s="135"/>
      <c r="N46" s="13" t="s">
        <v>327</v>
      </c>
      <c r="O46" s="14" t="s">
        <v>322</v>
      </c>
      <c r="P46" s="14" t="s">
        <v>261</v>
      </c>
      <c r="Q46" s="13">
        <v>1</v>
      </c>
      <c r="R46" s="13" t="s">
        <v>251</v>
      </c>
      <c r="S46" s="14">
        <v>0</v>
      </c>
      <c r="T46" s="14">
        <v>20155308.800000001</v>
      </c>
      <c r="U46" s="14">
        <v>604659.26399999997</v>
      </c>
      <c r="V46" s="14"/>
      <c r="X46" s="7" t="s">
        <v>81</v>
      </c>
      <c r="Y46" s="3" t="s">
        <v>92</v>
      </c>
      <c r="Z46" s="2" t="s">
        <v>32</v>
      </c>
      <c r="AA46" s="146">
        <v>6</v>
      </c>
      <c r="AB46" s="148" t="s">
        <v>93</v>
      </c>
      <c r="AD46" s="205" t="str">
        <f t="shared" si="16"/>
        <v>호표225</v>
      </c>
      <c r="AE46" s="206">
        <f t="shared" si="17"/>
        <v>0</v>
      </c>
      <c r="AF46" s="207">
        <f t="shared" si="18"/>
        <v>0</v>
      </c>
      <c r="AG46" s="208">
        <f t="shared" si="19"/>
        <v>0</v>
      </c>
      <c r="AI46" s="205" t="str">
        <f t="shared" si="20"/>
        <v>STS플랜지접합</v>
      </c>
      <c r="AJ46" s="206" t="str">
        <f t="shared" si="21"/>
        <v>100A 개소</v>
      </c>
      <c r="AK46" s="206" t="str">
        <f t="shared" si="22"/>
        <v>개소</v>
      </c>
      <c r="AL46" s="216">
        <f t="shared" si="12"/>
        <v>6</v>
      </c>
      <c r="AM46" s="217"/>
      <c r="AN46" s="207" t="str">
        <f t="shared" si="23"/>
        <v/>
      </c>
      <c r="AO46" s="221" t="str">
        <f t="shared" si="24"/>
        <v/>
      </c>
      <c r="AP46" s="221" t="str">
        <f t="shared" si="25"/>
        <v/>
      </c>
      <c r="AQ46" s="208">
        <f t="shared" si="13"/>
        <v>0</v>
      </c>
      <c r="AT46" s="164" t="s">
        <v>522</v>
      </c>
      <c r="AU46" s="164" t="s">
        <v>389</v>
      </c>
      <c r="AV46" s="164" t="s">
        <v>194</v>
      </c>
      <c r="AW46" s="164">
        <v>21</v>
      </c>
      <c r="AY46" s="164" t="s">
        <v>522</v>
      </c>
      <c r="AZ46" s="164" t="s">
        <v>389</v>
      </c>
      <c r="BA46" s="164" t="s">
        <v>194</v>
      </c>
      <c r="BB46" s="164">
        <v>21</v>
      </c>
    </row>
    <row r="47" spans="1:54" ht="18" customHeight="1" x14ac:dyDescent="0.3">
      <c r="A47" s="120" t="str">
        <f t="shared" ref="A47:A64" si="26">B47&amp;"_VM_0000_"&amp;C47&amp;"_40_"&amp;F47&amp;"_"&amp;G47</f>
        <v>SPPS370_VM_0000_20_40_FIT_STRAIGHT_J_WELD</v>
      </c>
      <c r="B47" s="124" t="s">
        <v>739</v>
      </c>
      <c r="C47" s="129">
        <v>20</v>
      </c>
      <c r="D47" s="122" t="s">
        <v>740</v>
      </c>
      <c r="E47" s="130" t="str">
        <f t="shared" ref="E47:E64" si="27">C47&amp;"A, SPPS, 흑관(#40), 반제품"</f>
        <v>20A, SPPS, 흑관(#40), 반제품</v>
      </c>
      <c r="F47" s="126" t="s">
        <v>725</v>
      </c>
      <c r="G47" s="120" t="s">
        <v>727</v>
      </c>
      <c r="I47" s="120" t="s">
        <v>742</v>
      </c>
      <c r="J47" s="162">
        <v>1.74E-3</v>
      </c>
      <c r="K47" s="161"/>
      <c r="L47" s="135"/>
      <c r="N47" s="13" t="s">
        <v>328</v>
      </c>
      <c r="O47" s="14" t="s">
        <v>322</v>
      </c>
      <c r="P47" s="14" t="s">
        <v>263</v>
      </c>
      <c r="Q47" s="13">
        <v>1</v>
      </c>
      <c r="R47" s="13" t="s">
        <v>251</v>
      </c>
      <c r="S47" s="14">
        <v>0</v>
      </c>
      <c r="T47" s="14">
        <v>18323008</v>
      </c>
      <c r="U47" s="14">
        <v>549690.24</v>
      </c>
      <c r="V47" s="14"/>
      <c r="X47" s="7" t="s">
        <v>81</v>
      </c>
      <c r="Y47" s="3" t="s">
        <v>94</v>
      </c>
      <c r="Z47" s="2" t="s">
        <v>32</v>
      </c>
      <c r="AA47" s="146">
        <v>19</v>
      </c>
      <c r="AB47" s="148" t="s">
        <v>95</v>
      </c>
      <c r="AD47" s="205" t="str">
        <f t="shared" si="16"/>
        <v>호표226</v>
      </c>
      <c r="AE47" s="206">
        <f t="shared" si="17"/>
        <v>0</v>
      </c>
      <c r="AF47" s="207">
        <f t="shared" si="18"/>
        <v>0</v>
      </c>
      <c r="AG47" s="208">
        <f t="shared" si="19"/>
        <v>0</v>
      </c>
      <c r="AI47" s="205" t="str">
        <f t="shared" si="20"/>
        <v>STS플랜지접합</v>
      </c>
      <c r="AJ47" s="206" t="str">
        <f t="shared" si="21"/>
        <v>125A 개소</v>
      </c>
      <c r="AK47" s="206" t="str">
        <f t="shared" si="22"/>
        <v>개소</v>
      </c>
      <c r="AL47" s="216">
        <f t="shared" si="12"/>
        <v>19</v>
      </c>
      <c r="AM47" s="217"/>
      <c r="AN47" s="207" t="str">
        <f t="shared" si="23"/>
        <v/>
      </c>
      <c r="AO47" s="221" t="str">
        <f t="shared" si="24"/>
        <v/>
      </c>
      <c r="AP47" s="221" t="str">
        <f t="shared" si="25"/>
        <v/>
      </c>
      <c r="AQ47" s="208">
        <f t="shared" si="13"/>
        <v>0</v>
      </c>
      <c r="AT47" s="164" t="s">
        <v>454</v>
      </c>
      <c r="AU47" s="164" t="s">
        <v>378</v>
      </c>
      <c r="AV47" s="164" t="s">
        <v>194</v>
      </c>
      <c r="AW47" s="164">
        <v>35.5</v>
      </c>
      <c r="AY47" s="164" t="s">
        <v>454</v>
      </c>
      <c r="AZ47" s="164" t="s">
        <v>378</v>
      </c>
      <c r="BA47" s="164" t="s">
        <v>194</v>
      </c>
      <c r="BB47" s="164">
        <v>35.5</v>
      </c>
    </row>
    <row r="48" spans="1:54" ht="18" customHeight="1" x14ac:dyDescent="0.3">
      <c r="A48" s="120" t="str">
        <f t="shared" si="26"/>
        <v>SPPS370_VM_0000_25_40_FIT_STRAIGHT_J_WELD</v>
      </c>
      <c r="B48" s="124" t="s">
        <v>739</v>
      </c>
      <c r="C48" s="129">
        <v>25</v>
      </c>
      <c r="D48" s="122" t="s">
        <v>740</v>
      </c>
      <c r="E48" s="130" t="str">
        <f t="shared" si="27"/>
        <v>25A, SPPS, 흑관(#40), 반제품</v>
      </c>
      <c r="F48" s="126" t="s">
        <v>725</v>
      </c>
      <c r="G48" s="120" t="s">
        <v>727</v>
      </c>
      <c r="I48" s="120" t="s">
        <v>743</v>
      </c>
      <c r="J48" s="162">
        <v>2.5699999999999998E-3</v>
      </c>
      <c r="K48" s="161"/>
      <c r="L48" s="135"/>
      <c r="N48" s="13" t="s">
        <v>329</v>
      </c>
      <c r="O48" s="14" t="s">
        <v>322</v>
      </c>
      <c r="P48" s="14" t="s">
        <v>265</v>
      </c>
      <c r="Q48" s="13">
        <v>1</v>
      </c>
      <c r="R48" s="13" t="s">
        <v>251</v>
      </c>
      <c r="S48" s="14">
        <v>0</v>
      </c>
      <c r="T48" s="14">
        <v>17406857.600000001</v>
      </c>
      <c r="U48" s="14">
        <v>522205.728</v>
      </c>
      <c r="V48" s="14"/>
      <c r="X48" s="7" t="s">
        <v>81</v>
      </c>
      <c r="Y48" s="3" t="s">
        <v>96</v>
      </c>
      <c r="Z48" s="2" t="s">
        <v>32</v>
      </c>
      <c r="AA48" s="146">
        <v>38</v>
      </c>
      <c r="AB48" s="148" t="s">
        <v>97</v>
      </c>
      <c r="AD48" s="205" t="str">
        <f t="shared" si="16"/>
        <v>호표227</v>
      </c>
      <c r="AE48" s="206">
        <f t="shared" si="17"/>
        <v>0</v>
      </c>
      <c r="AF48" s="207">
        <f t="shared" si="18"/>
        <v>0</v>
      </c>
      <c r="AG48" s="208">
        <f t="shared" si="19"/>
        <v>0</v>
      </c>
      <c r="AI48" s="205" t="str">
        <f t="shared" si="20"/>
        <v>STS플랜지접합</v>
      </c>
      <c r="AJ48" s="206" t="str">
        <f t="shared" si="21"/>
        <v>150A 개소</v>
      </c>
      <c r="AK48" s="206" t="str">
        <f t="shared" si="22"/>
        <v>개소</v>
      </c>
      <c r="AL48" s="216">
        <f t="shared" si="12"/>
        <v>38</v>
      </c>
      <c r="AM48" s="217"/>
      <c r="AN48" s="207" t="str">
        <f t="shared" si="23"/>
        <v/>
      </c>
      <c r="AO48" s="221" t="str">
        <f t="shared" si="24"/>
        <v/>
      </c>
      <c r="AP48" s="221" t="str">
        <f t="shared" si="25"/>
        <v/>
      </c>
      <c r="AQ48" s="208">
        <f t="shared" si="13"/>
        <v>0</v>
      </c>
      <c r="AT48" s="164" t="s">
        <v>595</v>
      </c>
      <c r="AU48" s="164" t="s">
        <v>378</v>
      </c>
      <c r="AV48" s="164" t="s">
        <v>194</v>
      </c>
      <c r="AW48" s="164">
        <v>46</v>
      </c>
      <c r="AY48" s="164" t="s">
        <v>595</v>
      </c>
      <c r="AZ48" s="164" t="s">
        <v>378</v>
      </c>
      <c r="BA48" s="164" t="s">
        <v>194</v>
      </c>
      <c r="BB48" s="164">
        <v>46</v>
      </c>
    </row>
    <row r="49" spans="1:54" ht="18" customHeight="1" x14ac:dyDescent="0.3">
      <c r="A49" s="120" t="str">
        <f t="shared" si="26"/>
        <v>SPPS370_VM_0000_32_40_FIT_STRAIGHT_J_WELD</v>
      </c>
      <c r="B49" s="124" t="s">
        <v>739</v>
      </c>
      <c r="C49" s="129">
        <v>32</v>
      </c>
      <c r="D49" s="122" t="s">
        <v>740</v>
      </c>
      <c r="E49" s="130" t="str">
        <f t="shared" si="27"/>
        <v>32A, SPPS, 흑관(#40), 반제품</v>
      </c>
      <c r="F49" s="126" t="s">
        <v>725</v>
      </c>
      <c r="G49" s="120" t="s">
        <v>727</v>
      </c>
      <c r="I49" s="120" t="s">
        <v>744</v>
      </c>
      <c r="J49" s="162">
        <v>3.47E-3</v>
      </c>
      <c r="K49" s="161"/>
      <c r="L49" s="135"/>
      <c r="N49" s="13" t="s">
        <v>330</v>
      </c>
      <c r="O49" s="14" t="s">
        <v>322</v>
      </c>
      <c r="P49" s="14" t="s">
        <v>266</v>
      </c>
      <c r="Q49" s="13">
        <v>1</v>
      </c>
      <c r="R49" s="13" t="s">
        <v>251</v>
      </c>
      <c r="S49" s="14">
        <v>0</v>
      </c>
      <c r="T49" s="14">
        <v>16147150.799999999</v>
      </c>
      <c r="U49" s="14">
        <v>484414.52399999998</v>
      </c>
      <c r="V49" s="14"/>
      <c r="X49" s="7" t="s">
        <v>81</v>
      </c>
      <c r="Y49" s="3" t="s">
        <v>98</v>
      </c>
      <c r="Z49" s="2" t="s">
        <v>32</v>
      </c>
      <c r="AA49" s="146">
        <v>51</v>
      </c>
      <c r="AB49" s="148" t="s">
        <v>99</v>
      </c>
      <c r="AD49" s="205" t="str">
        <f t="shared" si="16"/>
        <v>호표228</v>
      </c>
      <c r="AE49" s="206">
        <f t="shared" si="17"/>
        <v>0</v>
      </c>
      <c r="AF49" s="207">
        <f t="shared" si="18"/>
        <v>0</v>
      </c>
      <c r="AG49" s="208">
        <f t="shared" si="19"/>
        <v>0</v>
      </c>
      <c r="AI49" s="205" t="str">
        <f t="shared" si="20"/>
        <v>STS플랜지접합</v>
      </c>
      <c r="AJ49" s="206" t="str">
        <f t="shared" si="21"/>
        <v>200A 개소</v>
      </c>
      <c r="AK49" s="206" t="str">
        <f t="shared" si="22"/>
        <v>개소</v>
      </c>
      <c r="AL49" s="216">
        <f t="shared" si="12"/>
        <v>51</v>
      </c>
      <c r="AM49" s="217"/>
      <c r="AN49" s="207" t="str">
        <f t="shared" si="23"/>
        <v/>
      </c>
      <c r="AO49" s="221" t="str">
        <f t="shared" si="24"/>
        <v/>
      </c>
      <c r="AP49" s="221" t="str">
        <f t="shared" si="25"/>
        <v/>
      </c>
      <c r="AQ49" s="208">
        <f t="shared" si="13"/>
        <v>0</v>
      </c>
      <c r="AT49" s="167" t="s">
        <v>193</v>
      </c>
      <c r="AU49" s="167" t="s">
        <v>378</v>
      </c>
      <c r="AV49" s="167" t="s">
        <v>194</v>
      </c>
      <c r="AW49" s="167">
        <v>4</v>
      </c>
      <c r="AY49" s="164"/>
      <c r="AZ49" s="164"/>
      <c r="BA49" s="164"/>
      <c r="BB49" s="164"/>
    </row>
    <row r="50" spans="1:54" ht="18" customHeight="1" x14ac:dyDescent="0.3">
      <c r="A50" s="120" t="str">
        <f t="shared" si="26"/>
        <v>SPPS370_VM_0000_40_40_FIT_STRAIGHT_J_WELD</v>
      </c>
      <c r="B50" s="124" t="s">
        <v>739</v>
      </c>
      <c r="C50" s="129">
        <v>40</v>
      </c>
      <c r="D50" s="122" t="s">
        <v>740</v>
      </c>
      <c r="E50" s="130" t="str">
        <f t="shared" si="27"/>
        <v>40A, SPPS, 흑관(#40), 반제품</v>
      </c>
      <c r="F50" s="126" t="s">
        <v>725</v>
      </c>
      <c r="G50" s="120" t="s">
        <v>727</v>
      </c>
      <c r="I50" s="120" t="s">
        <v>329</v>
      </c>
      <c r="J50" s="162">
        <v>4.0999999999999995E-3</v>
      </c>
      <c r="K50" s="161"/>
      <c r="L50" s="135"/>
      <c r="N50" s="13" t="s">
        <v>331</v>
      </c>
      <c r="O50" s="14" t="s">
        <v>322</v>
      </c>
      <c r="P50" s="14" t="s">
        <v>268</v>
      </c>
      <c r="Q50" s="13">
        <v>1</v>
      </c>
      <c r="R50" s="13" t="s">
        <v>251</v>
      </c>
      <c r="S50" s="14">
        <v>0</v>
      </c>
      <c r="T50" s="14">
        <v>13398699.599999998</v>
      </c>
      <c r="U50" s="14">
        <v>401960.9879999999</v>
      </c>
      <c r="V50" s="14"/>
      <c r="X50" s="7" t="s">
        <v>81</v>
      </c>
      <c r="Y50" s="3" t="s">
        <v>100</v>
      </c>
      <c r="Z50" s="2" t="s">
        <v>32</v>
      </c>
      <c r="AA50" s="146">
        <v>2</v>
      </c>
      <c r="AB50" s="148" t="s">
        <v>101</v>
      </c>
      <c r="AD50" s="205" t="str">
        <f t="shared" si="16"/>
        <v>호표230</v>
      </c>
      <c r="AE50" s="206">
        <f t="shared" si="17"/>
        <v>0</v>
      </c>
      <c r="AF50" s="207">
        <f t="shared" si="18"/>
        <v>0</v>
      </c>
      <c r="AG50" s="208">
        <f t="shared" si="19"/>
        <v>0</v>
      </c>
      <c r="AI50" s="205" t="str">
        <f t="shared" si="20"/>
        <v>STS플랜지접합</v>
      </c>
      <c r="AJ50" s="206" t="str">
        <f t="shared" si="21"/>
        <v>300A 개소</v>
      </c>
      <c r="AK50" s="206" t="str">
        <f t="shared" si="22"/>
        <v>개소</v>
      </c>
      <c r="AL50" s="216">
        <f t="shared" si="12"/>
        <v>2</v>
      </c>
      <c r="AM50" s="217"/>
      <c r="AN50" s="207" t="str">
        <f t="shared" si="23"/>
        <v/>
      </c>
      <c r="AO50" s="221" t="str">
        <f t="shared" si="24"/>
        <v/>
      </c>
      <c r="AP50" s="221" t="str">
        <f t="shared" si="25"/>
        <v/>
      </c>
      <c r="AQ50" s="208">
        <f t="shared" si="13"/>
        <v>0</v>
      </c>
      <c r="AT50" s="164" t="s">
        <v>235</v>
      </c>
      <c r="AU50" s="164" t="s">
        <v>673</v>
      </c>
      <c r="AV50" s="164" t="s">
        <v>674</v>
      </c>
      <c r="AW50" s="164">
        <v>9</v>
      </c>
      <c r="AY50" s="164" t="s">
        <v>235</v>
      </c>
      <c r="AZ50" s="164" t="s">
        <v>673</v>
      </c>
      <c r="BA50" s="164" t="s">
        <v>674</v>
      </c>
      <c r="BB50" s="164">
        <v>9</v>
      </c>
    </row>
    <row r="51" spans="1:54" ht="18" customHeight="1" x14ac:dyDescent="0.3">
      <c r="A51" s="120" t="str">
        <f t="shared" si="26"/>
        <v>SPPS370_VM_0000_50_40_FIT_STRAIGHT_J_WELD</v>
      </c>
      <c r="B51" s="124" t="s">
        <v>739</v>
      </c>
      <c r="C51" s="129">
        <v>50</v>
      </c>
      <c r="D51" s="122" t="s">
        <v>740</v>
      </c>
      <c r="E51" s="130" t="str">
        <f t="shared" si="27"/>
        <v>50A, SPPS, 흑관(#40), 반제품</v>
      </c>
      <c r="F51" s="126" t="s">
        <v>725</v>
      </c>
      <c r="G51" s="120" t="s">
        <v>727</v>
      </c>
      <c r="I51" s="120" t="s">
        <v>330</v>
      </c>
      <c r="J51" s="162">
        <v>5.4400000000000004E-3</v>
      </c>
      <c r="K51" s="161"/>
      <c r="L51" s="135"/>
      <c r="N51" s="13" t="s">
        <v>332</v>
      </c>
      <c r="O51" s="14" t="s">
        <v>322</v>
      </c>
      <c r="P51" s="14" t="s">
        <v>269</v>
      </c>
      <c r="Q51" s="13">
        <v>1</v>
      </c>
      <c r="R51" s="13" t="s">
        <v>251</v>
      </c>
      <c r="S51" s="14">
        <v>0</v>
      </c>
      <c r="T51" s="14">
        <v>12711586.799999999</v>
      </c>
      <c r="U51" s="14">
        <v>381347.60399999993</v>
      </c>
      <c r="V51" s="14"/>
      <c r="X51" s="7" t="s">
        <v>102</v>
      </c>
      <c r="Y51" s="3" t="s">
        <v>103</v>
      </c>
      <c r="Z51" s="2" t="s">
        <v>32</v>
      </c>
      <c r="AA51" s="146">
        <v>1</v>
      </c>
      <c r="AB51" s="148" t="s">
        <v>1491</v>
      </c>
      <c r="AD51" s="205" t="str">
        <f t="shared" si="16"/>
        <v>호표222</v>
      </c>
      <c r="AE51" s="206">
        <f t="shared" si="17"/>
        <v>0</v>
      </c>
      <c r="AF51" s="207">
        <f t="shared" si="18"/>
        <v>0</v>
      </c>
      <c r="AG51" s="208">
        <f t="shared" si="19"/>
        <v>0</v>
      </c>
      <c r="AI51" s="205" t="str">
        <f t="shared" si="20"/>
        <v>STS플랜지접합</v>
      </c>
      <c r="AJ51" s="206" t="str">
        <f t="shared" si="21"/>
        <v>25A 개소</v>
      </c>
      <c r="AK51" s="206" t="str">
        <f t="shared" si="22"/>
        <v>개소</v>
      </c>
      <c r="AL51" s="216">
        <f t="shared" si="12"/>
        <v>1</v>
      </c>
      <c r="AM51" s="217"/>
      <c r="AN51" s="207" t="str">
        <f t="shared" si="23"/>
        <v/>
      </c>
      <c r="AO51" s="221" t="str">
        <f t="shared" si="24"/>
        <v/>
      </c>
      <c r="AP51" s="221" t="str">
        <f t="shared" si="25"/>
        <v/>
      </c>
      <c r="AQ51" s="208">
        <f t="shared" si="13"/>
        <v>0</v>
      </c>
      <c r="AT51" s="164" t="s">
        <v>235</v>
      </c>
      <c r="AU51" s="164" t="s">
        <v>675</v>
      </c>
      <c r="AV51" s="164" t="s">
        <v>674</v>
      </c>
      <c r="AW51" s="164">
        <v>2</v>
      </c>
      <c r="AY51" s="164" t="s">
        <v>235</v>
      </c>
      <c r="AZ51" s="164" t="s">
        <v>675</v>
      </c>
      <c r="BA51" s="164" t="s">
        <v>674</v>
      </c>
      <c r="BB51" s="164">
        <v>2</v>
      </c>
    </row>
    <row r="52" spans="1:54" ht="18" customHeight="1" x14ac:dyDescent="0.3">
      <c r="A52" s="120" t="str">
        <f t="shared" si="26"/>
        <v>SPPS370_VM_0000_65_40_FIT_STRAIGHT_J_WELD</v>
      </c>
      <c r="B52" s="124" t="s">
        <v>739</v>
      </c>
      <c r="C52" s="129">
        <v>65</v>
      </c>
      <c r="D52" s="122" t="s">
        <v>740</v>
      </c>
      <c r="E52" s="130" t="str">
        <f t="shared" si="27"/>
        <v>65A, SPPS, 흑관(#40), 반제품</v>
      </c>
      <c r="F52" s="126" t="s">
        <v>725</v>
      </c>
      <c r="G52" s="120" t="s">
        <v>727</v>
      </c>
      <c r="I52" s="120" t="s">
        <v>331</v>
      </c>
      <c r="J52" s="162">
        <v>9.1199999999999996E-3</v>
      </c>
      <c r="K52" s="161"/>
      <c r="L52" s="135"/>
      <c r="N52" s="13" t="s">
        <v>333</v>
      </c>
      <c r="O52" s="14" t="s">
        <v>322</v>
      </c>
      <c r="P52" s="14" t="s">
        <v>271</v>
      </c>
      <c r="Q52" s="13">
        <v>1</v>
      </c>
      <c r="R52" s="13" t="s">
        <v>251</v>
      </c>
      <c r="S52" s="14">
        <v>0</v>
      </c>
      <c r="T52" s="14">
        <v>12283489.199999999</v>
      </c>
      <c r="U52" s="14">
        <v>368504.67599999998</v>
      </c>
      <c r="V52" s="14"/>
      <c r="X52" s="7" t="s">
        <v>102</v>
      </c>
      <c r="Y52" s="3" t="s">
        <v>105</v>
      </c>
      <c r="Z52" s="2" t="s">
        <v>32</v>
      </c>
      <c r="AA52" s="146">
        <v>1</v>
      </c>
      <c r="AB52" s="148" t="s">
        <v>106</v>
      </c>
      <c r="AD52" s="205" t="str">
        <f t="shared" si="16"/>
        <v>호표223</v>
      </c>
      <c r="AE52" s="206">
        <f t="shared" si="17"/>
        <v>0</v>
      </c>
      <c r="AF52" s="207">
        <f t="shared" si="18"/>
        <v>0</v>
      </c>
      <c r="AG52" s="208">
        <f t="shared" si="19"/>
        <v>0</v>
      </c>
      <c r="AI52" s="205" t="str">
        <f t="shared" si="20"/>
        <v>STS플랜지접합</v>
      </c>
      <c r="AJ52" s="206" t="str">
        <f t="shared" si="21"/>
        <v>65A 개소</v>
      </c>
      <c r="AK52" s="206" t="str">
        <f t="shared" si="22"/>
        <v>개소</v>
      </c>
      <c r="AL52" s="216">
        <f t="shared" si="12"/>
        <v>1</v>
      </c>
      <c r="AM52" s="217"/>
      <c r="AN52" s="207" t="str">
        <f t="shared" si="23"/>
        <v/>
      </c>
      <c r="AO52" s="221" t="str">
        <f t="shared" si="24"/>
        <v/>
      </c>
      <c r="AP52" s="221" t="str">
        <f t="shared" si="25"/>
        <v/>
      </c>
      <c r="AQ52" s="208">
        <f t="shared" si="13"/>
        <v>0</v>
      </c>
      <c r="AT52" s="164" t="s">
        <v>235</v>
      </c>
      <c r="AU52" s="164" t="s">
        <v>676</v>
      </c>
      <c r="AV52" s="164" t="s">
        <v>674</v>
      </c>
      <c r="AW52" s="164">
        <v>12</v>
      </c>
      <c r="AY52" s="164" t="s">
        <v>235</v>
      </c>
      <c r="AZ52" s="164" t="s">
        <v>676</v>
      </c>
      <c r="BA52" s="164" t="s">
        <v>674</v>
      </c>
      <c r="BB52" s="164">
        <v>12</v>
      </c>
    </row>
    <row r="53" spans="1:54" ht="18" customHeight="1" x14ac:dyDescent="0.3">
      <c r="A53" s="120" t="str">
        <f t="shared" si="26"/>
        <v>SPPS370_VM_0000_80_40_FIT_STRAIGHT_J_WELD</v>
      </c>
      <c r="B53" s="124" t="s">
        <v>739</v>
      </c>
      <c r="C53" s="129">
        <v>80</v>
      </c>
      <c r="D53" s="122" t="s">
        <v>740</v>
      </c>
      <c r="E53" s="130" t="str">
        <f t="shared" si="27"/>
        <v>80A, SPPS, 흑관(#40), 반제품</v>
      </c>
      <c r="F53" s="126" t="s">
        <v>725</v>
      </c>
      <c r="G53" s="120" t="s">
        <v>727</v>
      </c>
      <c r="I53" s="120" t="s">
        <v>332</v>
      </c>
      <c r="J53" s="162">
        <v>1.1300000000000001E-2</v>
      </c>
      <c r="K53" s="161"/>
      <c r="L53" s="135"/>
      <c r="N53" s="13" t="s">
        <v>334</v>
      </c>
      <c r="O53" s="14" t="s">
        <v>322</v>
      </c>
      <c r="P53" s="14" t="s">
        <v>273</v>
      </c>
      <c r="Q53" s="13">
        <v>1</v>
      </c>
      <c r="R53" s="13" t="s">
        <v>251</v>
      </c>
      <c r="S53" s="14">
        <v>0</v>
      </c>
      <c r="T53" s="14">
        <v>11825414</v>
      </c>
      <c r="U53" s="14">
        <v>354762.42</v>
      </c>
      <c r="V53" s="14"/>
      <c r="X53" s="7" t="s">
        <v>102</v>
      </c>
      <c r="Y53" s="3" t="s">
        <v>107</v>
      </c>
      <c r="Z53" s="2" t="s">
        <v>32</v>
      </c>
      <c r="AA53" s="146">
        <v>2</v>
      </c>
      <c r="AB53" s="148" t="s">
        <v>108</v>
      </c>
      <c r="AD53" s="205" t="str">
        <f t="shared" si="16"/>
        <v>호표223</v>
      </c>
      <c r="AE53" s="206">
        <f t="shared" si="17"/>
        <v>0</v>
      </c>
      <c r="AF53" s="207">
        <f t="shared" si="18"/>
        <v>0</v>
      </c>
      <c r="AG53" s="208">
        <f t="shared" si="19"/>
        <v>0</v>
      </c>
      <c r="AI53" s="205" t="str">
        <f t="shared" si="20"/>
        <v>STS플랜지접합</v>
      </c>
      <c r="AJ53" s="206" t="str">
        <f t="shared" si="21"/>
        <v>65A 개소</v>
      </c>
      <c r="AK53" s="206" t="str">
        <f t="shared" si="22"/>
        <v>개소</v>
      </c>
      <c r="AL53" s="216">
        <f t="shared" si="12"/>
        <v>2</v>
      </c>
      <c r="AM53" s="217"/>
      <c r="AN53" s="207" t="str">
        <f t="shared" si="23"/>
        <v/>
      </c>
      <c r="AO53" s="221" t="str">
        <f t="shared" si="24"/>
        <v/>
      </c>
      <c r="AP53" s="221" t="str">
        <f t="shared" si="25"/>
        <v/>
      </c>
      <c r="AQ53" s="208">
        <f t="shared" si="13"/>
        <v>0</v>
      </c>
      <c r="AT53" s="164" t="s">
        <v>235</v>
      </c>
      <c r="AU53" s="164" t="s">
        <v>679</v>
      </c>
      <c r="AV53" s="164" t="s">
        <v>674</v>
      </c>
      <c r="AW53" s="164">
        <v>2</v>
      </c>
      <c r="AY53" s="164" t="s">
        <v>235</v>
      </c>
      <c r="AZ53" s="164" t="s">
        <v>679</v>
      </c>
      <c r="BA53" s="164" t="s">
        <v>674</v>
      </c>
      <c r="BB53" s="164">
        <v>2</v>
      </c>
    </row>
    <row r="54" spans="1:54" ht="18" customHeight="1" x14ac:dyDescent="0.3">
      <c r="A54" s="120" t="str">
        <f t="shared" si="26"/>
        <v>SPPS370_VM_0000_90_40_FIT_STRAIGHT_J_WELD</v>
      </c>
      <c r="B54" s="124" t="s">
        <v>739</v>
      </c>
      <c r="C54" s="129">
        <v>90</v>
      </c>
      <c r="D54" s="122" t="s">
        <v>740</v>
      </c>
      <c r="E54" s="130" t="str">
        <f t="shared" si="27"/>
        <v>90A, SPPS, 흑관(#40), 반제품</v>
      </c>
      <c r="F54" s="126" t="s">
        <v>725</v>
      </c>
      <c r="G54" s="120" t="s">
        <v>727</v>
      </c>
      <c r="I54" s="120" t="s">
        <v>333</v>
      </c>
      <c r="J54" s="162">
        <v>1.35E-2</v>
      </c>
      <c r="K54" s="161"/>
      <c r="L54" s="135"/>
      <c r="N54" s="13" t="s">
        <v>335</v>
      </c>
      <c r="O54" s="14" t="s">
        <v>322</v>
      </c>
      <c r="P54" s="14" t="s">
        <v>275</v>
      </c>
      <c r="Q54" s="13">
        <v>1</v>
      </c>
      <c r="R54" s="13" t="s">
        <v>251</v>
      </c>
      <c r="S54" s="14">
        <v>0</v>
      </c>
      <c r="T54" s="14">
        <v>11078346</v>
      </c>
      <c r="U54" s="14">
        <v>332350.38</v>
      </c>
      <c r="V54" s="14"/>
      <c r="X54" s="7" t="s">
        <v>102</v>
      </c>
      <c r="Y54" s="3" t="s">
        <v>109</v>
      </c>
      <c r="Z54" s="2" t="s">
        <v>32</v>
      </c>
      <c r="AA54" s="146">
        <v>1</v>
      </c>
      <c r="AB54" s="148" t="s">
        <v>110</v>
      </c>
      <c r="AD54" s="205" t="str">
        <f t="shared" si="16"/>
        <v>호표224</v>
      </c>
      <c r="AE54" s="206">
        <f t="shared" si="17"/>
        <v>0</v>
      </c>
      <c r="AF54" s="207">
        <f t="shared" si="18"/>
        <v>0</v>
      </c>
      <c r="AG54" s="208">
        <f t="shared" si="19"/>
        <v>0</v>
      </c>
      <c r="AI54" s="205" t="str">
        <f t="shared" si="20"/>
        <v>STS플랜지접합</v>
      </c>
      <c r="AJ54" s="206" t="str">
        <f t="shared" si="21"/>
        <v>80A 개소</v>
      </c>
      <c r="AK54" s="206" t="str">
        <f t="shared" si="22"/>
        <v>개소</v>
      </c>
      <c r="AL54" s="216">
        <f t="shared" si="12"/>
        <v>1</v>
      </c>
      <c r="AM54" s="217"/>
      <c r="AN54" s="207" t="str">
        <f t="shared" si="23"/>
        <v/>
      </c>
      <c r="AO54" s="221" t="str">
        <f t="shared" si="24"/>
        <v/>
      </c>
      <c r="AP54" s="221" t="str">
        <f t="shared" si="25"/>
        <v/>
      </c>
      <c r="AQ54" s="208">
        <f t="shared" si="13"/>
        <v>0</v>
      </c>
      <c r="AT54" s="164" t="s">
        <v>235</v>
      </c>
      <c r="AU54" s="164" t="s">
        <v>680</v>
      </c>
      <c r="AV54" s="164" t="s">
        <v>674</v>
      </c>
      <c r="AW54" s="164">
        <v>8</v>
      </c>
      <c r="AY54" s="164" t="s">
        <v>235</v>
      </c>
      <c r="AZ54" s="164" t="s">
        <v>680</v>
      </c>
      <c r="BA54" s="164" t="s">
        <v>674</v>
      </c>
      <c r="BB54" s="164">
        <v>8</v>
      </c>
    </row>
    <row r="55" spans="1:54" ht="18" customHeight="1" x14ac:dyDescent="0.3">
      <c r="A55" s="120" t="str">
        <f t="shared" si="26"/>
        <v>SPPS370_VM_0000_100_40_FIT_STRAIGHT_J_WELD</v>
      </c>
      <c r="B55" s="124" t="s">
        <v>739</v>
      </c>
      <c r="C55" s="129">
        <v>100</v>
      </c>
      <c r="D55" s="122" t="s">
        <v>740</v>
      </c>
      <c r="E55" s="130" t="str">
        <f t="shared" si="27"/>
        <v>100A, SPPS, 흑관(#40), 반제품</v>
      </c>
      <c r="F55" s="126" t="s">
        <v>725</v>
      </c>
      <c r="G55" s="120" t="s">
        <v>727</v>
      </c>
      <c r="I55" s="120" t="s">
        <v>334</v>
      </c>
      <c r="J55" s="162">
        <v>1.6E-2</v>
      </c>
      <c r="K55" s="161"/>
      <c r="L55" s="135"/>
      <c r="N55" s="13" t="s">
        <v>336</v>
      </c>
      <c r="O55" s="14" t="s">
        <v>322</v>
      </c>
      <c r="P55" s="14" t="s">
        <v>276</v>
      </c>
      <c r="Q55" s="13">
        <v>1</v>
      </c>
      <c r="R55" s="13" t="s">
        <v>251</v>
      </c>
      <c r="S55" s="14">
        <v>0</v>
      </c>
      <c r="T55" s="14">
        <v>10535729.599999998</v>
      </c>
      <c r="U55" s="14">
        <v>316071.88799999992</v>
      </c>
      <c r="V55" s="14"/>
      <c r="X55" s="7" t="s">
        <v>102</v>
      </c>
      <c r="Y55" s="3" t="s">
        <v>111</v>
      </c>
      <c r="Z55" s="2" t="s">
        <v>32</v>
      </c>
      <c r="AA55" s="146">
        <v>2</v>
      </c>
      <c r="AB55" s="148" t="s">
        <v>112</v>
      </c>
      <c r="AD55" s="205" t="str">
        <f t="shared" si="16"/>
        <v>호표225</v>
      </c>
      <c r="AE55" s="206">
        <f t="shared" si="17"/>
        <v>0</v>
      </c>
      <c r="AF55" s="207">
        <f t="shared" si="18"/>
        <v>0</v>
      </c>
      <c r="AG55" s="208">
        <f t="shared" si="19"/>
        <v>0</v>
      </c>
      <c r="AI55" s="205" t="str">
        <f t="shared" si="20"/>
        <v>STS플랜지접합</v>
      </c>
      <c r="AJ55" s="206" t="str">
        <f t="shared" si="21"/>
        <v>100A 개소</v>
      </c>
      <c r="AK55" s="206" t="str">
        <f t="shared" si="22"/>
        <v>개소</v>
      </c>
      <c r="AL55" s="216">
        <f t="shared" si="12"/>
        <v>2</v>
      </c>
      <c r="AM55" s="217"/>
      <c r="AN55" s="207" t="str">
        <f t="shared" si="23"/>
        <v/>
      </c>
      <c r="AO55" s="221" t="str">
        <f t="shared" si="24"/>
        <v/>
      </c>
      <c r="AP55" s="221" t="str">
        <f t="shared" si="25"/>
        <v/>
      </c>
      <c r="AQ55" s="208">
        <f t="shared" si="13"/>
        <v>0</v>
      </c>
      <c r="AT55" s="164" t="s">
        <v>235</v>
      </c>
      <c r="AU55" s="164" t="s">
        <v>681</v>
      </c>
      <c r="AV55" s="164" t="s">
        <v>674</v>
      </c>
      <c r="AW55" s="164">
        <v>7</v>
      </c>
      <c r="AY55" s="164" t="s">
        <v>235</v>
      </c>
      <c r="AZ55" s="164" t="s">
        <v>681</v>
      </c>
      <c r="BA55" s="164" t="s">
        <v>674</v>
      </c>
      <c r="BB55" s="164">
        <v>7</v>
      </c>
    </row>
    <row r="56" spans="1:54" ht="18" customHeight="1" x14ac:dyDescent="0.3">
      <c r="A56" s="120" t="str">
        <f t="shared" si="26"/>
        <v>SPPS370_VM_0000_125_40_FIT_STRAIGHT_J_WELD</v>
      </c>
      <c r="B56" s="124" t="s">
        <v>739</v>
      </c>
      <c r="C56" s="129">
        <v>125</v>
      </c>
      <c r="D56" s="122" t="s">
        <v>740</v>
      </c>
      <c r="E56" s="130" t="str">
        <f t="shared" si="27"/>
        <v>125A, SPPS, 흑관(#40), 반제품</v>
      </c>
      <c r="F56" s="126" t="s">
        <v>725</v>
      </c>
      <c r="G56" s="120" t="s">
        <v>727</v>
      </c>
      <c r="I56" s="120" t="s">
        <v>335</v>
      </c>
      <c r="J56" s="162">
        <v>2.1700000000000001E-2</v>
      </c>
      <c r="K56" s="161"/>
      <c r="L56" s="135"/>
      <c r="N56" s="13" t="s">
        <v>337</v>
      </c>
      <c r="O56" s="14" t="s">
        <v>322</v>
      </c>
      <c r="P56" s="14" t="s">
        <v>280</v>
      </c>
      <c r="Q56" s="13">
        <v>1</v>
      </c>
      <c r="R56" s="13" t="s">
        <v>251</v>
      </c>
      <c r="S56" s="14">
        <v>0</v>
      </c>
      <c r="T56" s="14">
        <v>9161504</v>
      </c>
      <c r="U56" s="14">
        <v>274845.12</v>
      </c>
      <c r="V56" s="14"/>
      <c r="X56" s="7" t="s">
        <v>102</v>
      </c>
      <c r="Y56" s="3" t="s">
        <v>113</v>
      </c>
      <c r="Z56" s="2" t="s">
        <v>32</v>
      </c>
      <c r="AA56" s="146">
        <v>3</v>
      </c>
      <c r="AB56" s="148" t="s">
        <v>114</v>
      </c>
      <c r="AD56" s="205" t="str">
        <f t="shared" si="16"/>
        <v>호표227</v>
      </c>
      <c r="AE56" s="206">
        <f t="shared" si="17"/>
        <v>0</v>
      </c>
      <c r="AF56" s="207">
        <f t="shared" si="18"/>
        <v>0</v>
      </c>
      <c r="AG56" s="208">
        <f t="shared" si="19"/>
        <v>0</v>
      </c>
      <c r="AI56" s="205" t="str">
        <f t="shared" si="20"/>
        <v>STS플랜지접합</v>
      </c>
      <c r="AJ56" s="206" t="str">
        <f t="shared" si="21"/>
        <v>150A 개소</v>
      </c>
      <c r="AK56" s="206" t="str">
        <f t="shared" si="22"/>
        <v>개소</v>
      </c>
      <c r="AL56" s="216">
        <f t="shared" si="12"/>
        <v>3</v>
      </c>
      <c r="AM56" s="217"/>
      <c r="AN56" s="207" t="str">
        <f t="shared" si="23"/>
        <v/>
      </c>
      <c r="AO56" s="221" t="str">
        <f t="shared" si="24"/>
        <v/>
      </c>
      <c r="AP56" s="221" t="str">
        <f t="shared" si="25"/>
        <v/>
      </c>
      <c r="AQ56" s="208">
        <f t="shared" si="13"/>
        <v>0</v>
      </c>
      <c r="AT56" s="164" t="s">
        <v>235</v>
      </c>
      <c r="AU56" s="164" t="s">
        <v>682</v>
      </c>
      <c r="AV56" s="164" t="s">
        <v>674</v>
      </c>
      <c r="AW56" s="164">
        <v>19</v>
      </c>
      <c r="AY56" s="164" t="s">
        <v>235</v>
      </c>
      <c r="AZ56" s="164" t="s">
        <v>682</v>
      </c>
      <c r="BA56" s="164" t="s">
        <v>674</v>
      </c>
      <c r="BB56" s="164">
        <v>19</v>
      </c>
    </row>
    <row r="57" spans="1:54" ht="18" customHeight="1" x14ac:dyDescent="0.3">
      <c r="A57" s="120" t="str">
        <f t="shared" si="26"/>
        <v>SPPS370_VM_0000_150_40_FIT_STRAIGHT_J_WELD</v>
      </c>
      <c r="B57" s="124" t="s">
        <v>739</v>
      </c>
      <c r="C57" s="129">
        <v>150</v>
      </c>
      <c r="D57" s="122" t="s">
        <v>740</v>
      </c>
      <c r="E57" s="130" t="str">
        <f t="shared" si="27"/>
        <v>150A, SPPS, 흑관(#40), 반제품</v>
      </c>
      <c r="F57" s="126" t="s">
        <v>725</v>
      </c>
      <c r="G57" s="120" t="s">
        <v>727</v>
      </c>
      <c r="I57" s="120" t="s">
        <v>336</v>
      </c>
      <c r="J57" s="162">
        <v>2.7699999999999999E-2</v>
      </c>
      <c r="K57" s="161"/>
      <c r="L57" s="135"/>
      <c r="N57" s="13" t="s">
        <v>338</v>
      </c>
      <c r="O57" s="14" t="s">
        <v>322</v>
      </c>
      <c r="P57" s="14" t="s">
        <v>284</v>
      </c>
      <c r="Q57" s="13">
        <v>1</v>
      </c>
      <c r="R57" s="13" t="s">
        <v>251</v>
      </c>
      <c r="S57" s="14">
        <v>0</v>
      </c>
      <c r="T57" s="14">
        <v>8962444</v>
      </c>
      <c r="U57" s="14">
        <v>268873.32</v>
      </c>
      <c r="V57" s="14"/>
      <c r="X57" s="7" t="s">
        <v>102</v>
      </c>
      <c r="Y57" s="3" t="s">
        <v>115</v>
      </c>
      <c r="Z57" s="2" t="s">
        <v>32</v>
      </c>
      <c r="AA57" s="146">
        <v>1</v>
      </c>
      <c r="AB57" s="148" t="s">
        <v>116</v>
      </c>
      <c r="AD57" s="205" t="str">
        <f t="shared" si="16"/>
        <v>호표228</v>
      </c>
      <c r="AE57" s="206">
        <f t="shared" si="17"/>
        <v>0</v>
      </c>
      <c r="AF57" s="207">
        <f t="shared" si="18"/>
        <v>0</v>
      </c>
      <c r="AG57" s="208">
        <f t="shared" si="19"/>
        <v>0</v>
      </c>
      <c r="AI57" s="205" t="str">
        <f t="shared" si="20"/>
        <v>STS플랜지접합</v>
      </c>
      <c r="AJ57" s="206" t="str">
        <f t="shared" si="21"/>
        <v>200A 개소</v>
      </c>
      <c r="AK57" s="206" t="str">
        <f t="shared" si="22"/>
        <v>개소</v>
      </c>
      <c r="AL57" s="216">
        <f t="shared" si="12"/>
        <v>1</v>
      </c>
      <c r="AM57" s="217"/>
      <c r="AN57" s="207" t="str">
        <f t="shared" si="23"/>
        <v/>
      </c>
      <c r="AO57" s="221" t="str">
        <f t="shared" si="24"/>
        <v/>
      </c>
      <c r="AP57" s="221" t="str">
        <f t="shared" si="25"/>
        <v/>
      </c>
      <c r="AQ57" s="208">
        <f t="shared" si="13"/>
        <v>0</v>
      </c>
      <c r="AT57" s="168" t="s">
        <v>243</v>
      </c>
      <c r="AU57" s="168" t="s">
        <v>392</v>
      </c>
      <c r="AV57" s="168" t="s">
        <v>194</v>
      </c>
      <c r="AW57" s="168">
        <v>2</v>
      </c>
      <c r="AY57" s="168" t="s">
        <v>243</v>
      </c>
      <c r="AZ57" s="168" t="s">
        <v>392</v>
      </c>
      <c r="BA57" s="168" t="s">
        <v>194</v>
      </c>
      <c r="BB57" s="168">
        <v>12</v>
      </c>
    </row>
    <row r="58" spans="1:54" ht="18" customHeight="1" x14ac:dyDescent="0.3">
      <c r="A58" s="120" t="str">
        <f t="shared" si="26"/>
        <v>SPPS370_VM_0000_200_40_FIT_STRAIGHT_J_WELD</v>
      </c>
      <c r="B58" s="124" t="s">
        <v>739</v>
      </c>
      <c r="C58" s="129">
        <v>200</v>
      </c>
      <c r="D58" s="122" t="s">
        <v>740</v>
      </c>
      <c r="E58" s="130" t="str">
        <f t="shared" si="27"/>
        <v>200A, SPPS, 흑관(#40), 반제품</v>
      </c>
      <c r="F58" s="126" t="s">
        <v>725</v>
      </c>
      <c r="G58" s="120" t="s">
        <v>727</v>
      </c>
      <c r="I58" s="120" t="s">
        <v>337</v>
      </c>
      <c r="J58" s="162">
        <v>4.2099999999999999E-2</v>
      </c>
      <c r="K58" s="161"/>
      <c r="L58" s="135"/>
      <c r="N58" s="13" t="s">
        <v>339</v>
      </c>
      <c r="O58" s="14" t="s">
        <v>322</v>
      </c>
      <c r="P58" s="14" t="s">
        <v>286</v>
      </c>
      <c r="Q58" s="13">
        <v>1</v>
      </c>
      <c r="R58" s="13" t="s">
        <v>251</v>
      </c>
      <c r="S58" s="14">
        <v>0</v>
      </c>
      <c r="T58" s="14">
        <v>8474391.1999999993</v>
      </c>
      <c r="U58" s="14">
        <v>254231.73599999998</v>
      </c>
      <c r="V58" s="14"/>
      <c r="X58" s="7" t="s">
        <v>117</v>
      </c>
      <c r="Y58" s="3" t="s">
        <v>118</v>
      </c>
      <c r="Z58" s="2" t="s">
        <v>10</v>
      </c>
      <c r="AA58" s="146">
        <v>0.8</v>
      </c>
      <c r="AB58" s="148" t="s">
        <v>119</v>
      </c>
      <c r="AD58" s="205" t="str">
        <f t="shared" si="16"/>
        <v>호표9</v>
      </c>
      <c r="AE58" s="206">
        <f t="shared" si="17"/>
        <v>5.1200000000000004E-3</v>
      </c>
      <c r="AF58" s="207">
        <f t="shared" si="18"/>
        <v>0</v>
      </c>
      <c r="AG58" s="208">
        <f t="shared" si="19"/>
        <v>0</v>
      </c>
      <c r="AI58" s="205" t="str">
        <f t="shared" si="20"/>
        <v>강관설치공사(옥내-용접)</v>
      </c>
      <c r="AJ58" s="206" t="str">
        <f t="shared" si="21"/>
        <v>50A TON</v>
      </c>
      <c r="AK58" s="206" t="str">
        <f t="shared" si="22"/>
        <v>ton</v>
      </c>
      <c r="AL58" s="220">
        <f t="shared" si="12"/>
        <v>4.0960000000000007E-3</v>
      </c>
      <c r="AM58" s="217"/>
      <c r="AN58" s="207" t="str">
        <f t="shared" si="23"/>
        <v/>
      </c>
      <c r="AO58" s="221" t="str">
        <f t="shared" si="24"/>
        <v/>
      </c>
      <c r="AP58" s="221" t="str">
        <f t="shared" si="25"/>
        <v/>
      </c>
      <c r="AQ58" s="208">
        <f t="shared" si="13"/>
        <v>0</v>
      </c>
      <c r="AT58" s="168" t="s">
        <v>243</v>
      </c>
      <c r="AU58" s="168" t="s">
        <v>392</v>
      </c>
      <c r="AV58" s="168" t="s">
        <v>194</v>
      </c>
      <c r="AW58" s="168">
        <v>3</v>
      </c>
      <c r="AY58" s="166" t="s">
        <v>660</v>
      </c>
      <c r="AZ58" s="166"/>
      <c r="BA58" s="166"/>
      <c r="BB58" s="166"/>
    </row>
    <row r="59" spans="1:54" ht="18" customHeight="1" x14ac:dyDescent="0.3">
      <c r="A59" s="120" t="str">
        <f t="shared" si="26"/>
        <v>SPPS370_VM_0000_250_40_FIT_STRAIGHT_J_WELD</v>
      </c>
      <c r="B59" s="124" t="s">
        <v>739</v>
      </c>
      <c r="C59" s="129">
        <v>250</v>
      </c>
      <c r="D59" s="122" t="s">
        <v>740</v>
      </c>
      <c r="E59" s="130" t="str">
        <f t="shared" si="27"/>
        <v>250A, SPPS, 흑관(#40), 반제품</v>
      </c>
      <c r="F59" s="126" t="s">
        <v>725</v>
      </c>
      <c r="G59" s="120" t="s">
        <v>727</v>
      </c>
      <c r="I59" s="120" t="s">
        <v>338</v>
      </c>
      <c r="J59" s="162">
        <v>5.9200000000000003E-2</v>
      </c>
      <c r="K59" s="161"/>
      <c r="L59" s="135"/>
      <c r="N59" s="13" t="s">
        <v>340</v>
      </c>
      <c r="O59" s="14" t="s">
        <v>322</v>
      </c>
      <c r="P59" s="14" t="s">
        <v>288</v>
      </c>
      <c r="Q59" s="13">
        <v>1</v>
      </c>
      <c r="R59" s="13" t="s">
        <v>251</v>
      </c>
      <c r="S59" s="14">
        <v>0</v>
      </c>
      <c r="T59" s="14">
        <v>8130834.7999999998</v>
      </c>
      <c r="U59" s="14">
        <v>243925.04399999999</v>
      </c>
      <c r="V59" s="14"/>
      <c r="X59" s="7" t="s">
        <v>117</v>
      </c>
      <c r="Y59" s="3" t="s">
        <v>120</v>
      </c>
      <c r="Z59" s="2" t="s">
        <v>10</v>
      </c>
      <c r="AA59" s="146">
        <v>19.7</v>
      </c>
      <c r="AB59" s="148" t="s">
        <v>121</v>
      </c>
      <c r="AD59" s="205" t="str">
        <f t="shared" si="16"/>
        <v>호표11</v>
      </c>
      <c r="AE59" s="206">
        <f t="shared" si="17"/>
        <v>8.490000000000001E-3</v>
      </c>
      <c r="AF59" s="207">
        <f t="shared" si="18"/>
        <v>0</v>
      </c>
      <c r="AG59" s="208">
        <f t="shared" si="19"/>
        <v>0</v>
      </c>
      <c r="AI59" s="205" t="str">
        <f t="shared" si="20"/>
        <v>강관설치공사(옥내-용접)</v>
      </c>
      <c r="AJ59" s="206" t="str">
        <f t="shared" si="21"/>
        <v>80A TON</v>
      </c>
      <c r="AK59" s="206" t="str">
        <f t="shared" si="22"/>
        <v>ton</v>
      </c>
      <c r="AL59" s="220">
        <f t="shared" si="12"/>
        <v>0.16725300000000001</v>
      </c>
      <c r="AM59" s="217"/>
      <c r="AN59" s="207" t="str">
        <f t="shared" si="23"/>
        <v/>
      </c>
      <c r="AO59" s="221" t="str">
        <f t="shared" si="24"/>
        <v/>
      </c>
      <c r="AP59" s="221" t="str">
        <f t="shared" si="25"/>
        <v/>
      </c>
      <c r="AQ59" s="208">
        <f t="shared" si="13"/>
        <v>0</v>
      </c>
      <c r="AT59" s="168" t="s">
        <v>243</v>
      </c>
      <c r="AU59" s="168" t="s">
        <v>392</v>
      </c>
      <c r="AV59" s="168" t="s">
        <v>194</v>
      </c>
      <c r="AW59" s="168">
        <v>7</v>
      </c>
      <c r="AY59" s="166" t="s">
        <v>660</v>
      </c>
      <c r="AZ59" s="166"/>
      <c r="BA59" s="166"/>
      <c r="BB59" s="166"/>
    </row>
    <row r="60" spans="1:54" ht="18" customHeight="1" x14ac:dyDescent="0.3">
      <c r="A60" s="120" t="str">
        <f t="shared" si="26"/>
        <v>SPPS370_VM_0000_300_40_FIT_STRAIGHT_J_WELD</v>
      </c>
      <c r="B60" s="124" t="s">
        <v>739</v>
      </c>
      <c r="C60" s="129">
        <v>300</v>
      </c>
      <c r="D60" s="122" t="s">
        <v>740</v>
      </c>
      <c r="E60" s="130" t="str">
        <f t="shared" si="27"/>
        <v>300A, SPPS, 흑관(#40), 반제품</v>
      </c>
      <c r="F60" s="126" t="s">
        <v>725</v>
      </c>
      <c r="G60" s="120" t="s">
        <v>727</v>
      </c>
      <c r="I60" s="120" t="s">
        <v>339</v>
      </c>
      <c r="J60" s="162">
        <v>7.8299999999999995E-2</v>
      </c>
      <c r="K60" s="161"/>
      <c r="L60" s="135"/>
      <c r="N60" s="13" t="s">
        <v>341</v>
      </c>
      <c r="O60" s="14" t="s">
        <v>206</v>
      </c>
      <c r="P60" s="14" t="s">
        <v>250</v>
      </c>
      <c r="Q60" s="13">
        <v>1</v>
      </c>
      <c r="R60" s="13" t="s">
        <v>251</v>
      </c>
      <c r="S60" s="14">
        <v>0</v>
      </c>
      <c r="T60" s="14">
        <v>77701005.800000012</v>
      </c>
      <c r="U60" s="14">
        <v>2331030.1740000001</v>
      </c>
      <c r="V60" s="14"/>
      <c r="X60" s="7" t="s">
        <v>117</v>
      </c>
      <c r="Y60" s="3" t="s">
        <v>122</v>
      </c>
      <c r="Z60" s="2" t="s">
        <v>10</v>
      </c>
      <c r="AA60" s="146">
        <v>58.9</v>
      </c>
      <c r="AB60" s="148" t="s">
        <v>123</v>
      </c>
      <c r="AD60" s="205" t="str">
        <f t="shared" si="16"/>
        <v>호표15</v>
      </c>
      <c r="AE60" s="206">
        <f t="shared" si="17"/>
        <v>1.9199999999999998E-2</v>
      </c>
      <c r="AF60" s="207">
        <f t="shared" si="18"/>
        <v>0</v>
      </c>
      <c r="AG60" s="208">
        <f t="shared" si="19"/>
        <v>0</v>
      </c>
      <c r="AI60" s="205" t="str">
        <f t="shared" si="20"/>
        <v>강관설치공사(옥내-용접)</v>
      </c>
      <c r="AJ60" s="206" t="str">
        <f t="shared" si="21"/>
        <v>150A TON</v>
      </c>
      <c r="AK60" s="206" t="str">
        <f t="shared" si="22"/>
        <v>ton</v>
      </c>
      <c r="AL60" s="220">
        <f t="shared" si="12"/>
        <v>1.1308799999999999</v>
      </c>
      <c r="AM60" s="217"/>
      <c r="AN60" s="207" t="str">
        <f t="shared" si="23"/>
        <v/>
      </c>
      <c r="AO60" s="221" t="str">
        <f t="shared" si="24"/>
        <v/>
      </c>
      <c r="AP60" s="221" t="str">
        <f t="shared" si="25"/>
        <v/>
      </c>
      <c r="AQ60" s="208">
        <f t="shared" si="13"/>
        <v>0</v>
      </c>
      <c r="AT60" s="164" t="s">
        <v>233</v>
      </c>
      <c r="AU60" s="164" t="s">
        <v>697</v>
      </c>
      <c r="AV60" s="164" t="s">
        <v>674</v>
      </c>
      <c r="AW60" s="164">
        <v>16</v>
      </c>
      <c r="AY60" s="164" t="s">
        <v>233</v>
      </c>
      <c r="AZ60" s="164" t="s">
        <v>697</v>
      </c>
      <c r="BA60" s="164" t="s">
        <v>674</v>
      </c>
      <c r="BB60" s="164">
        <v>16</v>
      </c>
    </row>
    <row r="61" spans="1:54" ht="18" customHeight="1" x14ac:dyDescent="0.3">
      <c r="A61" s="120" t="str">
        <f t="shared" si="26"/>
        <v>SPPS370_VM_0000_350_40_FIT_STRAIGHT_J_WELD</v>
      </c>
      <c r="B61" s="124" t="s">
        <v>739</v>
      </c>
      <c r="C61" s="129">
        <v>350</v>
      </c>
      <c r="D61" s="122" t="s">
        <v>740</v>
      </c>
      <c r="E61" s="130" t="str">
        <f t="shared" si="27"/>
        <v>350A, SPPS, 흑관(#40), 반제품</v>
      </c>
      <c r="F61" s="126" t="s">
        <v>725</v>
      </c>
      <c r="G61" s="120" t="s">
        <v>727</v>
      </c>
      <c r="I61" s="120" t="s">
        <v>340</v>
      </c>
      <c r="J61" s="162">
        <v>9.4299999999999995E-2</v>
      </c>
      <c r="K61" s="161"/>
      <c r="L61" s="135"/>
      <c r="N61" s="13" t="s">
        <v>342</v>
      </c>
      <c r="O61" s="14" t="s">
        <v>206</v>
      </c>
      <c r="P61" s="14" t="s">
        <v>253</v>
      </c>
      <c r="Q61" s="13">
        <v>1</v>
      </c>
      <c r="R61" s="13" t="s">
        <v>251</v>
      </c>
      <c r="S61" s="14">
        <v>0</v>
      </c>
      <c r="T61" s="14">
        <v>57982140.850000001</v>
      </c>
      <c r="U61" s="14">
        <v>1739464.2254999999</v>
      </c>
      <c r="V61" s="14"/>
      <c r="X61" s="7" t="s">
        <v>124</v>
      </c>
      <c r="Y61" s="3" t="s">
        <v>125</v>
      </c>
      <c r="Z61" s="2" t="s">
        <v>32</v>
      </c>
      <c r="AA61" s="146">
        <v>4</v>
      </c>
      <c r="AB61" s="148" t="s">
        <v>126</v>
      </c>
      <c r="AD61" s="205" t="str">
        <f t="shared" si="16"/>
        <v/>
      </c>
      <c r="AE61" s="206" t="str">
        <f t="shared" si="17"/>
        <v/>
      </c>
      <c r="AF61" s="207" t="str">
        <f t="shared" si="18"/>
        <v/>
      </c>
      <c r="AG61" s="208" t="str">
        <f t="shared" si="19"/>
        <v/>
      </c>
      <c r="AI61" s="205" t="str">
        <f t="shared" si="20"/>
        <v/>
      </c>
      <c r="AJ61" s="206" t="str">
        <f t="shared" si="21"/>
        <v/>
      </c>
      <c r="AK61" s="206" t="str">
        <f t="shared" si="22"/>
        <v/>
      </c>
      <c r="AL61" s="216" t="str">
        <f t="shared" si="12"/>
        <v/>
      </c>
      <c r="AM61" s="217"/>
      <c r="AN61" s="207" t="str">
        <f t="shared" si="23"/>
        <v/>
      </c>
      <c r="AO61" s="221" t="str">
        <f t="shared" si="24"/>
        <v/>
      </c>
      <c r="AP61" s="221" t="str">
        <f t="shared" si="25"/>
        <v/>
      </c>
      <c r="AQ61" s="208" t="str">
        <f t="shared" si="13"/>
        <v/>
      </c>
      <c r="AY61" s="1" t="s">
        <v>660</v>
      </c>
    </row>
    <row r="62" spans="1:54" ht="18" customHeight="1" x14ac:dyDescent="0.3">
      <c r="A62" s="120" t="str">
        <f t="shared" si="26"/>
        <v>SPPS370_VM_0000_400_40_FIT_STRAIGHT_J_WELD</v>
      </c>
      <c r="B62" s="124" t="s">
        <v>739</v>
      </c>
      <c r="C62" s="129">
        <v>400</v>
      </c>
      <c r="D62" s="122" t="s">
        <v>740</v>
      </c>
      <c r="E62" s="130" t="str">
        <f t="shared" si="27"/>
        <v>400A, SPPS, 흑관(#40), 반제품</v>
      </c>
      <c r="F62" s="126" t="s">
        <v>725</v>
      </c>
      <c r="G62" s="120" t="s">
        <v>727</v>
      </c>
      <c r="I62" s="120"/>
      <c r="J62" s="162">
        <v>0.123</v>
      </c>
      <c r="K62" s="161"/>
      <c r="L62" s="120"/>
      <c r="N62" s="13" t="s">
        <v>343</v>
      </c>
      <c r="O62" s="14" t="s">
        <v>206</v>
      </c>
      <c r="P62" s="14" t="s">
        <v>255</v>
      </c>
      <c r="Q62" s="13">
        <v>1</v>
      </c>
      <c r="R62" s="13" t="s">
        <v>251</v>
      </c>
      <c r="S62" s="14">
        <v>0</v>
      </c>
      <c r="T62" s="14">
        <v>50586135.079999998</v>
      </c>
      <c r="U62" s="14">
        <v>1517584.0523999999</v>
      </c>
      <c r="V62" s="14"/>
      <c r="X62" s="7" t="s">
        <v>124</v>
      </c>
      <c r="Y62" s="3" t="s">
        <v>127</v>
      </c>
      <c r="Z62" s="2" t="s">
        <v>32</v>
      </c>
      <c r="AA62" s="146">
        <v>21</v>
      </c>
      <c r="AB62" s="148" t="s">
        <v>128</v>
      </c>
      <c r="AD62" s="205" t="str">
        <f t="shared" si="16"/>
        <v/>
      </c>
      <c r="AE62" s="206" t="str">
        <f t="shared" si="17"/>
        <v/>
      </c>
      <c r="AF62" s="207" t="str">
        <f t="shared" si="18"/>
        <v/>
      </c>
      <c r="AG62" s="208" t="str">
        <f t="shared" si="19"/>
        <v/>
      </c>
      <c r="AI62" s="205" t="str">
        <f t="shared" si="20"/>
        <v/>
      </c>
      <c r="AJ62" s="206" t="str">
        <f t="shared" si="21"/>
        <v/>
      </c>
      <c r="AK62" s="206" t="str">
        <f t="shared" si="22"/>
        <v/>
      </c>
      <c r="AL62" s="216" t="str">
        <f t="shared" si="12"/>
        <v/>
      </c>
      <c r="AM62" s="217"/>
      <c r="AN62" s="207" t="str">
        <f t="shared" si="23"/>
        <v/>
      </c>
      <c r="AO62" s="221" t="str">
        <f t="shared" si="24"/>
        <v/>
      </c>
      <c r="AP62" s="221" t="str">
        <f t="shared" si="25"/>
        <v/>
      </c>
      <c r="AQ62" s="208" t="str">
        <f t="shared" si="13"/>
        <v/>
      </c>
      <c r="AY62" s="1" t="s">
        <v>660</v>
      </c>
    </row>
    <row r="63" spans="1:54" ht="18" customHeight="1" x14ac:dyDescent="0.3">
      <c r="A63" s="120" t="str">
        <f t="shared" si="26"/>
        <v>SPPS370_VM_0000_450_40_FIT_STRAIGHT_J_WELD</v>
      </c>
      <c r="B63" s="124" t="s">
        <v>739</v>
      </c>
      <c r="C63" s="129">
        <v>450</v>
      </c>
      <c r="D63" s="122" t="s">
        <v>740</v>
      </c>
      <c r="E63" s="130" t="str">
        <f t="shared" si="27"/>
        <v>450A, SPPS, 흑관(#40), 반제품</v>
      </c>
      <c r="F63" s="126" t="s">
        <v>725</v>
      </c>
      <c r="G63" s="120" t="s">
        <v>727</v>
      </c>
      <c r="I63" s="120"/>
      <c r="J63" s="162">
        <v>0.156</v>
      </c>
      <c r="K63" s="161"/>
      <c r="L63" s="120"/>
      <c r="N63" s="13" t="s">
        <v>344</v>
      </c>
      <c r="O63" s="14" t="s">
        <v>206</v>
      </c>
      <c r="P63" s="14" t="s">
        <v>257</v>
      </c>
      <c r="Q63" s="13">
        <v>1</v>
      </c>
      <c r="R63" s="13" t="s">
        <v>251</v>
      </c>
      <c r="S63" s="14">
        <v>0</v>
      </c>
      <c r="T63" s="14">
        <v>39695079.049999997</v>
      </c>
      <c r="U63" s="14">
        <v>1190852.3714999999</v>
      </c>
      <c r="V63" s="14"/>
      <c r="X63" s="7" t="s">
        <v>129</v>
      </c>
      <c r="Y63" s="3" t="s">
        <v>130</v>
      </c>
      <c r="Z63" s="2" t="s">
        <v>32</v>
      </c>
      <c r="AA63" s="146">
        <v>3</v>
      </c>
      <c r="AB63" s="148" t="s">
        <v>131</v>
      </c>
      <c r="AD63" s="205" t="str">
        <f t="shared" si="16"/>
        <v/>
      </c>
      <c r="AE63" s="206" t="str">
        <f t="shared" si="17"/>
        <v/>
      </c>
      <c r="AF63" s="207" t="str">
        <f t="shared" si="18"/>
        <v/>
      </c>
      <c r="AG63" s="208" t="str">
        <f t="shared" si="19"/>
        <v/>
      </c>
      <c r="AI63" s="205" t="str">
        <f t="shared" si="20"/>
        <v/>
      </c>
      <c r="AJ63" s="206" t="str">
        <f t="shared" si="21"/>
        <v/>
      </c>
      <c r="AK63" s="206" t="str">
        <f t="shared" si="22"/>
        <v/>
      </c>
      <c r="AL63" s="216" t="str">
        <f t="shared" si="12"/>
        <v/>
      </c>
      <c r="AM63" s="217"/>
      <c r="AN63" s="207" t="str">
        <f t="shared" si="23"/>
        <v/>
      </c>
      <c r="AO63" s="221" t="str">
        <f t="shared" si="24"/>
        <v/>
      </c>
      <c r="AP63" s="221" t="str">
        <f t="shared" si="25"/>
        <v/>
      </c>
      <c r="AQ63" s="208" t="str">
        <f t="shared" si="13"/>
        <v/>
      </c>
      <c r="AY63" s="1" t="s">
        <v>660</v>
      </c>
    </row>
    <row r="64" spans="1:54" ht="18" customHeight="1" x14ac:dyDescent="0.3">
      <c r="A64" s="120" t="str">
        <f t="shared" si="26"/>
        <v>SPPS370_VM_0000_500_40_FIT_STRAIGHT_J_WELD</v>
      </c>
      <c r="B64" s="124" t="s">
        <v>739</v>
      </c>
      <c r="C64" s="129">
        <v>500</v>
      </c>
      <c r="D64" s="122" t="s">
        <v>740</v>
      </c>
      <c r="E64" s="130" t="str">
        <f t="shared" si="27"/>
        <v>500A, SPPS, 흑관(#40), 반제품</v>
      </c>
      <c r="F64" s="126" t="s">
        <v>725</v>
      </c>
      <c r="G64" s="120" t="s">
        <v>727</v>
      </c>
      <c r="I64" s="120"/>
      <c r="J64" s="162">
        <v>0.184</v>
      </c>
      <c r="K64" s="161"/>
      <c r="L64" s="120"/>
      <c r="N64" s="13" t="s">
        <v>207</v>
      </c>
      <c r="O64" s="14" t="s">
        <v>206</v>
      </c>
      <c r="P64" s="14" t="s">
        <v>259</v>
      </c>
      <c r="Q64" s="13">
        <v>1</v>
      </c>
      <c r="R64" s="13" t="s">
        <v>251</v>
      </c>
      <c r="S64" s="14">
        <v>0</v>
      </c>
      <c r="T64" s="14">
        <v>36192076.18</v>
      </c>
      <c r="U64" s="14">
        <v>1085762.2853999999</v>
      </c>
      <c r="V64" s="14"/>
      <c r="X64" s="7" t="s">
        <v>129</v>
      </c>
      <c r="Y64" s="3" t="s">
        <v>132</v>
      </c>
      <c r="Z64" s="2" t="s">
        <v>32</v>
      </c>
      <c r="AA64" s="146">
        <v>3</v>
      </c>
      <c r="AB64" s="148" t="s">
        <v>133</v>
      </c>
      <c r="AD64" s="205" t="str">
        <f t="shared" si="16"/>
        <v/>
      </c>
      <c r="AE64" s="206" t="str">
        <f t="shared" si="17"/>
        <v/>
      </c>
      <c r="AF64" s="207" t="str">
        <f t="shared" si="18"/>
        <v/>
      </c>
      <c r="AG64" s="208" t="str">
        <f t="shared" si="19"/>
        <v/>
      </c>
      <c r="AI64" s="205" t="str">
        <f t="shared" si="20"/>
        <v/>
      </c>
      <c r="AJ64" s="206" t="str">
        <f t="shared" si="21"/>
        <v/>
      </c>
      <c r="AK64" s="206" t="str">
        <f t="shared" si="22"/>
        <v/>
      </c>
      <c r="AL64" s="216" t="str">
        <f t="shared" si="12"/>
        <v/>
      </c>
      <c r="AM64" s="217"/>
      <c r="AN64" s="207" t="str">
        <f t="shared" si="23"/>
        <v/>
      </c>
      <c r="AO64" s="221" t="str">
        <f t="shared" si="24"/>
        <v/>
      </c>
      <c r="AP64" s="221" t="str">
        <f t="shared" si="25"/>
        <v/>
      </c>
      <c r="AQ64" s="208" t="str">
        <f t="shared" si="13"/>
        <v/>
      </c>
      <c r="AY64" s="1" t="s">
        <v>660</v>
      </c>
    </row>
    <row r="65" spans="1:51" ht="18" customHeight="1" x14ac:dyDescent="0.3">
      <c r="A65" s="120" t="str">
        <f>B65&amp;"_VM_0000_"&amp;C65&amp;"_40_"&amp;F65&amp;"_"&amp;G65</f>
        <v>SPPS410_VM_0000_15_40_FIT_STRAIGHT_J_WELD</v>
      </c>
      <c r="B65" s="124" t="s">
        <v>746</v>
      </c>
      <c r="C65" s="129">
        <v>15</v>
      </c>
      <c r="D65" s="122" t="s">
        <v>747</v>
      </c>
      <c r="E65" s="130" t="str">
        <f>C65&amp;"A, SPPS, 백관(#40), 반제품"</f>
        <v>15A, SPPS, 백관(#40), 반제품</v>
      </c>
      <c r="F65" s="126" t="s">
        <v>725</v>
      </c>
      <c r="G65" s="120" t="s">
        <v>727</v>
      </c>
      <c r="I65" s="120" t="s">
        <v>741</v>
      </c>
      <c r="J65" s="162">
        <v>1.31E-3</v>
      </c>
      <c r="K65" s="161"/>
      <c r="L65" s="135"/>
      <c r="N65" s="13" t="s">
        <v>345</v>
      </c>
      <c r="O65" s="14" t="s">
        <v>206</v>
      </c>
      <c r="P65" s="14" t="s">
        <v>261</v>
      </c>
      <c r="Q65" s="13">
        <v>1</v>
      </c>
      <c r="R65" s="13" t="s">
        <v>251</v>
      </c>
      <c r="S65" s="14">
        <v>0</v>
      </c>
      <c r="T65" s="14">
        <v>30786788.82</v>
      </c>
      <c r="U65" s="14">
        <v>923603.66460000002</v>
      </c>
      <c r="V65" s="14"/>
      <c r="X65" s="7" t="s">
        <v>134</v>
      </c>
      <c r="Y65" s="3" t="s">
        <v>135</v>
      </c>
      <c r="Z65" s="2" t="s">
        <v>32</v>
      </c>
      <c r="AA65" s="146">
        <v>2</v>
      </c>
      <c r="AB65" s="148" t="s">
        <v>136</v>
      </c>
      <c r="AD65" s="205" t="str">
        <f t="shared" si="16"/>
        <v>호표197</v>
      </c>
      <c r="AE65" s="206">
        <f t="shared" si="17"/>
        <v>0</v>
      </c>
      <c r="AF65" s="207">
        <f t="shared" si="18"/>
        <v>0</v>
      </c>
      <c r="AG65" s="208">
        <f t="shared" si="19"/>
        <v>0</v>
      </c>
      <c r="AI65" s="205" t="str">
        <f t="shared" si="20"/>
        <v>탄소강플랜지접합</v>
      </c>
      <c r="AJ65" s="206" t="str">
        <f t="shared" si="21"/>
        <v>65A 개소</v>
      </c>
      <c r="AK65" s="206" t="str">
        <f t="shared" si="22"/>
        <v>개소</v>
      </c>
      <c r="AL65" s="216">
        <f t="shared" si="12"/>
        <v>2</v>
      </c>
      <c r="AM65" s="217"/>
      <c r="AN65" s="207" t="str">
        <f t="shared" si="23"/>
        <v/>
      </c>
      <c r="AO65" s="221" t="str">
        <f t="shared" si="24"/>
        <v/>
      </c>
      <c r="AP65" s="221" t="str">
        <f t="shared" si="25"/>
        <v/>
      </c>
      <c r="AQ65" s="208">
        <f t="shared" si="13"/>
        <v>0</v>
      </c>
      <c r="AY65" s="1" t="s">
        <v>660</v>
      </c>
    </row>
    <row r="66" spans="1:51" ht="18" customHeight="1" x14ac:dyDescent="0.3">
      <c r="A66" s="120" t="str">
        <f t="shared" ref="A66:A83" si="28">B66&amp;"_VM_0000_"&amp;C66&amp;"_40_"&amp;F66&amp;"_"&amp;G66</f>
        <v>SPPS410_VM_0000_20_40_FIT_STRAIGHT_J_WELD</v>
      </c>
      <c r="B66" s="124" t="s">
        <v>746</v>
      </c>
      <c r="C66" s="129">
        <v>20</v>
      </c>
      <c r="D66" s="122" t="s">
        <v>747</v>
      </c>
      <c r="E66" s="130" t="str">
        <f t="shared" ref="E66:E83" si="29">C66&amp;"A, SPPS, 백관(#40), 반제품"</f>
        <v>20A, SPPS, 백관(#40), 반제품</v>
      </c>
      <c r="F66" s="126" t="s">
        <v>725</v>
      </c>
      <c r="G66" s="120" t="s">
        <v>727</v>
      </c>
      <c r="I66" s="120" t="s">
        <v>742</v>
      </c>
      <c r="J66" s="162">
        <v>1.74E-3</v>
      </c>
      <c r="K66" s="161"/>
      <c r="L66" s="135"/>
      <c r="N66" s="13" t="s">
        <v>208</v>
      </c>
      <c r="O66" s="14" t="s">
        <v>206</v>
      </c>
      <c r="P66" s="14" t="s">
        <v>263</v>
      </c>
      <c r="Q66" s="13">
        <v>1</v>
      </c>
      <c r="R66" s="13" t="s">
        <v>251</v>
      </c>
      <c r="S66" s="14">
        <v>0</v>
      </c>
      <c r="T66" s="14">
        <v>27364267.260000002</v>
      </c>
      <c r="U66" s="14">
        <v>820928.01780000003</v>
      </c>
      <c r="V66" s="14"/>
      <c r="X66" s="7" t="s">
        <v>134</v>
      </c>
      <c r="Y66" s="3" t="s">
        <v>137</v>
      </c>
      <c r="Z66" s="2" t="s">
        <v>32</v>
      </c>
      <c r="AA66" s="146">
        <v>7</v>
      </c>
      <c r="AB66" s="148" t="s">
        <v>138</v>
      </c>
      <c r="AD66" s="205" t="str">
        <f t="shared" si="16"/>
        <v>호표198</v>
      </c>
      <c r="AE66" s="206">
        <f t="shared" si="17"/>
        <v>0</v>
      </c>
      <c r="AF66" s="207">
        <f t="shared" si="18"/>
        <v>0</v>
      </c>
      <c r="AG66" s="208">
        <f t="shared" si="19"/>
        <v>0</v>
      </c>
      <c r="AI66" s="205" t="str">
        <f t="shared" si="20"/>
        <v>탄소강플랜지접합</v>
      </c>
      <c r="AJ66" s="206" t="str">
        <f t="shared" si="21"/>
        <v>80A 개소</v>
      </c>
      <c r="AK66" s="206" t="str">
        <f t="shared" si="22"/>
        <v>개소</v>
      </c>
      <c r="AL66" s="216">
        <f t="shared" si="12"/>
        <v>7</v>
      </c>
      <c r="AM66" s="217"/>
      <c r="AN66" s="207" t="str">
        <f t="shared" si="23"/>
        <v/>
      </c>
      <c r="AO66" s="221" t="str">
        <f t="shared" si="24"/>
        <v/>
      </c>
      <c r="AP66" s="221" t="str">
        <f t="shared" si="25"/>
        <v/>
      </c>
      <c r="AQ66" s="208">
        <f t="shared" si="13"/>
        <v>0</v>
      </c>
      <c r="AY66" s="1" t="s">
        <v>660</v>
      </c>
    </row>
    <row r="67" spans="1:51" ht="18" customHeight="1" x14ac:dyDescent="0.3">
      <c r="A67" s="120" t="str">
        <f t="shared" si="28"/>
        <v>SPPS410_VM_0000_25_40_FIT_STRAIGHT_J_WELD</v>
      </c>
      <c r="B67" s="124" t="s">
        <v>746</v>
      </c>
      <c r="C67" s="129">
        <v>25</v>
      </c>
      <c r="D67" s="122" t="s">
        <v>747</v>
      </c>
      <c r="E67" s="130" t="str">
        <f t="shared" si="29"/>
        <v>25A, SPPS, 백관(#40), 반제품</v>
      </c>
      <c r="F67" s="126" t="s">
        <v>725</v>
      </c>
      <c r="G67" s="120" t="s">
        <v>727</v>
      </c>
      <c r="I67" s="120" t="s">
        <v>743</v>
      </c>
      <c r="J67" s="162">
        <v>2.5699999999999998E-3</v>
      </c>
      <c r="K67" s="161"/>
      <c r="L67" s="135"/>
      <c r="N67" s="13" t="s">
        <v>346</v>
      </c>
      <c r="O67" s="14" t="s">
        <v>206</v>
      </c>
      <c r="P67" s="14" t="s">
        <v>265</v>
      </c>
      <c r="Q67" s="13">
        <v>1</v>
      </c>
      <c r="R67" s="13" t="s">
        <v>251</v>
      </c>
      <c r="S67" s="14">
        <v>0</v>
      </c>
      <c r="T67" s="14">
        <v>26519691.109999999</v>
      </c>
      <c r="U67" s="14">
        <v>795590.73329999996</v>
      </c>
      <c r="V67" s="14"/>
      <c r="X67" s="7" t="s">
        <v>134</v>
      </c>
      <c r="Y67" s="3" t="s">
        <v>139</v>
      </c>
      <c r="Z67" s="2" t="s">
        <v>32</v>
      </c>
      <c r="AA67" s="146">
        <v>21</v>
      </c>
      <c r="AB67" s="148" t="s">
        <v>140</v>
      </c>
      <c r="AD67" s="205" t="str">
        <f t="shared" si="16"/>
        <v>호표201</v>
      </c>
      <c r="AE67" s="206">
        <f t="shared" si="17"/>
        <v>0</v>
      </c>
      <c r="AF67" s="207">
        <f t="shared" si="18"/>
        <v>0</v>
      </c>
      <c r="AG67" s="208">
        <f t="shared" si="19"/>
        <v>0</v>
      </c>
      <c r="AI67" s="205" t="str">
        <f t="shared" si="20"/>
        <v>탄소강플랜지접합</v>
      </c>
      <c r="AJ67" s="206" t="str">
        <f t="shared" si="21"/>
        <v>150A 개소</v>
      </c>
      <c r="AK67" s="206" t="str">
        <f t="shared" si="22"/>
        <v>개소</v>
      </c>
      <c r="AL67" s="216">
        <f t="shared" si="12"/>
        <v>21</v>
      </c>
      <c r="AM67" s="217"/>
      <c r="AN67" s="207" t="str">
        <f t="shared" si="23"/>
        <v/>
      </c>
      <c r="AO67" s="221" t="str">
        <f t="shared" si="24"/>
        <v/>
      </c>
      <c r="AP67" s="221" t="str">
        <f t="shared" si="25"/>
        <v/>
      </c>
      <c r="AQ67" s="208">
        <f t="shared" si="13"/>
        <v>0</v>
      </c>
      <c r="AY67" s="1" t="s">
        <v>660</v>
      </c>
    </row>
    <row r="68" spans="1:51" ht="18" customHeight="1" x14ac:dyDescent="0.3">
      <c r="A68" s="120" t="str">
        <f t="shared" si="28"/>
        <v>SPPS410_VM_0000_32_40_FIT_STRAIGHT_J_WELD</v>
      </c>
      <c r="B68" s="124" t="s">
        <v>746</v>
      </c>
      <c r="C68" s="129">
        <v>32</v>
      </c>
      <c r="D68" s="122" t="s">
        <v>747</v>
      </c>
      <c r="E68" s="130" t="str">
        <f t="shared" si="29"/>
        <v>32A, SPPS, 백관(#40), 반제품</v>
      </c>
      <c r="F68" s="126" t="s">
        <v>725</v>
      </c>
      <c r="G68" s="120" t="s">
        <v>727</v>
      </c>
      <c r="I68" s="120" t="s">
        <v>744</v>
      </c>
      <c r="J68" s="162">
        <v>3.47E-3</v>
      </c>
      <c r="K68" s="161"/>
      <c r="L68" s="135"/>
      <c r="N68" s="13" t="s">
        <v>209</v>
      </c>
      <c r="O68" s="14" t="s">
        <v>206</v>
      </c>
      <c r="P68" s="14" t="s">
        <v>266</v>
      </c>
      <c r="Q68" s="13">
        <v>1</v>
      </c>
      <c r="R68" s="13" t="s">
        <v>251</v>
      </c>
      <c r="S68" s="14">
        <v>0</v>
      </c>
      <c r="T68" s="14">
        <v>24368010.080000002</v>
      </c>
      <c r="U68" s="14">
        <v>731040.30240000004</v>
      </c>
      <c r="V68" s="14"/>
      <c r="X68" s="3" t="s">
        <v>141</v>
      </c>
      <c r="Y68" s="3" t="s">
        <v>142</v>
      </c>
      <c r="Z68" s="2" t="s">
        <v>10</v>
      </c>
      <c r="AA68" s="146">
        <v>35.5</v>
      </c>
      <c r="AB68" s="148" t="s">
        <v>143</v>
      </c>
      <c r="AD68" s="205" t="str">
        <f t="shared" ref="AD68:AD92" si="30">IFERROR(INDEX(I:I,MATCH(AB68,A:A,0),1),"")</f>
        <v>호표141</v>
      </c>
      <c r="AE68" s="206">
        <f t="shared" ref="AE68:AE92" si="31">IFERROR(INDEX(J:J,MATCH(AB68,A:A,0),1),"")</f>
        <v>0</v>
      </c>
      <c r="AF68" s="207">
        <f t="shared" ref="AF68:AF92" si="32">IFERROR(INDEX(K:K,MATCH(AB68,A:A,0),1),"")</f>
        <v>0</v>
      </c>
      <c r="AG68" s="208">
        <f t="shared" ref="AG68:AG92" si="33">IFERROR(INDEX(L:L,MATCH(AB68,A:A,0),1),"")</f>
        <v>0</v>
      </c>
      <c r="AI68" s="205" t="str">
        <f t="shared" ref="AI68:AI92" si="34">IFERROR(INDEX(O:O,MATCH(AD68,$N:$N,0),1),"")</f>
        <v>PE관설치공사(버트융착식접합)</v>
      </c>
      <c r="AJ68" s="206" t="str">
        <f t="shared" ref="AJ68:AJ92" si="35">IFERROR(INDEX(P:P,MATCH(AD68,$N:$N,0),1),"")</f>
        <v>25A 개소</v>
      </c>
      <c r="AK68" s="206" t="str">
        <f t="shared" ref="AK68:AK92" si="36">IFERROR(INDEX(R:R,MATCH(AD68,$N:$N,0),1),"")</f>
        <v>개소</v>
      </c>
      <c r="AL68" s="216">
        <f t="shared" si="12"/>
        <v>35.5</v>
      </c>
      <c r="AM68" s="217"/>
      <c r="AN68" s="207" t="str">
        <f t="shared" ref="AN68:AN92" si="37">IFERROR(INDEX(O:O,MATCH(AF68,$N:$N,0),1),"")</f>
        <v/>
      </c>
      <c r="AO68" s="221" t="str">
        <f t="shared" ref="AO68:AO92" si="38">IFERROR(INDEX(P:P,MATCH(AF68,$N:$N,0),1),"")</f>
        <v/>
      </c>
      <c r="AP68" s="221" t="str">
        <f t="shared" ref="AP68:AP92" si="39">IFERROR(INDEX(R:R,MATCH(AF68,$N:$N,0),1),"")</f>
        <v/>
      </c>
      <c r="AQ68" s="208">
        <f t="shared" si="13"/>
        <v>0</v>
      </c>
      <c r="AY68" s="1" t="s">
        <v>660</v>
      </c>
    </row>
    <row r="69" spans="1:51" ht="18" customHeight="1" x14ac:dyDescent="0.3">
      <c r="A69" s="120" t="str">
        <f t="shared" si="28"/>
        <v>SPPS410_VM_0000_40_40_FIT_STRAIGHT_J_WELD</v>
      </c>
      <c r="B69" s="124" t="s">
        <v>746</v>
      </c>
      <c r="C69" s="129">
        <v>40</v>
      </c>
      <c r="D69" s="122" t="s">
        <v>747</v>
      </c>
      <c r="E69" s="130" t="str">
        <f t="shared" si="29"/>
        <v>40A, SPPS, 백관(#40), 반제품</v>
      </c>
      <c r="F69" s="126" t="s">
        <v>725</v>
      </c>
      <c r="G69" s="120" t="s">
        <v>727</v>
      </c>
      <c r="I69" s="120" t="s">
        <v>329</v>
      </c>
      <c r="J69" s="162">
        <v>4.0999999999999995E-3</v>
      </c>
      <c r="K69" s="161"/>
      <c r="L69" s="135"/>
      <c r="N69" s="13" t="s">
        <v>210</v>
      </c>
      <c r="O69" s="14" t="s">
        <v>206</v>
      </c>
      <c r="P69" s="14" t="s">
        <v>268</v>
      </c>
      <c r="Q69" s="13">
        <v>1</v>
      </c>
      <c r="R69" s="13" t="s">
        <v>251</v>
      </c>
      <c r="S69" s="14">
        <v>0</v>
      </c>
      <c r="T69" s="14">
        <v>22674480.832000002</v>
      </c>
      <c r="U69" s="14">
        <v>680234.42496000009</v>
      </c>
      <c r="V69" s="14"/>
      <c r="X69" s="3" t="s">
        <v>144</v>
      </c>
      <c r="Y69" s="7" t="s">
        <v>79</v>
      </c>
      <c r="Z69" s="2" t="s">
        <v>32</v>
      </c>
      <c r="AA69" s="146">
        <v>18</v>
      </c>
      <c r="AB69" s="148" t="s">
        <v>145</v>
      </c>
      <c r="AD69" s="205" t="str">
        <f t="shared" si="30"/>
        <v/>
      </c>
      <c r="AE69" s="206" t="str">
        <f t="shared" si="31"/>
        <v/>
      </c>
      <c r="AF69" s="207" t="str">
        <f t="shared" si="32"/>
        <v/>
      </c>
      <c r="AG69" s="208" t="str">
        <f t="shared" si="33"/>
        <v/>
      </c>
      <c r="AI69" s="205" t="str">
        <f t="shared" si="34"/>
        <v/>
      </c>
      <c r="AJ69" s="206" t="str">
        <f t="shared" si="35"/>
        <v/>
      </c>
      <c r="AK69" s="206" t="str">
        <f t="shared" si="36"/>
        <v/>
      </c>
      <c r="AL69" s="216" t="str">
        <f t="shared" ref="AL69:AL92" si="40">IFERROR(IF(AE69=0,1,AE69)*AA69,"")</f>
        <v/>
      </c>
      <c r="AM69" s="217"/>
      <c r="AN69" s="207" t="str">
        <f t="shared" si="37"/>
        <v/>
      </c>
      <c r="AO69" s="221" t="str">
        <f t="shared" si="38"/>
        <v/>
      </c>
      <c r="AP69" s="221" t="str">
        <f t="shared" si="39"/>
        <v/>
      </c>
      <c r="AQ69" s="208" t="str">
        <f t="shared" ref="AQ69:AQ92" si="41">IFERROR(AA69*AG69,"")</f>
        <v/>
      </c>
      <c r="AY69" s="1" t="s">
        <v>660</v>
      </c>
    </row>
    <row r="70" spans="1:51" ht="18" customHeight="1" x14ac:dyDescent="0.3">
      <c r="A70" s="120" t="str">
        <f t="shared" si="28"/>
        <v>SPPS410_VM_0000_50_40_FIT_STRAIGHT_J_WELD</v>
      </c>
      <c r="B70" s="124" t="s">
        <v>746</v>
      </c>
      <c r="C70" s="129">
        <v>50</v>
      </c>
      <c r="D70" s="122" t="s">
        <v>747</v>
      </c>
      <c r="E70" s="130" t="str">
        <f t="shared" si="29"/>
        <v>50A, SPPS, 백관(#40), 반제품</v>
      </c>
      <c r="F70" s="126" t="s">
        <v>725</v>
      </c>
      <c r="G70" s="120" t="s">
        <v>727</v>
      </c>
      <c r="I70" s="120" t="s">
        <v>330</v>
      </c>
      <c r="J70" s="162">
        <v>5.4400000000000004E-3</v>
      </c>
      <c r="K70" s="161"/>
      <c r="L70" s="135"/>
      <c r="N70" s="13" t="s">
        <v>211</v>
      </c>
      <c r="O70" s="14" t="s">
        <v>206</v>
      </c>
      <c r="P70" s="14" t="s">
        <v>269</v>
      </c>
      <c r="Q70" s="13">
        <v>1</v>
      </c>
      <c r="R70" s="13" t="s">
        <v>251</v>
      </c>
      <c r="S70" s="14">
        <v>0</v>
      </c>
      <c r="T70" s="14">
        <v>22235211.776000001</v>
      </c>
      <c r="U70" s="14">
        <v>667056.35328000004</v>
      </c>
      <c r="V70" s="14"/>
      <c r="X70" s="3" t="s">
        <v>146</v>
      </c>
      <c r="Y70" s="7" t="s">
        <v>79</v>
      </c>
      <c r="Z70" s="2" t="s">
        <v>32</v>
      </c>
      <c r="AA70" s="146">
        <v>14</v>
      </c>
      <c r="AB70" s="148" t="s">
        <v>147</v>
      </c>
      <c r="AD70" s="205" t="str">
        <f t="shared" si="30"/>
        <v/>
      </c>
      <c r="AE70" s="206" t="str">
        <f t="shared" si="31"/>
        <v/>
      </c>
      <c r="AF70" s="207" t="str">
        <f t="shared" si="32"/>
        <v/>
      </c>
      <c r="AG70" s="208" t="str">
        <f t="shared" si="33"/>
        <v/>
      </c>
      <c r="AI70" s="205" t="str">
        <f t="shared" si="34"/>
        <v/>
      </c>
      <c r="AJ70" s="206" t="str">
        <f t="shared" si="35"/>
        <v/>
      </c>
      <c r="AK70" s="206" t="str">
        <f t="shared" si="36"/>
        <v/>
      </c>
      <c r="AL70" s="216" t="str">
        <f t="shared" si="40"/>
        <v/>
      </c>
      <c r="AM70" s="217"/>
      <c r="AN70" s="207" t="str">
        <f t="shared" si="37"/>
        <v/>
      </c>
      <c r="AO70" s="221" t="str">
        <f t="shared" si="38"/>
        <v/>
      </c>
      <c r="AP70" s="221" t="str">
        <f t="shared" si="39"/>
        <v/>
      </c>
      <c r="AQ70" s="208" t="str">
        <f t="shared" si="41"/>
        <v/>
      </c>
      <c r="AY70" s="1" t="s">
        <v>660</v>
      </c>
    </row>
    <row r="71" spans="1:51" ht="18" customHeight="1" x14ac:dyDescent="0.3">
      <c r="A71" s="120" t="str">
        <f t="shared" si="28"/>
        <v>SPPS410_VM_0000_65_40_FIT_STRAIGHT_J_WELD</v>
      </c>
      <c r="B71" s="124" t="s">
        <v>746</v>
      </c>
      <c r="C71" s="129">
        <v>65</v>
      </c>
      <c r="D71" s="122" t="s">
        <v>747</v>
      </c>
      <c r="E71" s="130" t="str">
        <f t="shared" si="29"/>
        <v>65A, SPPS, 백관(#40), 반제품</v>
      </c>
      <c r="F71" s="126" t="s">
        <v>725</v>
      </c>
      <c r="G71" s="120" t="s">
        <v>727</v>
      </c>
      <c r="I71" s="120" t="s">
        <v>331</v>
      </c>
      <c r="J71" s="162">
        <v>9.1199999999999996E-3</v>
      </c>
      <c r="K71" s="161"/>
      <c r="L71" s="135"/>
      <c r="N71" s="13" t="s">
        <v>347</v>
      </c>
      <c r="O71" s="14" t="s">
        <v>206</v>
      </c>
      <c r="P71" s="14" t="s">
        <v>271</v>
      </c>
      <c r="Q71" s="13">
        <v>1</v>
      </c>
      <c r="R71" s="13" t="s">
        <v>251</v>
      </c>
      <c r="S71" s="14">
        <v>0</v>
      </c>
      <c r="T71" s="14">
        <v>22521379.332000002</v>
      </c>
      <c r="U71" s="14">
        <v>675641.37996000005</v>
      </c>
      <c r="V71" s="14"/>
      <c r="X71" s="7" t="s">
        <v>148</v>
      </c>
      <c r="Y71" s="7" t="s">
        <v>149</v>
      </c>
      <c r="Z71" s="2" t="s">
        <v>32</v>
      </c>
      <c r="AA71" s="146">
        <v>46</v>
      </c>
      <c r="AB71" s="148" t="s">
        <v>150</v>
      </c>
      <c r="AD71" s="205" t="str">
        <f t="shared" si="30"/>
        <v>호표274</v>
      </c>
      <c r="AE71" s="206">
        <f t="shared" si="31"/>
        <v>0</v>
      </c>
      <c r="AF71" s="207">
        <f t="shared" si="32"/>
        <v>0</v>
      </c>
      <c r="AG71" s="208">
        <f t="shared" si="33"/>
        <v>0</v>
      </c>
      <c r="AI71" s="205" t="str">
        <f t="shared" si="34"/>
        <v>PE플랜지접합</v>
      </c>
      <c r="AJ71" s="206" t="str">
        <f t="shared" si="35"/>
        <v>25A 개소</v>
      </c>
      <c r="AK71" s="206" t="str">
        <f t="shared" si="36"/>
        <v>개소</v>
      </c>
      <c r="AL71" s="216">
        <f t="shared" si="40"/>
        <v>46</v>
      </c>
      <c r="AM71" s="217"/>
      <c r="AN71" s="207" t="str">
        <f t="shared" si="37"/>
        <v/>
      </c>
      <c r="AO71" s="221" t="str">
        <f t="shared" si="38"/>
        <v/>
      </c>
      <c r="AP71" s="221" t="str">
        <f t="shared" si="39"/>
        <v/>
      </c>
      <c r="AQ71" s="208">
        <f t="shared" si="41"/>
        <v>0</v>
      </c>
      <c r="AY71" s="1" t="s">
        <v>660</v>
      </c>
    </row>
    <row r="72" spans="1:51" ht="18" customHeight="1" x14ac:dyDescent="0.3">
      <c r="A72" s="120" t="str">
        <f t="shared" si="28"/>
        <v>SPPS410_VM_0000_80_40_FIT_STRAIGHT_J_WELD</v>
      </c>
      <c r="B72" s="124" t="s">
        <v>746</v>
      </c>
      <c r="C72" s="129">
        <v>80</v>
      </c>
      <c r="D72" s="122" t="s">
        <v>747</v>
      </c>
      <c r="E72" s="130" t="str">
        <f t="shared" si="29"/>
        <v>80A, SPPS, 백관(#40), 반제품</v>
      </c>
      <c r="F72" s="126" t="s">
        <v>725</v>
      </c>
      <c r="G72" s="120" t="s">
        <v>727</v>
      </c>
      <c r="I72" s="120" t="s">
        <v>332</v>
      </c>
      <c r="J72" s="162">
        <v>1.1300000000000001E-2</v>
      </c>
      <c r="K72" s="161"/>
      <c r="L72" s="135"/>
      <c r="N72" s="13" t="s">
        <v>212</v>
      </c>
      <c r="O72" s="14" t="s">
        <v>206</v>
      </c>
      <c r="P72" s="14" t="s">
        <v>273</v>
      </c>
      <c r="Q72" s="13">
        <v>1</v>
      </c>
      <c r="R72" s="13" t="s">
        <v>251</v>
      </c>
      <c r="S72" s="14">
        <v>0</v>
      </c>
      <c r="T72" s="14">
        <v>21442612.236000001</v>
      </c>
      <c r="U72" s="14">
        <v>643278.36708</v>
      </c>
      <c r="V72" s="14"/>
      <c r="X72" s="7" t="s">
        <v>151</v>
      </c>
      <c r="Y72" s="7" t="s">
        <v>79</v>
      </c>
      <c r="Z72" s="2" t="s">
        <v>32</v>
      </c>
      <c r="AA72" s="146">
        <v>4</v>
      </c>
      <c r="AB72" s="148" t="s">
        <v>83</v>
      </c>
      <c r="AD72" s="205" t="str">
        <f t="shared" si="30"/>
        <v>호표222</v>
      </c>
      <c r="AE72" s="206">
        <f t="shared" si="31"/>
        <v>0</v>
      </c>
      <c r="AF72" s="207">
        <f t="shared" si="32"/>
        <v>0</v>
      </c>
      <c r="AG72" s="208">
        <f t="shared" si="33"/>
        <v>0</v>
      </c>
      <c r="AI72" s="205" t="str">
        <f t="shared" si="34"/>
        <v>STS플랜지접합</v>
      </c>
      <c r="AJ72" s="206" t="str">
        <f t="shared" si="35"/>
        <v>25A 개소</v>
      </c>
      <c r="AK72" s="206" t="str">
        <f t="shared" si="36"/>
        <v>개소</v>
      </c>
      <c r="AL72" s="216">
        <f t="shared" si="40"/>
        <v>4</v>
      </c>
      <c r="AM72" s="217"/>
      <c r="AN72" s="207" t="str">
        <f t="shared" si="37"/>
        <v/>
      </c>
      <c r="AO72" s="221" t="str">
        <f t="shared" si="38"/>
        <v/>
      </c>
      <c r="AP72" s="221" t="str">
        <f t="shared" si="39"/>
        <v/>
      </c>
      <c r="AQ72" s="208">
        <f t="shared" si="41"/>
        <v>0</v>
      </c>
      <c r="AY72" s="1" t="s">
        <v>660</v>
      </c>
    </row>
    <row r="73" spans="1:51" ht="18" customHeight="1" x14ac:dyDescent="0.3">
      <c r="A73" s="120" t="str">
        <f t="shared" si="28"/>
        <v>SPPS410_VM_0000_90_40_FIT_STRAIGHT_J_WELD</v>
      </c>
      <c r="B73" s="124" t="s">
        <v>746</v>
      </c>
      <c r="C73" s="129">
        <v>90</v>
      </c>
      <c r="D73" s="122" t="s">
        <v>747</v>
      </c>
      <c r="E73" s="130" t="str">
        <f t="shared" si="29"/>
        <v>90A, SPPS, 백관(#40), 반제품</v>
      </c>
      <c r="F73" s="126" t="s">
        <v>725</v>
      </c>
      <c r="G73" s="120" t="s">
        <v>727</v>
      </c>
      <c r="I73" s="120" t="s">
        <v>333</v>
      </c>
      <c r="J73" s="162">
        <v>1.35E-2</v>
      </c>
      <c r="K73" s="161"/>
      <c r="L73" s="135"/>
      <c r="N73" s="13" t="s">
        <v>213</v>
      </c>
      <c r="O73" s="14" t="s">
        <v>206</v>
      </c>
      <c r="P73" s="14" t="s">
        <v>275</v>
      </c>
      <c r="Q73" s="13">
        <v>1</v>
      </c>
      <c r="R73" s="13" t="s">
        <v>251</v>
      </c>
      <c r="S73" s="14">
        <v>0</v>
      </c>
      <c r="T73" s="14">
        <v>21485883.52</v>
      </c>
      <c r="U73" s="14">
        <v>644576.50559999992</v>
      </c>
      <c r="V73" s="14"/>
      <c r="X73" s="7" t="s">
        <v>152</v>
      </c>
      <c r="Y73" s="3" t="s">
        <v>153</v>
      </c>
      <c r="Z73" s="2" t="s">
        <v>32</v>
      </c>
      <c r="AA73" s="146">
        <v>9</v>
      </c>
      <c r="AB73" s="148" t="s">
        <v>154</v>
      </c>
      <c r="AD73" s="205" t="str">
        <f t="shared" si="30"/>
        <v>호표349</v>
      </c>
      <c r="AE73" s="206">
        <f t="shared" si="31"/>
        <v>0</v>
      </c>
      <c r="AF73" s="207">
        <f t="shared" si="32"/>
        <v>0</v>
      </c>
      <c r="AG73" s="208">
        <f t="shared" si="33"/>
        <v>0</v>
      </c>
      <c r="AI73" s="205" t="str">
        <f t="shared" si="34"/>
        <v>밸브설치(플랜지식)</v>
      </c>
      <c r="AJ73" s="206" t="str">
        <f t="shared" si="35"/>
        <v>50A 이하 개당</v>
      </c>
      <c r="AK73" s="206" t="str">
        <f t="shared" si="36"/>
        <v>개</v>
      </c>
      <c r="AL73" s="216">
        <f t="shared" si="40"/>
        <v>9</v>
      </c>
      <c r="AM73" s="217"/>
      <c r="AN73" s="207" t="str">
        <f t="shared" si="37"/>
        <v/>
      </c>
      <c r="AO73" s="221" t="str">
        <f t="shared" si="38"/>
        <v/>
      </c>
      <c r="AP73" s="221" t="str">
        <f t="shared" si="39"/>
        <v/>
      </c>
      <c r="AQ73" s="208">
        <f t="shared" si="41"/>
        <v>0</v>
      </c>
      <c r="AY73" s="1" t="s">
        <v>660</v>
      </c>
    </row>
    <row r="74" spans="1:51" ht="18" customHeight="1" x14ac:dyDescent="0.3">
      <c r="A74" s="120" t="str">
        <f t="shared" si="28"/>
        <v>SPPS410_VM_0000_100_40_FIT_STRAIGHT_J_WELD</v>
      </c>
      <c r="B74" s="124" t="s">
        <v>746</v>
      </c>
      <c r="C74" s="129">
        <v>100</v>
      </c>
      <c r="D74" s="122" t="s">
        <v>747</v>
      </c>
      <c r="E74" s="130" t="str">
        <f t="shared" si="29"/>
        <v>100A, SPPS, 백관(#40), 반제품</v>
      </c>
      <c r="F74" s="126" t="s">
        <v>725</v>
      </c>
      <c r="G74" s="120" t="s">
        <v>727</v>
      </c>
      <c r="I74" s="120" t="s">
        <v>334</v>
      </c>
      <c r="J74" s="162">
        <v>1.6E-2</v>
      </c>
      <c r="K74" s="161"/>
      <c r="L74" s="135"/>
      <c r="N74" s="13" t="s">
        <v>214</v>
      </c>
      <c r="O74" s="14" t="s">
        <v>206</v>
      </c>
      <c r="P74" s="14" t="s">
        <v>276</v>
      </c>
      <c r="Q74" s="13">
        <v>1</v>
      </c>
      <c r="R74" s="13" t="s">
        <v>251</v>
      </c>
      <c r="S74" s="14">
        <v>0</v>
      </c>
      <c r="T74" s="14">
        <v>20547192.804000001</v>
      </c>
      <c r="U74" s="14">
        <v>616415.78411999997</v>
      </c>
      <c r="V74" s="14"/>
      <c r="X74" s="7" t="s">
        <v>152</v>
      </c>
      <c r="Y74" s="3" t="s">
        <v>155</v>
      </c>
      <c r="Z74" s="2" t="s">
        <v>32</v>
      </c>
      <c r="AA74" s="146">
        <v>2</v>
      </c>
      <c r="AB74" s="148" t="s">
        <v>156</v>
      </c>
      <c r="AD74" s="205" t="str">
        <f t="shared" si="30"/>
        <v>호표350</v>
      </c>
      <c r="AE74" s="206">
        <f t="shared" si="31"/>
        <v>0</v>
      </c>
      <c r="AF74" s="207">
        <f t="shared" si="32"/>
        <v>0</v>
      </c>
      <c r="AG74" s="208">
        <f t="shared" si="33"/>
        <v>0</v>
      </c>
      <c r="AI74" s="205" t="str">
        <f t="shared" si="34"/>
        <v>밸브설치(플랜지식)</v>
      </c>
      <c r="AJ74" s="206" t="str">
        <f t="shared" si="35"/>
        <v>65A 개당</v>
      </c>
      <c r="AK74" s="206" t="str">
        <f t="shared" si="36"/>
        <v>개</v>
      </c>
      <c r="AL74" s="216">
        <f t="shared" si="40"/>
        <v>2</v>
      </c>
      <c r="AM74" s="217"/>
      <c r="AN74" s="207" t="str">
        <f t="shared" si="37"/>
        <v/>
      </c>
      <c r="AO74" s="221" t="str">
        <f t="shared" si="38"/>
        <v/>
      </c>
      <c r="AP74" s="221" t="str">
        <f t="shared" si="39"/>
        <v/>
      </c>
      <c r="AQ74" s="208">
        <f t="shared" si="41"/>
        <v>0</v>
      </c>
      <c r="AY74" s="1" t="s">
        <v>660</v>
      </c>
    </row>
    <row r="75" spans="1:51" ht="18" customHeight="1" x14ac:dyDescent="0.3">
      <c r="A75" s="120" t="str">
        <f t="shared" si="28"/>
        <v>SPPS410_VM_0000_125_40_FIT_STRAIGHT_J_WELD</v>
      </c>
      <c r="B75" s="124" t="s">
        <v>746</v>
      </c>
      <c r="C75" s="129">
        <v>125</v>
      </c>
      <c r="D75" s="122" t="s">
        <v>747</v>
      </c>
      <c r="E75" s="130" t="str">
        <f t="shared" si="29"/>
        <v>125A, SPPS, 백관(#40), 반제품</v>
      </c>
      <c r="F75" s="126" t="s">
        <v>725</v>
      </c>
      <c r="G75" s="120" t="s">
        <v>727</v>
      </c>
      <c r="I75" s="120" t="s">
        <v>335</v>
      </c>
      <c r="J75" s="162">
        <v>2.1700000000000001E-2</v>
      </c>
      <c r="K75" s="161"/>
      <c r="L75" s="135"/>
      <c r="N75" s="13" t="s">
        <v>348</v>
      </c>
      <c r="O75" s="14" t="s">
        <v>206</v>
      </c>
      <c r="P75" s="14" t="s">
        <v>278</v>
      </c>
      <c r="Q75" s="13">
        <v>1</v>
      </c>
      <c r="R75" s="13" t="s">
        <v>251</v>
      </c>
      <c r="S75" s="14">
        <v>0</v>
      </c>
      <c r="T75" s="14">
        <v>20827506.144000001</v>
      </c>
      <c r="U75" s="14">
        <v>624825.18432</v>
      </c>
      <c r="V75" s="14"/>
      <c r="X75" s="7" t="s">
        <v>152</v>
      </c>
      <c r="Y75" s="3" t="s">
        <v>157</v>
      </c>
      <c r="Z75" s="2" t="s">
        <v>32</v>
      </c>
      <c r="AA75" s="146">
        <v>12</v>
      </c>
      <c r="AB75" s="148" t="s">
        <v>158</v>
      </c>
      <c r="AD75" s="205" t="str">
        <f t="shared" si="30"/>
        <v>호표351</v>
      </c>
      <c r="AE75" s="206">
        <f t="shared" si="31"/>
        <v>0</v>
      </c>
      <c r="AF75" s="207">
        <f t="shared" si="32"/>
        <v>0</v>
      </c>
      <c r="AG75" s="208">
        <f t="shared" si="33"/>
        <v>0</v>
      </c>
      <c r="AI75" s="205" t="str">
        <f t="shared" si="34"/>
        <v>밸브설치(플랜지식)</v>
      </c>
      <c r="AJ75" s="206" t="str">
        <f t="shared" si="35"/>
        <v>80A 개당</v>
      </c>
      <c r="AK75" s="206" t="str">
        <f t="shared" si="36"/>
        <v>개</v>
      </c>
      <c r="AL75" s="216">
        <f t="shared" si="40"/>
        <v>12</v>
      </c>
      <c r="AM75" s="217"/>
      <c r="AN75" s="207" t="str">
        <f t="shared" si="37"/>
        <v/>
      </c>
      <c r="AO75" s="221" t="str">
        <f t="shared" si="38"/>
        <v/>
      </c>
      <c r="AP75" s="221" t="str">
        <f t="shared" si="39"/>
        <v/>
      </c>
      <c r="AQ75" s="208">
        <f t="shared" si="41"/>
        <v>0</v>
      </c>
      <c r="AY75" s="1" t="s">
        <v>660</v>
      </c>
    </row>
    <row r="76" spans="1:51" ht="18" customHeight="1" x14ac:dyDescent="0.3">
      <c r="A76" s="120" t="str">
        <f t="shared" si="28"/>
        <v>SPPS410_VM_0000_150_40_FIT_STRAIGHT_J_WELD</v>
      </c>
      <c r="B76" s="124" t="s">
        <v>746</v>
      </c>
      <c r="C76" s="129">
        <v>150</v>
      </c>
      <c r="D76" s="122" t="s">
        <v>747</v>
      </c>
      <c r="E76" s="130" t="str">
        <f t="shared" si="29"/>
        <v>150A, SPPS, 백관(#40), 반제품</v>
      </c>
      <c r="F76" s="126" t="s">
        <v>725</v>
      </c>
      <c r="G76" s="120" t="s">
        <v>727</v>
      </c>
      <c r="I76" s="120" t="s">
        <v>336</v>
      </c>
      <c r="J76" s="162">
        <v>2.7699999999999999E-2</v>
      </c>
      <c r="K76" s="161"/>
      <c r="L76" s="135"/>
      <c r="N76" s="13" t="s">
        <v>215</v>
      </c>
      <c r="O76" s="14" t="s">
        <v>206</v>
      </c>
      <c r="P76" s="14" t="s">
        <v>280</v>
      </c>
      <c r="Q76" s="13">
        <v>1</v>
      </c>
      <c r="R76" s="13" t="s">
        <v>251</v>
      </c>
      <c r="S76" s="14">
        <v>0</v>
      </c>
      <c r="T76" s="14">
        <v>19748795.072000001</v>
      </c>
      <c r="U76" s="14">
        <v>592463.85216000001</v>
      </c>
      <c r="V76" s="14"/>
      <c r="X76" s="7" t="s">
        <v>152</v>
      </c>
      <c r="Y76" s="3" t="s">
        <v>159</v>
      </c>
      <c r="Z76" s="2" t="s">
        <v>32</v>
      </c>
      <c r="AA76" s="146">
        <v>2</v>
      </c>
      <c r="AB76" s="148" t="s">
        <v>160</v>
      </c>
      <c r="AD76" s="205" t="str">
        <f t="shared" si="30"/>
        <v>호표353</v>
      </c>
      <c r="AE76" s="206">
        <f t="shared" si="31"/>
        <v>0</v>
      </c>
      <c r="AF76" s="207">
        <f t="shared" si="32"/>
        <v>0</v>
      </c>
      <c r="AG76" s="208">
        <f t="shared" si="33"/>
        <v>0</v>
      </c>
      <c r="AI76" s="205" t="str">
        <f t="shared" si="34"/>
        <v>밸브설치(플랜지식)</v>
      </c>
      <c r="AJ76" s="206" t="str">
        <f t="shared" si="35"/>
        <v>100A 개당</v>
      </c>
      <c r="AK76" s="206" t="str">
        <f t="shared" si="36"/>
        <v>개</v>
      </c>
      <c r="AL76" s="216">
        <f t="shared" si="40"/>
        <v>2</v>
      </c>
      <c r="AM76" s="217"/>
      <c r="AN76" s="207" t="str">
        <f t="shared" si="37"/>
        <v/>
      </c>
      <c r="AO76" s="221" t="str">
        <f t="shared" si="38"/>
        <v/>
      </c>
      <c r="AP76" s="221" t="str">
        <f t="shared" si="39"/>
        <v/>
      </c>
      <c r="AQ76" s="208">
        <f t="shared" si="41"/>
        <v>0</v>
      </c>
      <c r="AY76" s="1" t="s">
        <v>660</v>
      </c>
    </row>
    <row r="77" spans="1:51" ht="18" customHeight="1" x14ac:dyDescent="0.3">
      <c r="A77" s="120" t="str">
        <f t="shared" si="28"/>
        <v>SPPS410_VM_0000_200_40_FIT_STRAIGHT_J_WELD</v>
      </c>
      <c r="B77" s="124" t="s">
        <v>746</v>
      </c>
      <c r="C77" s="129">
        <v>200</v>
      </c>
      <c r="D77" s="122" t="s">
        <v>747</v>
      </c>
      <c r="E77" s="130" t="str">
        <f t="shared" si="29"/>
        <v>200A, SPPS, 백관(#40), 반제품</v>
      </c>
      <c r="F77" s="126" t="s">
        <v>725</v>
      </c>
      <c r="G77" s="120" t="s">
        <v>727</v>
      </c>
      <c r="I77" s="120" t="s">
        <v>337</v>
      </c>
      <c r="J77" s="162">
        <v>4.2099999999999999E-2</v>
      </c>
      <c r="K77" s="161"/>
      <c r="L77" s="135"/>
      <c r="N77" s="13" t="s">
        <v>349</v>
      </c>
      <c r="O77" s="14" t="s">
        <v>206</v>
      </c>
      <c r="P77" s="14" t="s">
        <v>282</v>
      </c>
      <c r="Q77" s="13">
        <v>1</v>
      </c>
      <c r="R77" s="13" t="s">
        <v>251</v>
      </c>
      <c r="S77" s="14">
        <v>0</v>
      </c>
      <c r="T77" s="14">
        <v>19953046.144000001</v>
      </c>
      <c r="U77" s="14">
        <v>598591.38432000007</v>
      </c>
      <c r="V77" s="14"/>
      <c r="X77" s="7" t="s">
        <v>152</v>
      </c>
      <c r="Y77" s="3" t="s">
        <v>161</v>
      </c>
      <c r="Z77" s="2" t="s">
        <v>32</v>
      </c>
      <c r="AA77" s="146">
        <v>8</v>
      </c>
      <c r="AB77" s="148" t="s">
        <v>162</v>
      </c>
      <c r="AD77" s="205" t="str">
        <f t="shared" si="30"/>
        <v>호표354</v>
      </c>
      <c r="AE77" s="206">
        <f t="shared" si="31"/>
        <v>0</v>
      </c>
      <c r="AF77" s="207">
        <f t="shared" si="32"/>
        <v>0</v>
      </c>
      <c r="AG77" s="208">
        <f t="shared" si="33"/>
        <v>0</v>
      </c>
      <c r="AI77" s="205" t="str">
        <f t="shared" si="34"/>
        <v>밸브설치(플랜지식)</v>
      </c>
      <c r="AJ77" s="206" t="str">
        <f t="shared" si="35"/>
        <v>125A 개당</v>
      </c>
      <c r="AK77" s="206" t="str">
        <f t="shared" si="36"/>
        <v>개</v>
      </c>
      <c r="AL77" s="216">
        <f t="shared" si="40"/>
        <v>8</v>
      </c>
      <c r="AM77" s="217"/>
      <c r="AN77" s="207" t="str">
        <f t="shared" si="37"/>
        <v/>
      </c>
      <c r="AO77" s="221" t="str">
        <f t="shared" si="38"/>
        <v/>
      </c>
      <c r="AP77" s="221" t="str">
        <f t="shared" si="39"/>
        <v/>
      </c>
      <c r="AQ77" s="208">
        <f t="shared" si="41"/>
        <v>0</v>
      </c>
      <c r="AY77" s="1" t="s">
        <v>660</v>
      </c>
    </row>
    <row r="78" spans="1:51" ht="18" customHeight="1" x14ac:dyDescent="0.3">
      <c r="A78" s="120" t="str">
        <f t="shared" si="28"/>
        <v>SPPS410_VM_0000_250_40_FIT_STRAIGHT_J_WELD</v>
      </c>
      <c r="B78" s="124" t="s">
        <v>746</v>
      </c>
      <c r="C78" s="129">
        <v>250</v>
      </c>
      <c r="D78" s="122" t="s">
        <v>747</v>
      </c>
      <c r="E78" s="130" t="str">
        <f t="shared" si="29"/>
        <v>250A, SPPS, 백관(#40), 반제품</v>
      </c>
      <c r="F78" s="126" t="s">
        <v>725</v>
      </c>
      <c r="G78" s="120" t="s">
        <v>727</v>
      </c>
      <c r="I78" s="120" t="s">
        <v>338</v>
      </c>
      <c r="J78" s="162">
        <v>5.9200000000000003E-2</v>
      </c>
      <c r="K78" s="161"/>
      <c r="L78" s="135"/>
      <c r="N78" s="13" t="s">
        <v>350</v>
      </c>
      <c r="O78" s="14" t="s">
        <v>206</v>
      </c>
      <c r="P78" s="14" t="s">
        <v>284</v>
      </c>
      <c r="Q78" s="13">
        <v>1</v>
      </c>
      <c r="R78" s="13" t="s">
        <v>251</v>
      </c>
      <c r="S78" s="14">
        <v>0</v>
      </c>
      <c r="T78" s="14">
        <v>19276949.604000002</v>
      </c>
      <c r="U78" s="14">
        <v>578308.48811999999</v>
      </c>
      <c r="V78" s="14"/>
      <c r="X78" s="7" t="s">
        <v>152</v>
      </c>
      <c r="Y78" s="3" t="s">
        <v>163</v>
      </c>
      <c r="Z78" s="2" t="s">
        <v>32</v>
      </c>
      <c r="AA78" s="146">
        <v>7</v>
      </c>
      <c r="AB78" s="148" t="s">
        <v>164</v>
      </c>
      <c r="AD78" s="205" t="str">
        <f t="shared" si="30"/>
        <v>호표355</v>
      </c>
      <c r="AE78" s="206">
        <f t="shared" si="31"/>
        <v>0</v>
      </c>
      <c r="AF78" s="207">
        <f t="shared" si="32"/>
        <v>0</v>
      </c>
      <c r="AG78" s="208">
        <f t="shared" si="33"/>
        <v>0</v>
      </c>
      <c r="AI78" s="205" t="str">
        <f t="shared" si="34"/>
        <v>밸브설치(플랜지식)</v>
      </c>
      <c r="AJ78" s="206" t="str">
        <f t="shared" si="35"/>
        <v>150A 개당</v>
      </c>
      <c r="AK78" s="206" t="str">
        <f t="shared" si="36"/>
        <v>개</v>
      </c>
      <c r="AL78" s="216">
        <f t="shared" si="40"/>
        <v>7</v>
      </c>
      <c r="AM78" s="217"/>
      <c r="AN78" s="207" t="str">
        <f t="shared" si="37"/>
        <v/>
      </c>
      <c r="AO78" s="221" t="str">
        <f t="shared" si="38"/>
        <v/>
      </c>
      <c r="AP78" s="221" t="str">
        <f t="shared" si="39"/>
        <v/>
      </c>
      <c r="AQ78" s="208">
        <f t="shared" si="41"/>
        <v>0</v>
      </c>
      <c r="AY78" s="1" t="s">
        <v>660</v>
      </c>
    </row>
    <row r="79" spans="1:51" ht="18" customHeight="1" x14ac:dyDescent="0.3">
      <c r="A79" s="120" t="str">
        <f t="shared" si="28"/>
        <v>SPPS410_VM_0000_300_40_FIT_STRAIGHT_J_WELD</v>
      </c>
      <c r="B79" s="124" t="s">
        <v>746</v>
      </c>
      <c r="C79" s="129">
        <v>300</v>
      </c>
      <c r="D79" s="122" t="s">
        <v>747</v>
      </c>
      <c r="E79" s="130" t="str">
        <f t="shared" si="29"/>
        <v>300A, SPPS, 백관(#40), 반제품</v>
      </c>
      <c r="F79" s="126" t="s">
        <v>725</v>
      </c>
      <c r="G79" s="120" t="s">
        <v>727</v>
      </c>
      <c r="I79" s="120" t="s">
        <v>339</v>
      </c>
      <c r="J79" s="162">
        <v>7.8299999999999995E-2</v>
      </c>
      <c r="K79" s="161"/>
      <c r="L79" s="135"/>
      <c r="N79" s="13" t="s">
        <v>216</v>
      </c>
      <c r="O79" s="14" t="s">
        <v>206</v>
      </c>
      <c r="P79" s="14" t="s">
        <v>286</v>
      </c>
      <c r="Q79" s="13">
        <v>1</v>
      </c>
      <c r="R79" s="13" t="s">
        <v>251</v>
      </c>
      <c r="S79" s="14">
        <v>0</v>
      </c>
      <c r="T79" s="14">
        <v>19363395.336000003</v>
      </c>
      <c r="U79" s="14">
        <v>580901.86008000001</v>
      </c>
      <c r="V79" s="14"/>
      <c r="X79" s="7" t="s">
        <v>152</v>
      </c>
      <c r="Y79" s="3" t="s">
        <v>165</v>
      </c>
      <c r="Z79" s="2" t="s">
        <v>32</v>
      </c>
      <c r="AA79" s="146">
        <v>19</v>
      </c>
      <c r="AB79" s="148" t="s">
        <v>166</v>
      </c>
      <c r="AD79" s="205" t="str">
        <f t="shared" si="30"/>
        <v>호표356</v>
      </c>
      <c r="AE79" s="206">
        <f t="shared" si="31"/>
        <v>0</v>
      </c>
      <c r="AF79" s="207">
        <f t="shared" si="32"/>
        <v>0</v>
      </c>
      <c r="AG79" s="208">
        <f t="shared" si="33"/>
        <v>0</v>
      </c>
      <c r="AI79" s="205" t="str">
        <f t="shared" si="34"/>
        <v>밸브설치(플랜지식)</v>
      </c>
      <c r="AJ79" s="206" t="str">
        <f t="shared" si="35"/>
        <v>200A 개당</v>
      </c>
      <c r="AK79" s="206" t="str">
        <f t="shared" si="36"/>
        <v>개</v>
      </c>
      <c r="AL79" s="216">
        <f t="shared" si="40"/>
        <v>19</v>
      </c>
      <c r="AM79" s="217"/>
      <c r="AN79" s="207" t="str">
        <f t="shared" si="37"/>
        <v/>
      </c>
      <c r="AO79" s="221" t="str">
        <f t="shared" si="38"/>
        <v/>
      </c>
      <c r="AP79" s="221" t="str">
        <f t="shared" si="39"/>
        <v/>
      </c>
      <c r="AQ79" s="208">
        <f t="shared" si="41"/>
        <v>0</v>
      </c>
      <c r="AY79" s="1" t="s">
        <v>660</v>
      </c>
    </row>
    <row r="80" spans="1:51" ht="18" customHeight="1" x14ac:dyDescent="0.3">
      <c r="A80" s="120" t="str">
        <f t="shared" si="28"/>
        <v>SPPS410_VM_0000_350_40_FIT_STRAIGHT_J_WELD</v>
      </c>
      <c r="B80" s="124" t="s">
        <v>746</v>
      </c>
      <c r="C80" s="129">
        <v>350</v>
      </c>
      <c r="D80" s="122" t="s">
        <v>747</v>
      </c>
      <c r="E80" s="130" t="str">
        <f t="shared" si="29"/>
        <v>350A, SPPS, 백관(#40), 반제품</v>
      </c>
      <c r="F80" s="126" t="s">
        <v>725</v>
      </c>
      <c r="G80" s="120" t="s">
        <v>727</v>
      </c>
      <c r="I80" s="120" t="s">
        <v>340</v>
      </c>
      <c r="J80" s="162">
        <v>9.4299999999999995E-2</v>
      </c>
      <c r="K80" s="161"/>
      <c r="L80" s="135"/>
      <c r="N80" s="13" t="s">
        <v>351</v>
      </c>
      <c r="O80" s="14" t="s">
        <v>206</v>
      </c>
      <c r="P80" s="14" t="s">
        <v>288</v>
      </c>
      <c r="Q80" s="13">
        <v>1</v>
      </c>
      <c r="R80" s="13" t="s">
        <v>251</v>
      </c>
      <c r="S80" s="14">
        <v>0</v>
      </c>
      <c r="T80" s="14">
        <v>18565787.855999999</v>
      </c>
      <c r="U80" s="14">
        <v>556973.63567999995</v>
      </c>
      <c r="V80" s="14"/>
      <c r="X80" s="3" t="s">
        <v>167</v>
      </c>
      <c r="Y80" s="3" t="s">
        <v>153</v>
      </c>
      <c r="Z80" s="2" t="s">
        <v>32</v>
      </c>
      <c r="AA80" s="146">
        <v>4</v>
      </c>
      <c r="AB80" s="148" t="s">
        <v>168</v>
      </c>
      <c r="AD80" s="205" t="str">
        <f t="shared" si="30"/>
        <v/>
      </c>
      <c r="AE80" s="206" t="str">
        <f t="shared" si="31"/>
        <v/>
      </c>
      <c r="AF80" s="207" t="str">
        <f t="shared" si="32"/>
        <v/>
      </c>
      <c r="AG80" s="208" t="str">
        <f t="shared" si="33"/>
        <v/>
      </c>
      <c r="AI80" s="205" t="str">
        <f t="shared" si="34"/>
        <v/>
      </c>
      <c r="AJ80" s="206" t="str">
        <f t="shared" si="35"/>
        <v/>
      </c>
      <c r="AK80" s="206" t="str">
        <f t="shared" si="36"/>
        <v/>
      </c>
      <c r="AL80" s="216" t="str">
        <f t="shared" si="40"/>
        <v/>
      </c>
      <c r="AM80" s="217"/>
      <c r="AN80" s="207" t="str">
        <f t="shared" si="37"/>
        <v/>
      </c>
      <c r="AO80" s="221" t="str">
        <f t="shared" si="38"/>
        <v/>
      </c>
      <c r="AP80" s="221" t="str">
        <f t="shared" si="39"/>
        <v/>
      </c>
      <c r="AQ80" s="208" t="str">
        <f t="shared" si="41"/>
        <v/>
      </c>
      <c r="AY80" s="1" t="s">
        <v>660</v>
      </c>
    </row>
    <row r="81" spans="1:51" ht="18" customHeight="1" x14ac:dyDescent="0.3">
      <c r="A81" s="120" t="str">
        <f t="shared" si="28"/>
        <v>SPPS410_VM_0000_400_40_FIT_STRAIGHT_J_WELD</v>
      </c>
      <c r="B81" s="124" t="s">
        <v>746</v>
      </c>
      <c r="C81" s="129">
        <v>400</v>
      </c>
      <c r="D81" s="122" t="s">
        <v>747</v>
      </c>
      <c r="E81" s="130" t="str">
        <f t="shared" si="29"/>
        <v>400A, SPPS, 백관(#40), 반제품</v>
      </c>
      <c r="F81" s="126" t="s">
        <v>725</v>
      </c>
      <c r="G81" s="120" t="s">
        <v>727</v>
      </c>
      <c r="I81" s="120"/>
      <c r="J81" s="162">
        <v>0.123</v>
      </c>
      <c r="K81" s="161"/>
      <c r="L81" s="120"/>
      <c r="N81" s="13" t="s">
        <v>352</v>
      </c>
      <c r="O81" s="14" t="s">
        <v>206</v>
      </c>
      <c r="P81" s="14" t="s">
        <v>290</v>
      </c>
      <c r="Q81" s="13">
        <v>1</v>
      </c>
      <c r="R81" s="13" t="s">
        <v>251</v>
      </c>
      <c r="S81" s="14">
        <v>0</v>
      </c>
      <c r="T81" s="14">
        <v>19179203.199999999</v>
      </c>
      <c r="U81" s="14">
        <v>575376.0959999999</v>
      </c>
      <c r="V81" s="14"/>
      <c r="X81" s="3" t="s">
        <v>167</v>
      </c>
      <c r="Y81" s="3" t="s">
        <v>157</v>
      </c>
      <c r="Z81" s="2" t="s">
        <v>32</v>
      </c>
      <c r="AA81" s="146">
        <v>9</v>
      </c>
      <c r="AB81" s="148" t="s">
        <v>169</v>
      </c>
      <c r="AD81" s="205" t="str">
        <f t="shared" si="30"/>
        <v/>
      </c>
      <c r="AE81" s="206" t="str">
        <f t="shared" si="31"/>
        <v/>
      </c>
      <c r="AF81" s="207" t="str">
        <f t="shared" si="32"/>
        <v/>
      </c>
      <c r="AG81" s="208" t="str">
        <f t="shared" si="33"/>
        <v/>
      </c>
      <c r="AI81" s="205" t="str">
        <f t="shared" si="34"/>
        <v/>
      </c>
      <c r="AJ81" s="206" t="str">
        <f t="shared" si="35"/>
        <v/>
      </c>
      <c r="AK81" s="206" t="str">
        <f t="shared" si="36"/>
        <v/>
      </c>
      <c r="AL81" s="216" t="str">
        <f t="shared" si="40"/>
        <v/>
      </c>
      <c r="AM81" s="217"/>
      <c r="AN81" s="207" t="str">
        <f t="shared" si="37"/>
        <v/>
      </c>
      <c r="AO81" s="221" t="str">
        <f t="shared" si="38"/>
        <v/>
      </c>
      <c r="AP81" s="221" t="str">
        <f t="shared" si="39"/>
        <v/>
      </c>
      <c r="AQ81" s="208" t="str">
        <f t="shared" si="41"/>
        <v/>
      </c>
      <c r="AY81" s="1" t="s">
        <v>660</v>
      </c>
    </row>
    <row r="82" spans="1:51" ht="18" customHeight="1" x14ac:dyDescent="0.3">
      <c r="A82" s="120" t="str">
        <f t="shared" si="28"/>
        <v>SPPS410_VM_0000_450_40_FIT_STRAIGHT_J_WELD</v>
      </c>
      <c r="B82" s="124" t="s">
        <v>746</v>
      </c>
      <c r="C82" s="129">
        <v>450</v>
      </c>
      <c r="D82" s="122" t="s">
        <v>747</v>
      </c>
      <c r="E82" s="130" t="str">
        <f t="shared" si="29"/>
        <v>450A, SPPS, 백관(#40), 반제품</v>
      </c>
      <c r="F82" s="126" t="s">
        <v>725</v>
      </c>
      <c r="G82" s="120" t="s">
        <v>727</v>
      </c>
      <c r="I82" s="120"/>
      <c r="J82" s="162">
        <v>0.156</v>
      </c>
      <c r="K82" s="161"/>
      <c r="L82" s="120"/>
      <c r="N82" s="13" t="s">
        <v>353</v>
      </c>
      <c r="O82" s="14" t="s">
        <v>206</v>
      </c>
      <c r="P82" s="14" t="s">
        <v>292</v>
      </c>
      <c r="Q82" s="13">
        <v>1</v>
      </c>
      <c r="R82" s="13" t="s">
        <v>251</v>
      </c>
      <c r="S82" s="14">
        <v>0</v>
      </c>
      <c r="T82" s="14">
        <v>20214280.560000002</v>
      </c>
      <c r="U82" s="14">
        <v>606428.41680000001</v>
      </c>
      <c r="V82" s="14"/>
      <c r="X82" s="3" t="s">
        <v>167</v>
      </c>
      <c r="Y82" s="3" t="s">
        <v>163</v>
      </c>
      <c r="Z82" s="2" t="s">
        <v>32</v>
      </c>
      <c r="AA82" s="146">
        <v>7</v>
      </c>
      <c r="AB82" s="148" t="s">
        <v>170</v>
      </c>
      <c r="AD82" s="205" t="str">
        <f t="shared" si="30"/>
        <v/>
      </c>
      <c r="AE82" s="206" t="str">
        <f t="shared" si="31"/>
        <v/>
      </c>
      <c r="AF82" s="207" t="str">
        <f t="shared" si="32"/>
        <v/>
      </c>
      <c r="AG82" s="208" t="str">
        <f t="shared" si="33"/>
        <v/>
      </c>
      <c r="AI82" s="205" t="str">
        <f t="shared" si="34"/>
        <v/>
      </c>
      <c r="AJ82" s="206" t="str">
        <f t="shared" si="35"/>
        <v/>
      </c>
      <c r="AK82" s="206" t="str">
        <f t="shared" si="36"/>
        <v/>
      </c>
      <c r="AL82" s="216" t="str">
        <f t="shared" si="40"/>
        <v/>
      </c>
      <c r="AM82" s="217"/>
      <c r="AN82" s="207" t="str">
        <f t="shared" si="37"/>
        <v/>
      </c>
      <c r="AO82" s="221" t="str">
        <f t="shared" si="38"/>
        <v/>
      </c>
      <c r="AP82" s="221" t="str">
        <f t="shared" si="39"/>
        <v/>
      </c>
      <c r="AQ82" s="208" t="str">
        <f t="shared" si="41"/>
        <v/>
      </c>
      <c r="AY82" s="1" t="s">
        <v>660</v>
      </c>
    </row>
    <row r="83" spans="1:51" ht="18" customHeight="1" x14ac:dyDescent="0.3">
      <c r="A83" s="120" t="str">
        <f t="shared" si="28"/>
        <v>SPPS410_VM_0000_500_40_FIT_STRAIGHT_J_WELD</v>
      </c>
      <c r="B83" s="124" t="s">
        <v>746</v>
      </c>
      <c r="C83" s="129">
        <v>500</v>
      </c>
      <c r="D83" s="122" t="s">
        <v>747</v>
      </c>
      <c r="E83" s="130" t="str">
        <f t="shared" si="29"/>
        <v>500A, SPPS, 백관(#40), 반제품</v>
      </c>
      <c r="F83" s="126" t="s">
        <v>725</v>
      </c>
      <c r="G83" s="120" t="s">
        <v>727</v>
      </c>
      <c r="I83" s="120"/>
      <c r="J83" s="162">
        <v>0.184</v>
      </c>
      <c r="K83" s="161"/>
      <c r="L83" s="120"/>
      <c r="N83" s="13" t="s">
        <v>354</v>
      </c>
      <c r="O83" s="14" t="s">
        <v>206</v>
      </c>
      <c r="P83" s="14" t="s">
        <v>294</v>
      </c>
      <c r="Q83" s="13">
        <v>1</v>
      </c>
      <c r="R83" s="13" t="s">
        <v>251</v>
      </c>
      <c r="S83" s="14">
        <v>0</v>
      </c>
      <c r="T83" s="14">
        <v>20496207.857999999</v>
      </c>
      <c r="U83" s="14">
        <v>614886.23573999992</v>
      </c>
      <c r="V83" s="14"/>
      <c r="X83" s="3" t="s">
        <v>167</v>
      </c>
      <c r="Y83" s="3" t="s">
        <v>165</v>
      </c>
      <c r="Z83" s="2" t="s">
        <v>32</v>
      </c>
      <c r="AA83" s="146">
        <v>3</v>
      </c>
      <c r="AB83" s="148" t="s">
        <v>171</v>
      </c>
      <c r="AD83" s="205" t="str">
        <f t="shared" si="30"/>
        <v/>
      </c>
      <c r="AE83" s="206" t="str">
        <f t="shared" si="31"/>
        <v/>
      </c>
      <c r="AF83" s="207" t="str">
        <f t="shared" si="32"/>
        <v/>
      </c>
      <c r="AG83" s="208" t="str">
        <f t="shared" si="33"/>
        <v/>
      </c>
      <c r="AI83" s="205" t="str">
        <f t="shared" si="34"/>
        <v/>
      </c>
      <c r="AJ83" s="206" t="str">
        <f t="shared" si="35"/>
        <v/>
      </c>
      <c r="AK83" s="206" t="str">
        <f t="shared" si="36"/>
        <v/>
      </c>
      <c r="AL83" s="216" t="str">
        <f t="shared" si="40"/>
        <v/>
      </c>
      <c r="AM83" s="217"/>
      <c r="AN83" s="207" t="str">
        <f t="shared" si="37"/>
        <v/>
      </c>
      <c r="AO83" s="221" t="str">
        <f t="shared" si="38"/>
        <v/>
      </c>
      <c r="AP83" s="221" t="str">
        <f t="shared" si="39"/>
        <v/>
      </c>
      <c r="AQ83" s="208" t="str">
        <f t="shared" si="41"/>
        <v/>
      </c>
      <c r="AY83" s="1" t="s">
        <v>660</v>
      </c>
    </row>
    <row r="84" spans="1:51" ht="18" customHeight="1" x14ac:dyDescent="0.3">
      <c r="A84" s="123" t="s">
        <v>748</v>
      </c>
      <c r="B84" s="125" t="s">
        <v>1139</v>
      </c>
      <c r="C84" s="131">
        <v>15</v>
      </c>
      <c r="D84" s="122" t="s">
        <v>762</v>
      </c>
      <c r="E84" s="130" t="s">
        <v>763</v>
      </c>
      <c r="F84" s="127" t="s">
        <v>724</v>
      </c>
      <c r="G84" s="123" t="s">
        <v>726</v>
      </c>
      <c r="I84" s="120" t="s">
        <v>777</v>
      </c>
      <c r="J84" s="162">
        <v>1.0300000000000001E-3</v>
      </c>
      <c r="K84" s="120" t="s">
        <v>374</v>
      </c>
      <c r="L84" s="135">
        <f>1/6</f>
        <v>0.16666666666666666</v>
      </c>
      <c r="N84" s="13" t="s">
        <v>355</v>
      </c>
      <c r="O84" s="14" t="s">
        <v>206</v>
      </c>
      <c r="P84" s="14" t="s">
        <v>296</v>
      </c>
      <c r="Q84" s="13">
        <v>1</v>
      </c>
      <c r="R84" s="13" t="s">
        <v>251</v>
      </c>
      <c r="S84" s="14">
        <v>0</v>
      </c>
      <c r="T84" s="14">
        <v>20035672.272</v>
      </c>
      <c r="U84" s="14">
        <v>601070.16816</v>
      </c>
      <c r="V84" s="14"/>
      <c r="X84" s="3" t="s">
        <v>172</v>
      </c>
      <c r="Y84" s="3" t="s">
        <v>173</v>
      </c>
      <c r="Z84" s="2" t="s">
        <v>32</v>
      </c>
      <c r="AA84" s="146">
        <v>2</v>
      </c>
      <c r="AB84" s="148" t="s">
        <v>174</v>
      </c>
      <c r="AD84" s="205" t="str">
        <f t="shared" si="30"/>
        <v>호표326</v>
      </c>
      <c r="AE84" s="206">
        <f t="shared" si="31"/>
        <v>0</v>
      </c>
      <c r="AF84" s="207">
        <f t="shared" si="32"/>
        <v>0</v>
      </c>
      <c r="AG84" s="208">
        <f t="shared" si="33"/>
        <v>0</v>
      </c>
      <c r="AI84" s="205" t="str">
        <f t="shared" si="34"/>
        <v>밸브설치(버터플라이)</v>
      </c>
      <c r="AJ84" s="206" t="str">
        <f t="shared" si="35"/>
        <v>200A 개소</v>
      </c>
      <c r="AK84" s="206" t="str">
        <f t="shared" si="36"/>
        <v>개소</v>
      </c>
      <c r="AL84" s="216">
        <f t="shared" si="40"/>
        <v>2</v>
      </c>
      <c r="AM84" s="217"/>
      <c r="AN84" s="207" t="str">
        <f t="shared" si="37"/>
        <v/>
      </c>
      <c r="AO84" s="221" t="str">
        <f t="shared" si="38"/>
        <v/>
      </c>
      <c r="AP84" s="221" t="str">
        <f t="shared" si="39"/>
        <v/>
      </c>
      <c r="AQ84" s="208">
        <f t="shared" si="41"/>
        <v>0</v>
      </c>
      <c r="AY84" s="1" t="s">
        <v>660</v>
      </c>
    </row>
    <row r="85" spans="1:51" ht="18" customHeight="1" x14ac:dyDescent="0.3">
      <c r="A85" s="123" t="s">
        <v>11</v>
      </c>
      <c r="B85" s="125" t="s">
        <v>1139</v>
      </c>
      <c r="C85" s="131">
        <v>20</v>
      </c>
      <c r="D85" s="122" t="s">
        <v>762</v>
      </c>
      <c r="E85" s="130" t="s">
        <v>9</v>
      </c>
      <c r="F85" s="127" t="s">
        <v>724</v>
      </c>
      <c r="G85" s="123" t="s">
        <v>726</v>
      </c>
      <c r="I85" s="120" t="s">
        <v>207</v>
      </c>
      <c r="J85" s="162">
        <v>1.31E-3</v>
      </c>
      <c r="K85" s="120" t="s">
        <v>222</v>
      </c>
      <c r="L85" s="135">
        <f t="shared" ref="L85:L131" si="42">1/6</f>
        <v>0.16666666666666666</v>
      </c>
      <c r="N85" s="13" t="s">
        <v>356</v>
      </c>
      <c r="O85" s="14" t="s">
        <v>206</v>
      </c>
      <c r="P85" s="14" t="s">
        <v>298</v>
      </c>
      <c r="Q85" s="13">
        <v>1</v>
      </c>
      <c r="R85" s="13" t="s">
        <v>251</v>
      </c>
      <c r="S85" s="14">
        <v>0</v>
      </c>
      <c r="T85" s="14">
        <v>19908448.572000001</v>
      </c>
      <c r="U85" s="14">
        <v>597253.45715999999</v>
      </c>
      <c r="V85" s="14"/>
      <c r="X85" s="3" t="s">
        <v>172</v>
      </c>
      <c r="Y85" s="3" t="s">
        <v>175</v>
      </c>
      <c r="Z85" s="2" t="s">
        <v>32</v>
      </c>
      <c r="AA85" s="146">
        <v>3</v>
      </c>
      <c r="AB85" s="148" t="s">
        <v>176</v>
      </c>
      <c r="AD85" s="205" t="str">
        <f t="shared" si="30"/>
        <v>호표326</v>
      </c>
      <c r="AE85" s="206">
        <f t="shared" si="31"/>
        <v>0</v>
      </c>
      <c r="AF85" s="207">
        <f t="shared" si="32"/>
        <v>0</v>
      </c>
      <c r="AG85" s="208">
        <f t="shared" si="33"/>
        <v>0</v>
      </c>
      <c r="AI85" s="205" t="str">
        <f t="shared" si="34"/>
        <v>밸브설치(버터플라이)</v>
      </c>
      <c r="AJ85" s="206" t="str">
        <f t="shared" si="35"/>
        <v>200A 개소</v>
      </c>
      <c r="AK85" s="206" t="str">
        <f t="shared" si="36"/>
        <v>개소</v>
      </c>
      <c r="AL85" s="216">
        <f t="shared" si="40"/>
        <v>3</v>
      </c>
      <c r="AM85" s="217"/>
      <c r="AN85" s="207" t="str">
        <f t="shared" si="37"/>
        <v/>
      </c>
      <c r="AO85" s="221" t="str">
        <f t="shared" si="38"/>
        <v/>
      </c>
      <c r="AP85" s="221" t="str">
        <f t="shared" si="39"/>
        <v/>
      </c>
      <c r="AQ85" s="208">
        <f t="shared" si="41"/>
        <v>0</v>
      </c>
      <c r="AY85" s="1" t="s">
        <v>660</v>
      </c>
    </row>
    <row r="86" spans="1:51" ht="18" customHeight="1" x14ac:dyDescent="0.3">
      <c r="A86" s="123" t="s">
        <v>749</v>
      </c>
      <c r="B86" s="125" t="s">
        <v>1139</v>
      </c>
      <c r="C86" s="131">
        <v>25</v>
      </c>
      <c r="D86" s="122" t="s">
        <v>762</v>
      </c>
      <c r="E86" s="130" t="s">
        <v>764</v>
      </c>
      <c r="F86" s="127" t="s">
        <v>724</v>
      </c>
      <c r="G86" s="123" t="s">
        <v>726</v>
      </c>
      <c r="I86" s="120" t="s">
        <v>345</v>
      </c>
      <c r="J86" s="162">
        <v>2.1800000000000001E-3</v>
      </c>
      <c r="K86" s="120" t="s">
        <v>377</v>
      </c>
      <c r="L86" s="135">
        <f t="shared" si="42"/>
        <v>0.16666666666666666</v>
      </c>
      <c r="N86" s="13" t="s">
        <v>357</v>
      </c>
      <c r="O86" s="14" t="s">
        <v>206</v>
      </c>
      <c r="P86" s="14" t="s">
        <v>300</v>
      </c>
      <c r="Q86" s="13">
        <v>1</v>
      </c>
      <c r="R86" s="13" t="s">
        <v>251</v>
      </c>
      <c r="S86" s="14">
        <v>0</v>
      </c>
      <c r="T86" s="14">
        <v>8016316</v>
      </c>
      <c r="U86" s="14">
        <v>240489.47999999998</v>
      </c>
      <c r="V86" s="14"/>
      <c r="X86" s="3" t="s">
        <v>172</v>
      </c>
      <c r="Y86" s="3" t="s">
        <v>177</v>
      </c>
      <c r="Z86" s="2" t="s">
        <v>32</v>
      </c>
      <c r="AA86" s="146">
        <v>7</v>
      </c>
      <c r="AB86" s="148" t="s">
        <v>178</v>
      </c>
      <c r="AD86" s="205" t="str">
        <f t="shared" si="30"/>
        <v>호표326</v>
      </c>
      <c r="AE86" s="206">
        <f t="shared" si="31"/>
        <v>0</v>
      </c>
      <c r="AF86" s="207">
        <f t="shared" si="32"/>
        <v>0</v>
      </c>
      <c r="AG86" s="208">
        <f t="shared" si="33"/>
        <v>0</v>
      </c>
      <c r="AI86" s="205" t="str">
        <f t="shared" si="34"/>
        <v>밸브설치(버터플라이)</v>
      </c>
      <c r="AJ86" s="206" t="str">
        <f t="shared" si="35"/>
        <v>200A 개소</v>
      </c>
      <c r="AK86" s="206" t="str">
        <f t="shared" si="36"/>
        <v>개소</v>
      </c>
      <c r="AL86" s="216">
        <f t="shared" si="40"/>
        <v>7</v>
      </c>
      <c r="AM86" s="217"/>
      <c r="AN86" s="207" t="str">
        <f t="shared" si="37"/>
        <v/>
      </c>
      <c r="AO86" s="221" t="str">
        <f t="shared" si="38"/>
        <v/>
      </c>
      <c r="AP86" s="221" t="str">
        <f t="shared" si="39"/>
        <v/>
      </c>
      <c r="AQ86" s="208">
        <f t="shared" si="41"/>
        <v>0</v>
      </c>
      <c r="AY86" s="1" t="s">
        <v>660</v>
      </c>
    </row>
    <row r="87" spans="1:51" ht="18" customHeight="1" x14ac:dyDescent="0.3">
      <c r="A87" s="123" t="s">
        <v>13</v>
      </c>
      <c r="B87" s="125" t="s">
        <v>1139</v>
      </c>
      <c r="C87" s="131">
        <v>32</v>
      </c>
      <c r="D87" s="122" t="s">
        <v>762</v>
      </c>
      <c r="E87" s="130" t="s">
        <v>12</v>
      </c>
      <c r="F87" s="127" t="s">
        <v>724</v>
      </c>
      <c r="G87" s="123" t="s">
        <v>726</v>
      </c>
      <c r="I87" s="120" t="s">
        <v>208</v>
      </c>
      <c r="J87" s="162">
        <v>2.7799999999999999E-3</v>
      </c>
      <c r="K87" s="120" t="s">
        <v>223</v>
      </c>
      <c r="L87" s="135">
        <f t="shared" si="42"/>
        <v>0.16666666666666666</v>
      </c>
      <c r="N87" s="13" t="s">
        <v>358</v>
      </c>
      <c r="O87" s="14" t="s">
        <v>206</v>
      </c>
      <c r="P87" s="14" t="s">
        <v>302</v>
      </c>
      <c r="Q87" s="13">
        <v>1</v>
      </c>
      <c r="R87" s="13" t="s">
        <v>251</v>
      </c>
      <c r="S87" s="14">
        <v>0</v>
      </c>
      <c r="T87" s="14">
        <v>7702737.2000000002</v>
      </c>
      <c r="U87" s="14">
        <v>231082.11600000001</v>
      </c>
      <c r="V87" s="14"/>
      <c r="X87" s="3" t="s">
        <v>179</v>
      </c>
      <c r="Y87" s="3" t="s">
        <v>180</v>
      </c>
      <c r="Z87" s="2" t="s">
        <v>32</v>
      </c>
      <c r="AA87" s="146">
        <v>16</v>
      </c>
      <c r="AB87" s="148" t="s">
        <v>181</v>
      </c>
      <c r="AD87" s="205" t="str">
        <f t="shared" si="30"/>
        <v>호표364</v>
      </c>
      <c r="AE87" s="206">
        <f t="shared" si="31"/>
        <v>0</v>
      </c>
      <c r="AF87" s="207">
        <f t="shared" si="32"/>
        <v>0</v>
      </c>
      <c r="AG87" s="208">
        <f t="shared" si="33"/>
        <v>0</v>
      </c>
      <c r="AI87" s="205" t="str">
        <f t="shared" si="34"/>
        <v>밸브설치(나사식)</v>
      </c>
      <c r="AJ87" s="206" t="str">
        <f t="shared" si="35"/>
        <v>25A 이하 개당</v>
      </c>
      <c r="AK87" s="206" t="str">
        <f t="shared" si="36"/>
        <v>개</v>
      </c>
      <c r="AL87" s="216">
        <f t="shared" si="40"/>
        <v>16</v>
      </c>
      <c r="AM87" s="217"/>
      <c r="AN87" s="207" t="str">
        <f t="shared" si="37"/>
        <v/>
      </c>
      <c r="AO87" s="221" t="str">
        <f t="shared" si="38"/>
        <v/>
      </c>
      <c r="AP87" s="221" t="str">
        <f t="shared" si="39"/>
        <v/>
      </c>
      <c r="AQ87" s="208">
        <f t="shared" si="41"/>
        <v>0</v>
      </c>
      <c r="AY87" s="1" t="s">
        <v>660</v>
      </c>
    </row>
    <row r="88" spans="1:51" ht="18" customHeight="1" x14ac:dyDescent="0.3">
      <c r="A88" s="123" t="s">
        <v>750</v>
      </c>
      <c r="B88" s="125" t="s">
        <v>1139</v>
      </c>
      <c r="C88" s="131">
        <v>40</v>
      </c>
      <c r="D88" s="122" t="s">
        <v>762</v>
      </c>
      <c r="E88" s="130" t="s">
        <v>765</v>
      </c>
      <c r="F88" s="127" t="s">
        <v>724</v>
      </c>
      <c r="G88" s="123" t="s">
        <v>726</v>
      </c>
      <c r="I88" s="120" t="s">
        <v>346</v>
      </c>
      <c r="J88" s="162">
        <v>3.1900000000000001E-3</v>
      </c>
      <c r="K88" s="120" t="s">
        <v>380</v>
      </c>
      <c r="L88" s="135">
        <f t="shared" si="42"/>
        <v>0.16666666666666666</v>
      </c>
      <c r="N88" s="13" t="s">
        <v>359</v>
      </c>
      <c r="O88" s="14" t="s">
        <v>206</v>
      </c>
      <c r="P88" s="14" t="s">
        <v>304</v>
      </c>
      <c r="Q88" s="13">
        <v>1</v>
      </c>
      <c r="R88" s="13" t="s">
        <v>251</v>
      </c>
      <c r="S88" s="14">
        <v>0</v>
      </c>
      <c r="T88" s="14">
        <v>7702737.2000000002</v>
      </c>
      <c r="U88" s="14">
        <v>231082.11600000001</v>
      </c>
      <c r="V88" s="14"/>
      <c r="X88" s="7" t="s">
        <v>182</v>
      </c>
      <c r="Y88" s="7" t="s">
        <v>183</v>
      </c>
      <c r="Z88" s="2" t="s">
        <v>32</v>
      </c>
      <c r="AA88" s="146">
        <v>4</v>
      </c>
      <c r="AB88" s="149" t="s">
        <v>184</v>
      </c>
      <c r="AD88" s="205" t="str">
        <f t="shared" si="30"/>
        <v/>
      </c>
      <c r="AE88" s="206" t="str">
        <f t="shared" si="31"/>
        <v/>
      </c>
      <c r="AF88" s="207" t="str">
        <f t="shared" si="32"/>
        <v/>
      </c>
      <c r="AG88" s="208" t="str">
        <f t="shared" si="33"/>
        <v/>
      </c>
      <c r="AI88" s="205" t="str">
        <f t="shared" si="34"/>
        <v/>
      </c>
      <c r="AJ88" s="206" t="str">
        <f t="shared" si="35"/>
        <v/>
      </c>
      <c r="AK88" s="206" t="str">
        <f t="shared" si="36"/>
        <v/>
      </c>
      <c r="AL88" s="216" t="str">
        <f t="shared" si="40"/>
        <v/>
      </c>
      <c r="AM88" s="217"/>
      <c r="AN88" s="207" t="str">
        <f t="shared" si="37"/>
        <v/>
      </c>
      <c r="AO88" s="221" t="str">
        <f t="shared" si="38"/>
        <v/>
      </c>
      <c r="AP88" s="221" t="str">
        <f t="shared" si="39"/>
        <v/>
      </c>
      <c r="AQ88" s="208" t="str">
        <f t="shared" si="41"/>
        <v/>
      </c>
      <c r="AT88" s="11" t="s">
        <v>660</v>
      </c>
      <c r="AU88" s="11" t="s">
        <v>660</v>
      </c>
      <c r="AV88" s="11" t="s">
        <v>660</v>
      </c>
      <c r="AW88" s="11" t="s">
        <v>660</v>
      </c>
      <c r="AY88" s="1" t="s">
        <v>660</v>
      </c>
    </row>
    <row r="89" spans="1:51" ht="18" customHeight="1" x14ac:dyDescent="0.3">
      <c r="A89" s="123" t="s">
        <v>15</v>
      </c>
      <c r="B89" s="125" t="s">
        <v>1139</v>
      </c>
      <c r="C89" s="131">
        <v>50</v>
      </c>
      <c r="D89" s="122" t="s">
        <v>762</v>
      </c>
      <c r="E89" s="130" t="s">
        <v>14</v>
      </c>
      <c r="F89" s="127" t="s">
        <v>724</v>
      </c>
      <c r="G89" s="123" t="s">
        <v>726</v>
      </c>
      <c r="I89" s="120" t="s">
        <v>209</v>
      </c>
      <c r="J89" s="162">
        <v>4.0199999999999993E-3</v>
      </c>
      <c r="K89" s="120" t="s">
        <v>224</v>
      </c>
      <c r="L89" s="135">
        <f t="shared" si="42"/>
        <v>0.16666666666666666</v>
      </c>
      <c r="N89" s="13" t="s">
        <v>360</v>
      </c>
      <c r="O89" s="14" t="s">
        <v>206</v>
      </c>
      <c r="P89" s="14" t="s">
        <v>306</v>
      </c>
      <c r="Q89" s="13">
        <v>1</v>
      </c>
      <c r="R89" s="13" t="s">
        <v>251</v>
      </c>
      <c r="S89" s="14">
        <v>0</v>
      </c>
      <c r="T89" s="14">
        <v>7702737.2000000002</v>
      </c>
      <c r="U89" s="14">
        <v>231082.11600000001</v>
      </c>
      <c r="V89" s="14"/>
      <c r="X89" s="7" t="s">
        <v>182</v>
      </c>
      <c r="Y89" s="7" t="s">
        <v>185</v>
      </c>
      <c r="Z89" s="2" t="s">
        <v>32</v>
      </c>
      <c r="AA89" s="146">
        <v>2</v>
      </c>
      <c r="AB89" s="149" t="s">
        <v>186</v>
      </c>
      <c r="AD89" s="205" t="str">
        <f t="shared" si="30"/>
        <v/>
      </c>
      <c r="AE89" s="206" t="str">
        <f t="shared" si="31"/>
        <v/>
      </c>
      <c r="AF89" s="207" t="str">
        <f t="shared" si="32"/>
        <v/>
      </c>
      <c r="AG89" s="208" t="str">
        <f t="shared" si="33"/>
        <v/>
      </c>
      <c r="AI89" s="205" t="str">
        <f t="shared" si="34"/>
        <v/>
      </c>
      <c r="AJ89" s="206" t="str">
        <f t="shared" si="35"/>
        <v/>
      </c>
      <c r="AK89" s="206" t="str">
        <f t="shared" si="36"/>
        <v/>
      </c>
      <c r="AL89" s="216" t="str">
        <f t="shared" si="40"/>
        <v/>
      </c>
      <c r="AM89" s="217"/>
      <c r="AN89" s="207" t="str">
        <f t="shared" si="37"/>
        <v/>
      </c>
      <c r="AO89" s="221" t="str">
        <f t="shared" si="38"/>
        <v/>
      </c>
      <c r="AP89" s="221" t="str">
        <f t="shared" si="39"/>
        <v/>
      </c>
      <c r="AQ89" s="208" t="str">
        <f t="shared" si="41"/>
        <v/>
      </c>
      <c r="AT89" s="11" t="s">
        <v>660</v>
      </c>
      <c r="AU89" s="11" t="s">
        <v>660</v>
      </c>
      <c r="AV89" s="11" t="s">
        <v>660</v>
      </c>
      <c r="AW89" s="11" t="s">
        <v>660</v>
      </c>
      <c r="AY89" s="1" t="s">
        <v>660</v>
      </c>
    </row>
    <row r="90" spans="1:51" ht="18" customHeight="1" x14ac:dyDescent="0.3">
      <c r="A90" s="123" t="s">
        <v>17</v>
      </c>
      <c r="B90" s="125" t="s">
        <v>1139</v>
      </c>
      <c r="C90" s="131">
        <v>65</v>
      </c>
      <c r="D90" s="122" t="s">
        <v>762</v>
      </c>
      <c r="E90" s="130" t="s">
        <v>16</v>
      </c>
      <c r="F90" s="127" t="s">
        <v>724</v>
      </c>
      <c r="G90" s="123" t="s">
        <v>726</v>
      </c>
      <c r="I90" s="120" t="s">
        <v>210</v>
      </c>
      <c r="J90" s="162">
        <v>5.4800000000000005E-3</v>
      </c>
      <c r="K90" s="120" t="s">
        <v>225</v>
      </c>
      <c r="L90" s="135">
        <f t="shared" si="42"/>
        <v>0.16666666666666666</v>
      </c>
      <c r="N90" s="13" t="s">
        <v>361</v>
      </c>
      <c r="O90" s="14" t="s">
        <v>206</v>
      </c>
      <c r="P90" s="14" t="s">
        <v>308</v>
      </c>
      <c r="Q90" s="13">
        <v>1</v>
      </c>
      <c r="R90" s="13" t="s">
        <v>251</v>
      </c>
      <c r="S90" s="14">
        <v>0</v>
      </c>
      <c r="T90" s="14">
        <v>7473699.5999999996</v>
      </c>
      <c r="U90" s="14">
        <v>224210.98799999998</v>
      </c>
      <c r="V90" s="14"/>
      <c r="X90" s="7" t="s">
        <v>182</v>
      </c>
      <c r="Y90" s="7" t="s">
        <v>187</v>
      </c>
      <c r="Z90" s="2" t="s">
        <v>32</v>
      </c>
      <c r="AA90" s="146">
        <v>9</v>
      </c>
      <c r="AB90" s="149" t="s">
        <v>188</v>
      </c>
      <c r="AD90" s="205" t="str">
        <f t="shared" si="30"/>
        <v/>
      </c>
      <c r="AE90" s="206" t="str">
        <f t="shared" si="31"/>
        <v/>
      </c>
      <c r="AF90" s="207" t="str">
        <f t="shared" si="32"/>
        <v/>
      </c>
      <c r="AG90" s="208" t="str">
        <f t="shared" si="33"/>
        <v/>
      </c>
      <c r="AI90" s="205" t="str">
        <f t="shared" si="34"/>
        <v/>
      </c>
      <c r="AJ90" s="206" t="str">
        <f t="shared" si="35"/>
        <v/>
      </c>
      <c r="AK90" s="206" t="str">
        <f t="shared" si="36"/>
        <v/>
      </c>
      <c r="AL90" s="216" t="str">
        <f t="shared" si="40"/>
        <v/>
      </c>
      <c r="AM90" s="217"/>
      <c r="AN90" s="207" t="str">
        <f t="shared" si="37"/>
        <v/>
      </c>
      <c r="AO90" s="221" t="str">
        <f t="shared" si="38"/>
        <v/>
      </c>
      <c r="AP90" s="221" t="str">
        <f t="shared" si="39"/>
        <v/>
      </c>
      <c r="AQ90" s="208" t="str">
        <f t="shared" si="41"/>
        <v/>
      </c>
      <c r="AT90" s="11" t="s">
        <v>660</v>
      </c>
      <c r="AU90" s="11" t="s">
        <v>660</v>
      </c>
      <c r="AV90" s="11" t="s">
        <v>660</v>
      </c>
      <c r="AW90" s="11" t="s">
        <v>660</v>
      </c>
      <c r="AY90" s="1" t="s">
        <v>660</v>
      </c>
    </row>
    <row r="91" spans="1:51" ht="18" customHeight="1" x14ac:dyDescent="0.3">
      <c r="A91" s="123" t="s">
        <v>19</v>
      </c>
      <c r="B91" s="125" t="s">
        <v>1139</v>
      </c>
      <c r="C91" s="131">
        <v>80</v>
      </c>
      <c r="D91" s="122" t="s">
        <v>762</v>
      </c>
      <c r="E91" s="130" t="s">
        <v>18</v>
      </c>
      <c r="F91" s="127" t="s">
        <v>724</v>
      </c>
      <c r="G91" s="123" t="s">
        <v>726</v>
      </c>
      <c r="I91" s="120" t="s">
        <v>211</v>
      </c>
      <c r="J91" s="162">
        <v>6.43E-3</v>
      </c>
      <c r="K91" s="120" t="s">
        <v>226</v>
      </c>
      <c r="L91" s="135">
        <f t="shared" si="42"/>
        <v>0.16666666666666666</v>
      </c>
      <c r="N91" s="13" t="s">
        <v>362</v>
      </c>
      <c r="O91" s="14" t="s">
        <v>206</v>
      </c>
      <c r="P91" s="14" t="s">
        <v>310</v>
      </c>
      <c r="Q91" s="13">
        <v>1</v>
      </c>
      <c r="R91" s="13" t="s">
        <v>251</v>
      </c>
      <c r="S91" s="14">
        <v>0</v>
      </c>
      <c r="T91" s="14">
        <v>7443722</v>
      </c>
      <c r="U91" s="14">
        <v>223311.66</v>
      </c>
      <c r="V91" s="14"/>
      <c r="X91" s="7" t="s">
        <v>182</v>
      </c>
      <c r="Y91" s="7" t="s">
        <v>189</v>
      </c>
      <c r="Z91" s="2" t="s">
        <v>32</v>
      </c>
      <c r="AA91" s="146">
        <v>4</v>
      </c>
      <c r="AB91" s="149" t="s">
        <v>190</v>
      </c>
      <c r="AD91" s="205" t="str">
        <f t="shared" si="30"/>
        <v/>
      </c>
      <c r="AE91" s="206" t="str">
        <f t="shared" si="31"/>
        <v/>
      </c>
      <c r="AF91" s="207" t="str">
        <f t="shared" si="32"/>
        <v/>
      </c>
      <c r="AG91" s="208" t="str">
        <f t="shared" si="33"/>
        <v/>
      </c>
      <c r="AI91" s="205" t="str">
        <f t="shared" si="34"/>
        <v/>
      </c>
      <c r="AJ91" s="206" t="str">
        <f t="shared" si="35"/>
        <v/>
      </c>
      <c r="AK91" s="206" t="str">
        <f t="shared" si="36"/>
        <v/>
      </c>
      <c r="AL91" s="216" t="str">
        <f t="shared" si="40"/>
        <v/>
      </c>
      <c r="AM91" s="217"/>
      <c r="AN91" s="207" t="str">
        <f t="shared" si="37"/>
        <v/>
      </c>
      <c r="AO91" s="221" t="str">
        <f t="shared" si="38"/>
        <v/>
      </c>
      <c r="AP91" s="221" t="str">
        <f t="shared" si="39"/>
        <v/>
      </c>
      <c r="AQ91" s="208" t="str">
        <f t="shared" si="41"/>
        <v/>
      </c>
      <c r="AT91" s="11" t="s">
        <v>660</v>
      </c>
      <c r="AU91" s="11" t="s">
        <v>660</v>
      </c>
      <c r="AV91" s="11" t="s">
        <v>660</v>
      </c>
      <c r="AW91" s="11" t="s">
        <v>660</v>
      </c>
      <c r="AY91" s="1" t="s">
        <v>660</v>
      </c>
    </row>
    <row r="92" spans="1:51" ht="18" customHeight="1" thickBot="1" x14ac:dyDescent="0.35">
      <c r="A92" s="123" t="s">
        <v>21</v>
      </c>
      <c r="B92" s="125" t="s">
        <v>1139</v>
      </c>
      <c r="C92" s="131">
        <v>100</v>
      </c>
      <c r="D92" s="122" t="s">
        <v>762</v>
      </c>
      <c r="E92" s="130" t="s">
        <v>20</v>
      </c>
      <c r="F92" s="127" t="s">
        <v>724</v>
      </c>
      <c r="G92" s="123" t="s">
        <v>726</v>
      </c>
      <c r="I92" s="120" t="s">
        <v>778</v>
      </c>
      <c r="J92" s="162">
        <v>8.320000000000001E-3</v>
      </c>
      <c r="K92" s="120" t="s">
        <v>227</v>
      </c>
      <c r="L92" s="135">
        <f t="shared" si="42"/>
        <v>0.16666666666666666</v>
      </c>
      <c r="N92" s="13" t="s">
        <v>363</v>
      </c>
      <c r="O92" s="14" t="s">
        <v>206</v>
      </c>
      <c r="P92" s="14" t="s">
        <v>312</v>
      </c>
      <c r="Q92" s="13">
        <v>1</v>
      </c>
      <c r="R92" s="13" t="s">
        <v>251</v>
      </c>
      <c r="S92" s="14">
        <v>0</v>
      </c>
      <c r="T92" s="14">
        <v>8275331.2000000002</v>
      </c>
      <c r="U92" s="14">
        <v>248259.93599999999</v>
      </c>
      <c r="V92" s="14"/>
      <c r="X92" s="7" t="s">
        <v>182</v>
      </c>
      <c r="Y92" s="7" t="s">
        <v>191</v>
      </c>
      <c r="Z92" s="2" t="s">
        <v>32</v>
      </c>
      <c r="AA92" s="146">
        <v>3</v>
      </c>
      <c r="AB92" s="150" t="s">
        <v>192</v>
      </c>
      <c r="AD92" s="209" t="str">
        <f t="shared" si="30"/>
        <v/>
      </c>
      <c r="AE92" s="210" t="str">
        <f t="shared" si="31"/>
        <v/>
      </c>
      <c r="AF92" s="211" t="str">
        <f t="shared" si="32"/>
        <v/>
      </c>
      <c r="AG92" s="212" t="str">
        <f t="shared" si="33"/>
        <v/>
      </c>
      <c r="AI92" s="209" t="str">
        <f t="shared" si="34"/>
        <v/>
      </c>
      <c r="AJ92" s="210" t="str">
        <f t="shared" si="35"/>
        <v/>
      </c>
      <c r="AK92" s="210" t="str">
        <f t="shared" si="36"/>
        <v/>
      </c>
      <c r="AL92" s="218" t="str">
        <f t="shared" si="40"/>
        <v/>
      </c>
      <c r="AM92" s="217"/>
      <c r="AN92" s="211" t="str">
        <f t="shared" si="37"/>
        <v/>
      </c>
      <c r="AO92" s="219" t="str">
        <f t="shared" si="38"/>
        <v/>
      </c>
      <c r="AP92" s="219" t="str">
        <f t="shared" si="39"/>
        <v/>
      </c>
      <c r="AQ92" s="212" t="str">
        <f t="shared" si="41"/>
        <v/>
      </c>
      <c r="AT92" s="11" t="s">
        <v>660</v>
      </c>
      <c r="AU92" s="11" t="s">
        <v>660</v>
      </c>
      <c r="AV92" s="11" t="s">
        <v>660</v>
      </c>
      <c r="AW92" s="11" t="s">
        <v>660</v>
      </c>
      <c r="AY92" s="1" t="s">
        <v>660</v>
      </c>
    </row>
    <row r="93" spans="1:51" ht="18" customHeight="1" x14ac:dyDescent="0.3">
      <c r="A93" s="123" t="s">
        <v>23</v>
      </c>
      <c r="B93" s="125" t="s">
        <v>1139</v>
      </c>
      <c r="C93" s="131">
        <v>125</v>
      </c>
      <c r="D93" s="122" t="s">
        <v>762</v>
      </c>
      <c r="E93" s="130" t="s">
        <v>22</v>
      </c>
      <c r="F93" s="127" t="s">
        <v>724</v>
      </c>
      <c r="G93" s="123" t="s">
        <v>726</v>
      </c>
      <c r="I93" s="120" t="s">
        <v>779</v>
      </c>
      <c r="J93" s="162">
        <v>1.1599999999999999E-2</v>
      </c>
      <c r="K93" s="120" t="s">
        <v>228</v>
      </c>
      <c r="L93" s="135">
        <f t="shared" si="42"/>
        <v>0.16666666666666666</v>
      </c>
      <c r="N93" s="13" t="s">
        <v>364</v>
      </c>
      <c r="O93" s="14" t="s">
        <v>206</v>
      </c>
      <c r="P93" s="14" t="s">
        <v>314</v>
      </c>
      <c r="Q93" s="13">
        <v>1</v>
      </c>
      <c r="R93" s="13" t="s">
        <v>251</v>
      </c>
      <c r="S93" s="14">
        <v>0</v>
      </c>
      <c r="T93" s="14">
        <v>7901797.2000000011</v>
      </c>
      <c r="U93" s="14">
        <v>237053.91600000003</v>
      </c>
      <c r="V93" s="14"/>
      <c r="AK93" s="11"/>
      <c r="AL93" s="18"/>
      <c r="AN93" s="11"/>
      <c r="AO93" s="11"/>
    </row>
    <row r="94" spans="1:51" ht="18" customHeight="1" x14ac:dyDescent="0.3">
      <c r="A94" s="123" t="s">
        <v>25</v>
      </c>
      <c r="B94" s="125" t="s">
        <v>1139</v>
      </c>
      <c r="C94" s="131">
        <v>150</v>
      </c>
      <c r="D94" s="122" t="s">
        <v>762</v>
      </c>
      <c r="E94" s="130" t="s">
        <v>24</v>
      </c>
      <c r="F94" s="127" t="s">
        <v>724</v>
      </c>
      <c r="G94" s="123" t="s">
        <v>726</v>
      </c>
      <c r="I94" s="120" t="s">
        <v>214</v>
      </c>
      <c r="J94" s="162">
        <v>1.3699999999999999E-2</v>
      </c>
      <c r="K94" s="120" t="s">
        <v>229</v>
      </c>
      <c r="L94" s="135">
        <f t="shared" si="42"/>
        <v>0.16666666666666666</v>
      </c>
      <c r="N94" s="13" t="s">
        <v>365</v>
      </c>
      <c r="O94" s="14" t="s">
        <v>206</v>
      </c>
      <c r="P94" s="14" t="s">
        <v>316</v>
      </c>
      <c r="Q94" s="13">
        <v>1</v>
      </c>
      <c r="R94" s="13" t="s">
        <v>251</v>
      </c>
      <c r="S94" s="14">
        <v>0</v>
      </c>
      <c r="T94" s="14">
        <v>7672759.6000000006</v>
      </c>
      <c r="U94" s="14">
        <v>230182.788</v>
      </c>
      <c r="V94" s="14"/>
      <c r="AN94" s="11"/>
      <c r="AO94" s="11"/>
    </row>
    <row r="95" spans="1:51" ht="18" customHeight="1" x14ac:dyDescent="0.3">
      <c r="A95" s="123" t="s">
        <v>27</v>
      </c>
      <c r="B95" s="125" t="s">
        <v>1139</v>
      </c>
      <c r="C95" s="131">
        <v>200</v>
      </c>
      <c r="D95" s="122" t="s">
        <v>762</v>
      </c>
      <c r="E95" s="130" t="s">
        <v>26</v>
      </c>
      <c r="F95" s="127" t="s">
        <v>724</v>
      </c>
      <c r="G95" s="123" t="s">
        <v>726</v>
      </c>
      <c r="I95" s="120" t="s">
        <v>215</v>
      </c>
      <c r="J95" s="162">
        <v>2.12E-2</v>
      </c>
      <c r="K95" s="120" t="s">
        <v>230</v>
      </c>
      <c r="L95" s="135">
        <f t="shared" si="42"/>
        <v>0.16666666666666666</v>
      </c>
      <c r="N95" s="13" t="s">
        <v>366</v>
      </c>
      <c r="O95" s="14" t="s">
        <v>206</v>
      </c>
      <c r="P95" s="14" t="s">
        <v>318</v>
      </c>
      <c r="Q95" s="13">
        <v>1</v>
      </c>
      <c r="R95" s="13" t="s">
        <v>251</v>
      </c>
      <c r="S95" s="14">
        <v>0</v>
      </c>
      <c r="T95" s="14">
        <v>7299225.5999999996</v>
      </c>
      <c r="U95" s="14">
        <v>218976.76799999998</v>
      </c>
      <c r="V95" s="14"/>
      <c r="AN95" s="11"/>
      <c r="AO95" s="11"/>
    </row>
    <row r="96" spans="1:51" ht="18" customHeight="1" x14ac:dyDescent="0.3">
      <c r="A96" s="123" t="s">
        <v>751</v>
      </c>
      <c r="B96" s="125" t="s">
        <v>1139</v>
      </c>
      <c r="C96" s="131">
        <v>250</v>
      </c>
      <c r="D96" s="122" t="s">
        <v>762</v>
      </c>
      <c r="E96" s="130" t="s">
        <v>766</v>
      </c>
      <c r="F96" s="127" t="s">
        <v>724</v>
      </c>
      <c r="G96" s="123" t="s">
        <v>726</v>
      </c>
      <c r="I96" s="120" t="s">
        <v>350</v>
      </c>
      <c r="J96" s="162">
        <v>2.6199999999999998E-2</v>
      </c>
      <c r="K96" s="120" t="s">
        <v>395</v>
      </c>
      <c r="L96" s="135">
        <f t="shared" si="42"/>
        <v>0.16666666666666666</v>
      </c>
      <c r="N96" s="13" t="s">
        <v>367</v>
      </c>
      <c r="O96" s="14" t="s">
        <v>206</v>
      </c>
      <c r="P96" s="14" t="s">
        <v>320</v>
      </c>
      <c r="Q96" s="13">
        <v>1</v>
      </c>
      <c r="R96" s="13" t="s">
        <v>251</v>
      </c>
      <c r="S96" s="14">
        <v>0</v>
      </c>
      <c r="T96" s="14">
        <v>6901105.5999999996</v>
      </c>
      <c r="U96" s="14">
        <v>207033.16799999998</v>
      </c>
      <c r="V96" s="14"/>
      <c r="AN96" s="11"/>
      <c r="AO96" s="11"/>
    </row>
    <row r="97" spans="1:41" ht="18" customHeight="1" x14ac:dyDescent="0.3">
      <c r="A97" s="123" t="s">
        <v>29</v>
      </c>
      <c r="B97" s="125" t="s">
        <v>1139</v>
      </c>
      <c r="C97" s="131">
        <v>300</v>
      </c>
      <c r="D97" s="122" t="s">
        <v>762</v>
      </c>
      <c r="E97" s="130" t="s">
        <v>28</v>
      </c>
      <c r="F97" s="127" t="s">
        <v>724</v>
      </c>
      <c r="G97" s="123" t="s">
        <v>726</v>
      </c>
      <c r="I97" s="120" t="s">
        <v>216</v>
      </c>
      <c r="J97" s="162">
        <v>3.5200000000000002E-2</v>
      </c>
      <c r="K97" s="120" t="s">
        <v>231</v>
      </c>
      <c r="L97" s="135">
        <f t="shared" si="42"/>
        <v>0.16666666666666666</v>
      </c>
      <c r="N97" s="13" t="s">
        <v>368</v>
      </c>
      <c r="O97" s="14" t="s">
        <v>221</v>
      </c>
      <c r="P97" s="14" t="s">
        <v>369</v>
      </c>
      <c r="Q97" s="13">
        <v>1</v>
      </c>
      <c r="R97" s="13" t="s">
        <v>194</v>
      </c>
      <c r="S97" s="14">
        <v>0</v>
      </c>
      <c r="T97" s="14">
        <v>0</v>
      </c>
      <c r="U97" s="14">
        <v>0</v>
      </c>
      <c r="V97" s="14"/>
      <c r="AN97" s="11"/>
      <c r="AO97" s="11"/>
    </row>
    <row r="98" spans="1:41" ht="18" customHeight="1" x14ac:dyDescent="0.3">
      <c r="A98" s="123" t="s">
        <v>752</v>
      </c>
      <c r="B98" s="125" t="s">
        <v>1139</v>
      </c>
      <c r="C98" s="131">
        <v>350</v>
      </c>
      <c r="D98" s="122" t="s">
        <v>762</v>
      </c>
      <c r="E98" s="130" t="s">
        <v>767</v>
      </c>
      <c r="F98" s="127" t="s">
        <v>724</v>
      </c>
      <c r="G98" s="123" t="s">
        <v>726</v>
      </c>
      <c r="I98" s="120" t="s">
        <v>351</v>
      </c>
      <c r="J98" s="162">
        <v>4.3700000000000003E-2</v>
      </c>
      <c r="K98" s="120" t="s">
        <v>398</v>
      </c>
      <c r="L98" s="135">
        <f t="shared" si="42"/>
        <v>0.16666666666666666</v>
      </c>
      <c r="N98" s="13" t="s">
        <v>370</v>
      </c>
      <c r="O98" s="14" t="s">
        <v>221</v>
      </c>
      <c r="P98" s="14" t="s">
        <v>371</v>
      </c>
      <c r="Q98" s="13">
        <v>1</v>
      </c>
      <c r="R98" s="13" t="s">
        <v>194</v>
      </c>
      <c r="S98" s="14">
        <v>0</v>
      </c>
      <c r="T98" s="14">
        <v>0</v>
      </c>
      <c r="U98" s="14">
        <v>0</v>
      </c>
      <c r="V98" s="14"/>
      <c r="AN98" s="11"/>
      <c r="AO98" s="11"/>
    </row>
    <row r="99" spans="1:41" ht="18" customHeight="1" x14ac:dyDescent="0.3">
      <c r="A99" s="123" t="s">
        <v>753</v>
      </c>
      <c r="B99" s="125" t="s">
        <v>1139</v>
      </c>
      <c r="C99" s="131">
        <v>400</v>
      </c>
      <c r="D99" s="122" t="s">
        <v>762</v>
      </c>
      <c r="E99" s="130" t="s">
        <v>768</v>
      </c>
      <c r="F99" s="127" t="s">
        <v>724</v>
      </c>
      <c r="G99" s="123" t="s">
        <v>726</v>
      </c>
      <c r="I99" s="120" t="s">
        <v>352</v>
      </c>
      <c r="J99" s="162">
        <v>0.05</v>
      </c>
      <c r="K99" s="120" t="s">
        <v>400</v>
      </c>
      <c r="L99" s="135">
        <f t="shared" si="42"/>
        <v>0.16666666666666666</v>
      </c>
      <c r="N99" s="13" t="s">
        <v>372</v>
      </c>
      <c r="O99" s="14" t="s">
        <v>221</v>
      </c>
      <c r="P99" s="14" t="s">
        <v>373</v>
      </c>
      <c r="Q99" s="13">
        <v>1</v>
      </c>
      <c r="R99" s="13" t="s">
        <v>194</v>
      </c>
      <c r="S99" s="14">
        <v>0</v>
      </c>
      <c r="T99" s="14">
        <v>0</v>
      </c>
      <c r="U99" s="14">
        <v>0</v>
      </c>
      <c r="V99" s="14"/>
      <c r="AN99" s="11"/>
      <c r="AO99" s="11"/>
    </row>
    <row r="100" spans="1:41" ht="18" customHeight="1" x14ac:dyDescent="0.3">
      <c r="A100" s="123" t="s">
        <v>754</v>
      </c>
      <c r="B100" s="125" t="s">
        <v>1139</v>
      </c>
      <c r="C100" s="131">
        <v>450</v>
      </c>
      <c r="D100" s="122" t="s">
        <v>762</v>
      </c>
      <c r="E100" s="130" t="s">
        <v>769</v>
      </c>
      <c r="F100" s="127" t="s">
        <v>724</v>
      </c>
      <c r="G100" s="123" t="s">
        <v>726</v>
      </c>
      <c r="I100" s="120" t="s">
        <v>353</v>
      </c>
      <c r="J100" s="162">
        <v>5.6320000000000002E-2</v>
      </c>
      <c r="K100" s="120" t="s">
        <v>402</v>
      </c>
      <c r="L100" s="135">
        <f t="shared" si="42"/>
        <v>0.16666666666666666</v>
      </c>
      <c r="N100" s="13" t="s">
        <v>374</v>
      </c>
      <c r="O100" s="14" t="s">
        <v>221</v>
      </c>
      <c r="P100" s="14" t="s">
        <v>375</v>
      </c>
      <c r="Q100" s="13">
        <v>1</v>
      </c>
      <c r="R100" s="13" t="s">
        <v>194</v>
      </c>
      <c r="S100" s="14">
        <v>456.49542857142853</v>
      </c>
      <c r="T100" s="14">
        <v>0</v>
      </c>
      <c r="U100" s="14">
        <v>0</v>
      </c>
      <c r="V100" s="14"/>
      <c r="AN100" s="11"/>
      <c r="AO100" s="11"/>
    </row>
    <row r="101" spans="1:41" ht="18" customHeight="1" x14ac:dyDescent="0.3">
      <c r="A101" s="123" t="s">
        <v>755</v>
      </c>
      <c r="B101" s="125" t="s">
        <v>1139</v>
      </c>
      <c r="C101" s="131">
        <v>500</v>
      </c>
      <c r="D101" s="122" t="s">
        <v>762</v>
      </c>
      <c r="E101" s="130" t="s">
        <v>770</v>
      </c>
      <c r="F101" s="127" t="s">
        <v>724</v>
      </c>
      <c r="G101" s="123" t="s">
        <v>726</v>
      </c>
      <c r="I101" s="120" t="s">
        <v>354</v>
      </c>
      <c r="J101" s="162">
        <v>6.88E-2</v>
      </c>
      <c r="K101" s="120" t="s">
        <v>404</v>
      </c>
      <c r="L101" s="135">
        <f t="shared" si="42"/>
        <v>0.16666666666666666</v>
      </c>
      <c r="N101" s="13" t="s">
        <v>222</v>
      </c>
      <c r="O101" s="14" t="s">
        <v>221</v>
      </c>
      <c r="P101" s="14" t="s">
        <v>376</v>
      </c>
      <c r="Q101" s="13">
        <v>1</v>
      </c>
      <c r="R101" s="13" t="s">
        <v>194</v>
      </c>
      <c r="S101" s="14">
        <v>707.70171428571416</v>
      </c>
      <c r="T101" s="14">
        <v>0</v>
      </c>
      <c r="U101" s="14">
        <v>0</v>
      </c>
      <c r="V101" s="14"/>
      <c r="AN101" s="11"/>
      <c r="AO101" s="11"/>
    </row>
    <row r="102" spans="1:41" ht="18" customHeight="1" x14ac:dyDescent="0.3">
      <c r="A102" s="123" t="s">
        <v>756</v>
      </c>
      <c r="B102" s="125" t="s">
        <v>1139</v>
      </c>
      <c r="C102" s="131">
        <v>550</v>
      </c>
      <c r="D102" s="122" t="s">
        <v>762</v>
      </c>
      <c r="E102" s="130" t="s">
        <v>771</v>
      </c>
      <c r="F102" s="127" t="s">
        <v>724</v>
      </c>
      <c r="G102" s="123" t="s">
        <v>726</v>
      </c>
      <c r="I102" s="120" t="s">
        <v>355</v>
      </c>
      <c r="J102" s="162">
        <v>7.5799999999999992E-2</v>
      </c>
      <c r="K102" s="120" t="s">
        <v>406</v>
      </c>
      <c r="L102" s="135">
        <f t="shared" si="42"/>
        <v>0.16666666666666666</v>
      </c>
      <c r="N102" s="13" t="s">
        <v>377</v>
      </c>
      <c r="O102" s="14" t="s">
        <v>221</v>
      </c>
      <c r="P102" s="14" t="s">
        <v>378</v>
      </c>
      <c r="Q102" s="13">
        <v>1</v>
      </c>
      <c r="R102" s="13" t="s">
        <v>194</v>
      </c>
      <c r="S102" s="14">
        <v>988.0542857142857</v>
      </c>
      <c r="T102" s="14">
        <v>0</v>
      </c>
      <c r="U102" s="14">
        <v>0</v>
      </c>
      <c r="V102" s="14"/>
      <c r="AN102" s="11"/>
      <c r="AO102" s="11"/>
    </row>
    <row r="103" spans="1:41" ht="18" customHeight="1" x14ac:dyDescent="0.3">
      <c r="A103" s="123" t="s">
        <v>757</v>
      </c>
      <c r="B103" s="125" t="s">
        <v>1139</v>
      </c>
      <c r="C103" s="131">
        <v>600</v>
      </c>
      <c r="D103" s="122" t="s">
        <v>762</v>
      </c>
      <c r="E103" s="130" t="s">
        <v>772</v>
      </c>
      <c r="F103" s="127" t="s">
        <v>724</v>
      </c>
      <c r="G103" s="123" t="s">
        <v>726</v>
      </c>
      <c r="I103" s="120" t="s">
        <v>356</v>
      </c>
      <c r="J103" s="162">
        <v>9.7700000000000009E-2</v>
      </c>
      <c r="K103" s="120" t="s">
        <v>408</v>
      </c>
      <c r="L103" s="135">
        <f t="shared" si="42"/>
        <v>0.16666666666666666</v>
      </c>
      <c r="N103" s="13" t="s">
        <v>223</v>
      </c>
      <c r="O103" s="14" t="s">
        <v>221</v>
      </c>
      <c r="P103" s="14" t="s">
        <v>379</v>
      </c>
      <c r="Q103" s="13">
        <v>1</v>
      </c>
      <c r="R103" s="13" t="s">
        <v>194</v>
      </c>
      <c r="S103" s="14">
        <v>1582.722857142857</v>
      </c>
      <c r="T103" s="14">
        <v>0</v>
      </c>
      <c r="U103" s="14">
        <v>0</v>
      </c>
      <c r="V103" s="14"/>
      <c r="AN103" s="11"/>
      <c r="AO103" s="11"/>
    </row>
    <row r="104" spans="1:41" ht="18" customHeight="1" x14ac:dyDescent="0.3">
      <c r="A104" s="123" t="s">
        <v>758</v>
      </c>
      <c r="B104" s="125" t="s">
        <v>1139</v>
      </c>
      <c r="C104" s="131">
        <v>650</v>
      </c>
      <c r="D104" s="122" t="s">
        <v>762</v>
      </c>
      <c r="E104" s="130" t="s">
        <v>773</v>
      </c>
      <c r="F104" s="127" t="s">
        <v>724</v>
      </c>
      <c r="G104" s="123" t="s">
        <v>726</v>
      </c>
      <c r="I104" s="120" t="s">
        <v>357</v>
      </c>
      <c r="J104" s="162">
        <v>0.13</v>
      </c>
      <c r="K104" s="120" t="s">
        <v>410</v>
      </c>
      <c r="L104" s="135">
        <f t="shared" si="42"/>
        <v>0.16666666666666666</v>
      </c>
      <c r="N104" s="13" t="s">
        <v>380</v>
      </c>
      <c r="O104" s="14" t="s">
        <v>221</v>
      </c>
      <c r="P104" s="14" t="s">
        <v>381</v>
      </c>
      <c r="Q104" s="13">
        <v>1</v>
      </c>
      <c r="R104" s="13" t="s">
        <v>194</v>
      </c>
      <c r="S104" s="14">
        <v>2190.1885714285713</v>
      </c>
      <c r="T104" s="14">
        <v>0</v>
      </c>
      <c r="U104" s="14">
        <v>0</v>
      </c>
      <c r="V104" s="14"/>
      <c r="AN104" s="11"/>
      <c r="AO104" s="11"/>
    </row>
    <row r="105" spans="1:41" ht="18" customHeight="1" x14ac:dyDescent="0.3">
      <c r="A105" s="123" t="s">
        <v>759</v>
      </c>
      <c r="B105" s="125" t="s">
        <v>1139</v>
      </c>
      <c r="C105" s="131">
        <v>700</v>
      </c>
      <c r="D105" s="122" t="s">
        <v>762</v>
      </c>
      <c r="E105" s="130" t="s">
        <v>774</v>
      </c>
      <c r="F105" s="127" t="s">
        <v>724</v>
      </c>
      <c r="G105" s="123" t="s">
        <v>726</v>
      </c>
      <c r="I105" s="120" t="s">
        <v>358</v>
      </c>
      <c r="J105" s="162">
        <v>0.14000000000000001</v>
      </c>
      <c r="K105" s="120" t="s">
        <v>412</v>
      </c>
      <c r="L105" s="135">
        <f t="shared" si="42"/>
        <v>0.16666666666666666</v>
      </c>
      <c r="N105" s="13" t="s">
        <v>224</v>
      </c>
      <c r="O105" s="14" t="s">
        <v>221</v>
      </c>
      <c r="P105" s="14" t="s">
        <v>382</v>
      </c>
      <c r="Q105" s="13">
        <v>1</v>
      </c>
      <c r="R105" s="13" t="s">
        <v>194</v>
      </c>
      <c r="S105" s="14">
        <v>3951.2759999999998</v>
      </c>
      <c r="T105" s="14">
        <v>0</v>
      </c>
      <c r="U105" s="14">
        <v>0</v>
      </c>
      <c r="V105" s="14"/>
      <c r="AN105" s="11"/>
      <c r="AO105" s="11"/>
    </row>
    <row r="106" spans="1:41" ht="18" customHeight="1" x14ac:dyDescent="0.3">
      <c r="A106" s="123" t="s">
        <v>760</v>
      </c>
      <c r="B106" s="125" t="s">
        <v>1139</v>
      </c>
      <c r="C106" s="131">
        <v>750</v>
      </c>
      <c r="D106" s="122" t="s">
        <v>762</v>
      </c>
      <c r="E106" s="130" t="s">
        <v>775</v>
      </c>
      <c r="F106" s="127" t="s">
        <v>724</v>
      </c>
      <c r="G106" s="123" t="s">
        <v>726</v>
      </c>
      <c r="I106" s="120" t="s">
        <v>359</v>
      </c>
      <c r="J106" s="162">
        <v>0.18099999999999999</v>
      </c>
      <c r="K106" s="120" t="s">
        <v>414</v>
      </c>
      <c r="L106" s="135">
        <f t="shared" si="42"/>
        <v>0.16666666666666666</v>
      </c>
      <c r="N106" s="13" t="s">
        <v>225</v>
      </c>
      <c r="O106" s="14" t="s">
        <v>221</v>
      </c>
      <c r="P106" s="14" t="s">
        <v>383</v>
      </c>
      <c r="Q106" s="13">
        <v>1</v>
      </c>
      <c r="R106" s="13" t="s">
        <v>194</v>
      </c>
      <c r="S106" s="14">
        <v>4981.0302857142851</v>
      </c>
      <c r="T106" s="14">
        <v>0</v>
      </c>
      <c r="U106" s="14">
        <v>0</v>
      </c>
      <c r="V106" s="14"/>
      <c r="AN106" s="11"/>
      <c r="AO106" s="11"/>
    </row>
    <row r="107" spans="1:41" ht="18" customHeight="1" x14ac:dyDescent="0.3">
      <c r="A107" s="123" t="s">
        <v>761</v>
      </c>
      <c r="B107" s="125" t="s">
        <v>1139</v>
      </c>
      <c r="C107" s="131">
        <v>800</v>
      </c>
      <c r="D107" s="122" t="s">
        <v>762</v>
      </c>
      <c r="E107" s="130" t="s">
        <v>776</v>
      </c>
      <c r="F107" s="127" t="s">
        <v>724</v>
      </c>
      <c r="G107" s="123" t="s">
        <v>726</v>
      </c>
      <c r="I107" s="120" t="s">
        <v>360</v>
      </c>
      <c r="J107" s="162">
        <v>0.16</v>
      </c>
      <c r="K107" s="120" t="s">
        <v>416</v>
      </c>
      <c r="L107" s="135">
        <f t="shared" si="42"/>
        <v>0.16666666666666666</v>
      </c>
      <c r="N107" s="13" t="s">
        <v>226</v>
      </c>
      <c r="O107" s="14" t="s">
        <v>221</v>
      </c>
      <c r="P107" s="14" t="s">
        <v>384</v>
      </c>
      <c r="Q107" s="13">
        <v>1</v>
      </c>
      <c r="R107" s="13" t="s">
        <v>194</v>
      </c>
      <c r="S107" s="14">
        <v>6281.0811428571433</v>
      </c>
      <c r="T107" s="14">
        <v>0</v>
      </c>
      <c r="U107" s="14">
        <v>0</v>
      </c>
      <c r="V107" s="14"/>
      <c r="AN107" s="11"/>
      <c r="AO107" s="11"/>
    </row>
    <row r="108" spans="1:41" ht="18" customHeight="1" x14ac:dyDescent="0.3">
      <c r="A108" s="123" t="s">
        <v>780</v>
      </c>
      <c r="B108" s="125" t="s">
        <v>1140</v>
      </c>
      <c r="C108" s="131">
        <v>15</v>
      </c>
      <c r="D108" s="122" t="s">
        <v>762</v>
      </c>
      <c r="E108" s="130" t="s">
        <v>763</v>
      </c>
      <c r="F108" s="127" t="s">
        <v>724</v>
      </c>
      <c r="G108" s="123" t="s">
        <v>726</v>
      </c>
      <c r="I108" s="120" t="s">
        <v>777</v>
      </c>
      <c r="J108" s="162">
        <v>1.0300000000000001E-3</v>
      </c>
      <c r="K108" s="120" t="s">
        <v>374</v>
      </c>
      <c r="L108" s="135">
        <f t="shared" si="42"/>
        <v>0.16666666666666666</v>
      </c>
      <c r="N108" s="13" t="s">
        <v>385</v>
      </c>
      <c r="O108" s="14" t="s">
        <v>221</v>
      </c>
      <c r="P108" s="14" t="s">
        <v>386</v>
      </c>
      <c r="Q108" s="13">
        <v>1</v>
      </c>
      <c r="R108" s="13" t="s">
        <v>194</v>
      </c>
      <c r="S108" s="14">
        <v>7713.644571428571</v>
      </c>
      <c r="T108" s="14">
        <v>0</v>
      </c>
      <c r="U108" s="14">
        <v>0</v>
      </c>
      <c r="V108" s="14"/>
      <c r="AN108" s="11"/>
      <c r="AO108" s="11"/>
    </row>
    <row r="109" spans="1:41" ht="18" customHeight="1" x14ac:dyDescent="0.3">
      <c r="A109" s="123" t="s">
        <v>781</v>
      </c>
      <c r="B109" s="125" t="s">
        <v>1140</v>
      </c>
      <c r="C109" s="131">
        <v>20</v>
      </c>
      <c r="D109" s="122" t="s">
        <v>762</v>
      </c>
      <c r="E109" s="130" t="s">
        <v>9</v>
      </c>
      <c r="F109" s="127" t="s">
        <v>724</v>
      </c>
      <c r="G109" s="123" t="s">
        <v>726</v>
      </c>
      <c r="I109" s="120" t="s">
        <v>207</v>
      </c>
      <c r="J109" s="162">
        <v>1.32E-3</v>
      </c>
      <c r="K109" s="120" t="s">
        <v>222</v>
      </c>
      <c r="L109" s="135">
        <f t="shared" si="42"/>
        <v>0.16666666666666666</v>
      </c>
      <c r="N109" s="13" t="s">
        <v>227</v>
      </c>
      <c r="O109" s="14" t="s">
        <v>221</v>
      </c>
      <c r="P109" s="14" t="s">
        <v>387</v>
      </c>
      <c r="Q109" s="13">
        <v>1</v>
      </c>
      <c r="R109" s="13" t="s">
        <v>194</v>
      </c>
      <c r="S109" s="14">
        <v>11555.504571428572</v>
      </c>
      <c r="T109" s="14">
        <v>0</v>
      </c>
      <c r="U109" s="14">
        <v>0</v>
      </c>
      <c r="V109" s="14"/>
      <c r="AN109" s="11"/>
      <c r="AO109" s="11"/>
    </row>
    <row r="110" spans="1:41" ht="18" customHeight="1" x14ac:dyDescent="0.3">
      <c r="A110" s="123" t="s">
        <v>782</v>
      </c>
      <c r="B110" s="125" t="s">
        <v>1140</v>
      </c>
      <c r="C110" s="131">
        <v>25</v>
      </c>
      <c r="D110" s="122" t="s">
        <v>762</v>
      </c>
      <c r="E110" s="130" t="s">
        <v>764</v>
      </c>
      <c r="F110" s="127" t="s">
        <v>724</v>
      </c>
      <c r="G110" s="123" t="s">
        <v>726</v>
      </c>
      <c r="I110" s="120" t="s">
        <v>345</v>
      </c>
      <c r="J110" s="162">
        <v>2.1900000000000001E-3</v>
      </c>
      <c r="K110" s="120" t="s">
        <v>377</v>
      </c>
      <c r="L110" s="135">
        <f t="shared" si="42"/>
        <v>0.16666666666666666</v>
      </c>
      <c r="N110" s="13" t="s">
        <v>228</v>
      </c>
      <c r="O110" s="14" t="s">
        <v>221</v>
      </c>
      <c r="P110" s="14" t="s">
        <v>388</v>
      </c>
      <c r="Q110" s="13">
        <v>1</v>
      </c>
      <c r="R110" s="13" t="s">
        <v>194</v>
      </c>
      <c r="S110" s="14">
        <v>14475.517714285714</v>
      </c>
      <c r="T110" s="14">
        <v>0</v>
      </c>
      <c r="U110" s="14">
        <v>0</v>
      </c>
      <c r="V110" s="14"/>
      <c r="AN110" s="11"/>
      <c r="AO110" s="11"/>
    </row>
    <row r="111" spans="1:41" ht="18" customHeight="1" x14ac:dyDescent="0.3">
      <c r="A111" s="123" t="s">
        <v>783</v>
      </c>
      <c r="B111" s="125" t="s">
        <v>1140</v>
      </c>
      <c r="C111" s="131">
        <v>32</v>
      </c>
      <c r="D111" s="122" t="s">
        <v>762</v>
      </c>
      <c r="E111" s="130" t="s">
        <v>12</v>
      </c>
      <c r="F111" s="127" t="s">
        <v>724</v>
      </c>
      <c r="G111" s="123" t="s">
        <v>726</v>
      </c>
      <c r="I111" s="120" t="s">
        <v>208</v>
      </c>
      <c r="J111" s="162">
        <v>2.8E-3</v>
      </c>
      <c r="K111" s="120" t="s">
        <v>223</v>
      </c>
      <c r="L111" s="135">
        <f t="shared" si="42"/>
        <v>0.16666666666666666</v>
      </c>
      <c r="N111" s="13" t="s">
        <v>229</v>
      </c>
      <c r="O111" s="14" t="s">
        <v>221</v>
      </c>
      <c r="P111" s="14" t="s">
        <v>389</v>
      </c>
      <c r="Q111" s="13">
        <v>1</v>
      </c>
      <c r="R111" s="13" t="s">
        <v>194</v>
      </c>
      <c r="S111" s="14">
        <v>24353.723999999995</v>
      </c>
      <c r="T111" s="14">
        <v>0</v>
      </c>
      <c r="U111" s="14">
        <v>0</v>
      </c>
      <c r="V111" s="14"/>
      <c r="AN111" s="11"/>
      <c r="AO111" s="11"/>
    </row>
    <row r="112" spans="1:41" ht="18" customHeight="1" x14ac:dyDescent="0.3">
      <c r="A112" s="123" t="s">
        <v>784</v>
      </c>
      <c r="B112" s="125" t="s">
        <v>1140</v>
      </c>
      <c r="C112" s="131">
        <v>40</v>
      </c>
      <c r="D112" s="122" t="s">
        <v>762</v>
      </c>
      <c r="E112" s="130" t="s">
        <v>765</v>
      </c>
      <c r="F112" s="127" t="s">
        <v>724</v>
      </c>
      <c r="G112" s="123" t="s">
        <v>726</v>
      </c>
      <c r="I112" s="120" t="s">
        <v>346</v>
      </c>
      <c r="J112" s="162">
        <v>3.2100000000000002E-3</v>
      </c>
      <c r="K112" s="120" t="s">
        <v>380</v>
      </c>
      <c r="L112" s="135">
        <f t="shared" si="42"/>
        <v>0.16666666666666666</v>
      </c>
      <c r="N112" s="13" t="s">
        <v>390</v>
      </c>
      <c r="O112" s="14" t="s">
        <v>221</v>
      </c>
      <c r="P112" s="14" t="s">
        <v>391</v>
      </c>
      <c r="Q112" s="13">
        <v>1</v>
      </c>
      <c r="R112" s="13" t="s">
        <v>194</v>
      </c>
      <c r="S112" s="14">
        <v>0</v>
      </c>
      <c r="T112" s="14">
        <v>0</v>
      </c>
      <c r="U112" s="14">
        <v>0</v>
      </c>
      <c r="V112" s="14"/>
      <c r="AN112" s="11"/>
      <c r="AO112" s="11"/>
    </row>
    <row r="113" spans="1:41" ht="18" customHeight="1" x14ac:dyDescent="0.3">
      <c r="A113" s="123" t="s">
        <v>785</v>
      </c>
      <c r="B113" s="125" t="s">
        <v>1140</v>
      </c>
      <c r="C113" s="131">
        <v>50</v>
      </c>
      <c r="D113" s="122" t="s">
        <v>762</v>
      </c>
      <c r="E113" s="130" t="s">
        <v>14</v>
      </c>
      <c r="F113" s="127" t="s">
        <v>724</v>
      </c>
      <c r="G113" s="123" t="s">
        <v>726</v>
      </c>
      <c r="I113" s="120" t="s">
        <v>209</v>
      </c>
      <c r="J113" s="162">
        <v>4.0499999999999998E-3</v>
      </c>
      <c r="K113" s="120" t="s">
        <v>224</v>
      </c>
      <c r="L113" s="135">
        <f t="shared" si="42"/>
        <v>0.16666666666666666</v>
      </c>
      <c r="N113" s="13" t="s">
        <v>230</v>
      </c>
      <c r="O113" s="14" t="s">
        <v>221</v>
      </c>
      <c r="P113" s="14" t="s">
        <v>392</v>
      </c>
      <c r="Q113" s="13">
        <v>1</v>
      </c>
      <c r="R113" s="13" t="s">
        <v>194</v>
      </c>
      <c r="S113" s="14">
        <v>34745.631428571432</v>
      </c>
      <c r="T113" s="14">
        <v>0</v>
      </c>
      <c r="U113" s="14">
        <v>0</v>
      </c>
      <c r="V113" s="14"/>
      <c r="AN113" s="11"/>
      <c r="AO113" s="11"/>
    </row>
    <row r="114" spans="1:41" ht="18" customHeight="1" x14ac:dyDescent="0.3">
      <c r="A114" s="123" t="s">
        <v>786</v>
      </c>
      <c r="B114" s="125" t="s">
        <v>1140</v>
      </c>
      <c r="C114" s="131">
        <v>65</v>
      </c>
      <c r="D114" s="122" t="s">
        <v>762</v>
      </c>
      <c r="E114" s="130" t="s">
        <v>16</v>
      </c>
      <c r="F114" s="127" t="s">
        <v>724</v>
      </c>
      <c r="G114" s="123" t="s">
        <v>726</v>
      </c>
      <c r="I114" s="120" t="s">
        <v>210</v>
      </c>
      <c r="J114" s="162">
        <v>5.5100000000000001E-3</v>
      </c>
      <c r="K114" s="120" t="s">
        <v>225</v>
      </c>
      <c r="L114" s="135">
        <f t="shared" si="42"/>
        <v>0.16666666666666666</v>
      </c>
      <c r="N114" s="13" t="s">
        <v>393</v>
      </c>
      <c r="O114" s="14" t="s">
        <v>221</v>
      </c>
      <c r="P114" s="14" t="s">
        <v>394</v>
      </c>
      <c r="Q114" s="13">
        <v>1</v>
      </c>
      <c r="R114" s="13" t="s">
        <v>194</v>
      </c>
      <c r="S114" s="14">
        <v>0</v>
      </c>
      <c r="T114" s="14">
        <v>0</v>
      </c>
      <c r="U114" s="14">
        <v>0</v>
      </c>
      <c r="V114" s="14"/>
      <c r="AN114" s="11"/>
      <c r="AO114" s="11"/>
    </row>
    <row r="115" spans="1:41" ht="18" customHeight="1" x14ac:dyDescent="0.3">
      <c r="A115" s="123" t="s">
        <v>787</v>
      </c>
      <c r="B115" s="125" t="s">
        <v>1140</v>
      </c>
      <c r="C115" s="131">
        <v>80</v>
      </c>
      <c r="D115" s="122" t="s">
        <v>762</v>
      </c>
      <c r="E115" s="130" t="s">
        <v>18</v>
      </c>
      <c r="F115" s="127" t="s">
        <v>724</v>
      </c>
      <c r="G115" s="123" t="s">
        <v>726</v>
      </c>
      <c r="I115" s="120" t="s">
        <v>211</v>
      </c>
      <c r="J115" s="162">
        <v>6.4800000000000005E-3</v>
      </c>
      <c r="K115" s="120" t="s">
        <v>226</v>
      </c>
      <c r="L115" s="135">
        <f t="shared" si="42"/>
        <v>0.16666666666666666</v>
      </c>
      <c r="N115" s="13" t="s">
        <v>395</v>
      </c>
      <c r="O115" s="14" t="s">
        <v>221</v>
      </c>
      <c r="P115" s="14" t="s">
        <v>396</v>
      </c>
      <c r="Q115" s="13">
        <v>1</v>
      </c>
      <c r="R115" s="13" t="s">
        <v>194</v>
      </c>
      <c r="S115" s="14">
        <v>47034.025714285715</v>
      </c>
      <c r="T115" s="14">
        <v>0</v>
      </c>
      <c r="U115" s="14">
        <v>0</v>
      </c>
      <c r="V115" s="14"/>
      <c r="AN115" s="11"/>
      <c r="AO115" s="11"/>
    </row>
    <row r="116" spans="1:41" ht="18" customHeight="1" x14ac:dyDescent="0.3">
      <c r="A116" s="123" t="s">
        <v>788</v>
      </c>
      <c r="B116" s="125" t="s">
        <v>1140</v>
      </c>
      <c r="C116" s="131">
        <v>100</v>
      </c>
      <c r="D116" s="122" t="s">
        <v>762</v>
      </c>
      <c r="E116" s="130" t="s">
        <v>20</v>
      </c>
      <c r="F116" s="127" t="s">
        <v>724</v>
      </c>
      <c r="G116" s="123" t="s">
        <v>726</v>
      </c>
      <c r="I116" s="120" t="s">
        <v>778</v>
      </c>
      <c r="J116" s="162">
        <v>8.369999999999999E-3</v>
      </c>
      <c r="K116" s="120" t="s">
        <v>227</v>
      </c>
      <c r="L116" s="135">
        <f t="shared" si="42"/>
        <v>0.16666666666666666</v>
      </c>
      <c r="N116" s="13" t="s">
        <v>231</v>
      </c>
      <c r="O116" s="14" t="s">
        <v>221</v>
      </c>
      <c r="P116" s="14" t="s">
        <v>397</v>
      </c>
      <c r="Q116" s="13">
        <v>1</v>
      </c>
      <c r="R116" s="13" t="s">
        <v>194</v>
      </c>
      <c r="S116" s="14">
        <v>0</v>
      </c>
      <c r="T116" s="14">
        <v>0</v>
      </c>
      <c r="U116" s="14">
        <v>0</v>
      </c>
      <c r="V116" s="14"/>
      <c r="AN116" s="11"/>
      <c r="AO116" s="11"/>
    </row>
    <row r="117" spans="1:41" ht="18" customHeight="1" x14ac:dyDescent="0.3">
      <c r="A117" s="123" t="s">
        <v>789</v>
      </c>
      <c r="B117" s="125" t="s">
        <v>1140</v>
      </c>
      <c r="C117" s="131">
        <v>125</v>
      </c>
      <c r="D117" s="122" t="s">
        <v>762</v>
      </c>
      <c r="E117" s="130" t="s">
        <v>22</v>
      </c>
      <c r="F117" s="127" t="s">
        <v>724</v>
      </c>
      <c r="G117" s="123" t="s">
        <v>726</v>
      </c>
      <c r="I117" s="120" t="s">
        <v>779</v>
      </c>
      <c r="J117" s="162">
        <v>1.1599999999999999E-2</v>
      </c>
      <c r="K117" s="120" t="s">
        <v>228</v>
      </c>
      <c r="L117" s="135">
        <f t="shared" si="42"/>
        <v>0.16666666666666666</v>
      </c>
      <c r="N117" s="13" t="s">
        <v>398</v>
      </c>
      <c r="O117" s="14" t="s">
        <v>221</v>
      </c>
      <c r="P117" s="14" t="s">
        <v>399</v>
      </c>
      <c r="Q117" s="13">
        <v>1</v>
      </c>
      <c r="R117" s="13" t="s">
        <v>194</v>
      </c>
      <c r="S117" s="14">
        <v>0</v>
      </c>
      <c r="T117" s="14">
        <v>0</v>
      </c>
      <c r="U117" s="14">
        <v>0</v>
      </c>
      <c r="V117" s="14"/>
      <c r="AN117" s="11"/>
      <c r="AO117" s="11"/>
    </row>
    <row r="118" spans="1:41" ht="18" customHeight="1" x14ac:dyDescent="0.3">
      <c r="A118" s="123" t="s">
        <v>790</v>
      </c>
      <c r="B118" s="125" t="s">
        <v>1140</v>
      </c>
      <c r="C118" s="131">
        <v>150</v>
      </c>
      <c r="D118" s="122" t="s">
        <v>762</v>
      </c>
      <c r="E118" s="130" t="s">
        <v>24</v>
      </c>
      <c r="F118" s="127" t="s">
        <v>724</v>
      </c>
      <c r="G118" s="123" t="s">
        <v>726</v>
      </c>
      <c r="I118" s="120" t="s">
        <v>214</v>
      </c>
      <c r="J118" s="162">
        <v>1.3800000000000002E-2</v>
      </c>
      <c r="K118" s="120" t="s">
        <v>229</v>
      </c>
      <c r="L118" s="135">
        <f t="shared" si="42"/>
        <v>0.16666666666666666</v>
      </c>
      <c r="N118" s="13" t="s">
        <v>400</v>
      </c>
      <c r="O118" s="14" t="s">
        <v>221</v>
      </c>
      <c r="P118" s="14" t="s">
        <v>401</v>
      </c>
      <c r="Q118" s="13">
        <v>1</v>
      </c>
      <c r="R118" s="13" t="s">
        <v>194</v>
      </c>
      <c r="S118" s="14">
        <v>0</v>
      </c>
      <c r="T118" s="14">
        <v>0</v>
      </c>
      <c r="U118" s="14">
        <v>0</v>
      </c>
      <c r="V118" s="14"/>
      <c r="AN118" s="11"/>
      <c r="AO118" s="11"/>
    </row>
    <row r="119" spans="1:41" ht="18" customHeight="1" x14ac:dyDescent="0.3">
      <c r="A119" s="123" t="s">
        <v>791</v>
      </c>
      <c r="B119" s="125" t="s">
        <v>1140</v>
      </c>
      <c r="C119" s="131">
        <v>200</v>
      </c>
      <c r="D119" s="122" t="s">
        <v>762</v>
      </c>
      <c r="E119" s="130" t="s">
        <v>26</v>
      </c>
      <c r="F119" s="127" t="s">
        <v>724</v>
      </c>
      <c r="G119" s="123" t="s">
        <v>726</v>
      </c>
      <c r="I119" s="120" t="s">
        <v>215</v>
      </c>
      <c r="J119" s="162">
        <v>2.1299999999999999E-2</v>
      </c>
      <c r="K119" s="120" t="s">
        <v>230</v>
      </c>
      <c r="L119" s="135">
        <f t="shared" si="42"/>
        <v>0.16666666666666666</v>
      </c>
      <c r="N119" s="13" t="s">
        <v>402</v>
      </c>
      <c r="O119" s="14" t="s">
        <v>221</v>
      </c>
      <c r="P119" s="14" t="s">
        <v>403</v>
      </c>
      <c r="Q119" s="13">
        <v>1</v>
      </c>
      <c r="R119" s="13" t="s">
        <v>194</v>
      </c>
      <c r="S119" s="14">
        <v>0</v>
      </c>
      <c r="T119" s="14">
        <v>0</v>
      </c>
      <c r="U119" s="14">
        <v>0</v>
      </c>
      <c r="V119" s="14"/>
      <c r="AN119" s="11"/>
      <c r="AO119" s="11"/>
    </row>
    <row r="120" spans="1:41" ht="18" customHeight="1" x14ac:dyDescent="0.3">
      <c r="A120" s="123" t="s">
        <v>792</v>
      </c>
      <c r="B120" s="125" t="s">
        <v>1140</v>
      </c>
      <c r="C120" s="131">
        <v>250</v>
      </c>
      <c r="D120" s="122" t="s">
        <v>762</v>
      </c>
      <c r="E120" s="130" t="s">
        <v>766</v>
      </c>
      <c r="F120" s="127" t="s">
        <v>724</v>
      </c>
      <c r="G120" s="123" t="s">
        <v>726</v>
      </c>
      <c r="I120" s="120" t="s">
        <v>350</v>
      </c>
      <c r="J120" s="162">
        <v>2.64E-2</v>
      </c>
      <c r="K120" s="120" t="s">
        <v>395</v>
      </c>
      <c r="L120" s="135">
        <f t="shared" si="42"/>
        <v>0.16666666666666666</v>
      </c>
      <c r="N120" s="13" t="s">
        <v>404</v>
      </c>
      <c r="O120" s="14" t="s">
        <v>221</v>
      </c>
      <c r="P120" s="14" t="s">
        <v>405</v>
      </c>
      <c r="Q120" s="13">
        <v>1</v>
      </c>
      <c r="R120" s="13" t="s">
        <v>194</v>
      </c>
      <c r="S120" s="14">
        <v>0</v>
      </c>
      <c r="T120" s="14">
        <v>0</v>
      </c>
      <c r="U120" s="14">
        <v>0</v>
      </c>
      <c r="V120" s="14"/>
      <c r="AN120" s="11"/>
      <c r="AO120" s="11"/>
    </row>
    <row r="121" spans="1:41" ht="18" customHeight="1" x14ac:dyDescent="0.3">
      <c r="A121" s="123" t="s">
        <v>793</v>
      </c>
      <c r="B121" s="125" t="s">
        <v>1140</v>
      </c>
      <c r="C121" s="131">
        <v>300</v>
      </c>
      <c r="D121" s="122" t="s">
        <v>762</v>
      </c>
      <c r="E121" s="130" t="s">
        <v>28</v>
      </c>
      <c r="F121" s="127" t="s">
        <v>724</v>
      </c>
      <c r="G121" s="123" t="s">
        <v>726</v>
      </c>
      <c r="I121" s="120" t="s">
        <v>216</v>
      </c>
      <c r="J121" s="162">
        <v>3.5400000000000001E-2</v>
      </c>
      <c r="K121" s="120" t="s">
        <v>231</v>
      </c>
      <c r="L121" s="135">
        <f t="shared" si="42"/>
        <v>0.16666666666666666</v>
      </c>
      <c r="N121" s="13" t="s">
        <v>406</v>
      </c>
      <c r="O121" s="14" t="s">
        <v>221</v>
      </c>
      <c r="P121" s="14" t="s">
        <v>407</v>
      </c>
      <c r="Q121" s="13">
        <v>1</v>
      </c>
      <c r="R121" s="13" t="s">
        <v>194</v>
      </c>
      <c r="S121" s="14">
        <v>0</v>
      </c>
      <c r="T121" s="14">
        <v>0</v>
      </c>
      <c r="U121" s="14">
        <v>0</v>
      </c>
      <c r="V121" s="14"/>
      <c r="AN121" s="11"/>
      <c r="AO121" s="11"/>
    </row>
    <row r="122" spans="1:41" ht="18" customHeight="1" x14ac:dyDescent="0.3">
      <c r="A122" s="123" t="s">
        <v>794</v>
      </c>
      <c r="B122" s="125" t="s">
        <v>1140</v>
      </c>
      <c r="C122" s="131">
        <v>350</v>
      </c>
      <c r="D122" s="122" t="s">
        <v>762</v>
      </c>
      <c r="E122" s="130" t="s">
        <v>767</v>
      </c>
      <c r="F122" s="127" t="s">
        <v>724</v>
      </c>
      <c r="G122" s="123" t="s">
        <v>726</v>
      </c>
      <c r="I122" s="120" t="s">
        <v>351</v>
      </c>
      <c r="J122" s="162">
        <v>4.3900000000000002E-2</v>
      </c>
      <c r="K122" s="120" t="s">
        <v>398</v>
      </c>
      <c r="L122" s="135">
        <f t="shared" si="42"/>
        <v>0.16666666666666666</v>
      </c>
      <c r="N122" s="13" t="s">
        <v>408</v>
      </c>
      <c r="O122" s="14" t="s">
        <v>221</v>
      </c>
      <c r="P122" s="14" t="s">
        <v>409</v>
      </c>
      <c r="Q122" s="13">
        <v>1</v>
      </c>
      <c r="R122" s="13" t="s">
        <v>194</v>
      </c>
      <c r="S122" s="14">
        <v>0</v>
      </c>
      <c r="T122" s="14">
        <v>0</v>
      </c>
      <c r="U122" s="14">
        <v>0</v>
      </c>
      <c r="V122" s="14"/>
      <c r="AN122" s="11"/>
      <c r="AO122" s="11"/>
    </row>
    <row r="123" spans="1:41" ht="18" customHeight="1" x14ac:dyDescent="0.3">
      <c r="A123" s="123" t="s">
        <v>795</v>
      </c>
      <c r="B123" s="125" t="s">
        <v>1140</v>
      </c>
      <c r="C123" s="131">
        <v>400</v>
      </c>
      <c r="D123" s="122" t="s">
        <v>762</v>
      </c>
      <c r="E123" s="130" t="s">
        <v>768</v>
      </c>
      <c r="F123" s="127" t="s">
        <v>724</v>
      </c>
      <c r="G123" s="123" t="s">
        <v>726</v>
      </c>
      <c r="I123" s="120" t="s">
        <v>352</v>
      </c>
      <c r="J123" s="162">
        <v>5.0299999999999997E-2</v>
      </c>
      <c r="K123" s="120" t="s">
        <v>400</v>
      </c>
      <c r="L123" s="135">
        <f t="shared" si="42"/>
        <v>0.16666666666666666</v>
      </c>
      <c r="N123" s="13" t="s">
        <v>410</v>
      </c>
      <c r="O123" s="14" t="s">
        <v>221</v>
      </c>
      <c r="P123" s="14" t="s">
        <v>411</v>
      </c>
      <c r="Q123" s="13">
        <v>1</v>
      </c>
      <c r="R123" s="13" t="s">
        <v>194</v>
      </c>
      <c r="S123" s="14">
        <v>0</v>
      </c>
      <c r="T123" s="14">
        <v>0</v>
      </c>
      <c r="U123" s="14">
        <v>0</v>
      </c>
      <c r="V123" s="14"/>
      <c r="AN123" s="11"/>
      <c r="AO123" s="11"/>
    </row>
    <row r="124" spans="1:41" ht="18" customHeight="1" x14ac:dyDescent="0.3">
      <c r="A124" s="123" t="s">
        <v>796</v>
      </c>
      <c r="B124" s="125" t="s">
        <v>1140</v>
      </c>
      <c r="C124" s="131">
        <v>450</v>
      </c>
      <c r="D124" s="122" t="s">
        <v>762</v>
      </c>
      <c r="E124" s="130" t="s">
        <v>769</v>
      </c>
      <c r="F124" s="127" t="s">
        <v>724</v>
      </c>
      <c r="G124" s="123" t="s">
        <v>726</v>
      </c>
      <c r="I124" s="120" t="s">
        <v>353</v>
      </c>
      <c r="J124" s="120"/>
      <c r="K124" s="120" t="s">
        <v>402</v>
      </c>
      <c r="L124" s="135">
        <f t="shared" si="42"/>
        <v>0.16666666666666666</v>
      </c>
      <c r="N124" s="13" t="s">
        <v>412</v>
      </c>
      <c r="O124" s="14" t="s">
        <v>221</v>
      </c>
      <c r="P124" s="14" t="s">
        <v>413</v>
      </c>
      <c r="Q124" s="13">
        <v>1</v>
      </c>
      <c r="R124" s="13" t="s">
        <v>194</v>
      </c>
      <c r="S124" s="14">
        <v>0</v>
      </c>
      <c r="T124" s="14">
        <v>0</v>
      </c>
      <c r="U124" s="14">
        <v>0</v>
      </c>
      <c r="V124" s="14"/>
      <c r="AN124" s="11"/>
      <c r="AO124" s="11"/>
    </row>
    <row r="125" spans="1:41" ht="18" customHeight="1" x14ac:dyDescent="0.3">
      <c r="A125" s="123" t="s">
        <v>797</v>
      </c>
      <c r="B125" s="125" t="s">
        <v>1140</v>
      </c>
      <c r="C125" s="131">
        <v>500</v>
      </c>
      <c r="D125" s="122" t="s">
        <v>762</v>
      </c>
      <c r="E125" s="130" t="s">
        <v>770</v>
      </c>
      <c r="F125" s="127" t="s">
        <v>724</v>
      </c>
      <c r="G125" s="123" t="s">
        <v>726</v>
      </c>
      <c r="I125" s="120" t="s">
        <v>354</v>
      </c>
      <c r="J125" s="120"/>
      <c r="K125" s="120" t="s">
        <v>404</v>
      </c>
      <c r="L125" s="135">
        <f t="shared" si="42"/>
        <v>0.16666666666666666</v>
      </c>
      <c r="N125" s="13" t="s">
        <v>414</v>
      </c>
      <c r="O125" s="14" t="s">
        <v>221</v>
      </c>
      <c r="P125" s="14" t="s">
        <v>415</v>
      </c>
      <c r="Q125" s="13">
        <v>1</v>
      </c>
      <c r="R125" s="13" t="s">
        <v>194</v>
      </c>
      <c r="S125" s="14">
        <v>0</v>
      </c>
      <c r="T125" s="14">
        <v>0</v>
      </c>
      <c r="U125" s="14">
        <v>0</v>
      </c>
      <c r="V125" s="14"/>
      <c r="AN125" s="11"/>
      <c r="AO125" s="11"/>
    </row>
    <row r="126" spans="1:41" ht="18" customHeight="1" x14ac:dyDescent="0.3">
      <c r="A126" s="123" t="s">
        <v>798</v>
      </c>
      <c r="B126" s="125" t="s">
        <v>1140</v>
      </c>
      <c r="C126" s="131">
        <v>550</v>
      </c>
      <c r="D126" s="122" t="s">
        <v>762</v>
      </c>
      <c r="E126" s="130" t="s">
        <v>771</v>
      </c>
      <c r="F126" s="127" t="s">
        <v>724</v>
      </c>
      <c r="G126" s="123" t="s">
        <v>726</v>
      </c>
      <c r="I126" s="120" t="s">
        <v>355</v>
      </c>
      <c r="J126" s="120"/>
      <c r="K126" s="120" t="s">
        <v>406</v>
      </c>
      <c r="L126" s="135">
        <f t="shared" si="42"/>
        <v>0.16666666666666666</v>
      </c>
      <c r="N126" s="13" t="s">
        <v>416</v>
      </c>
      <c r="O126" s="14" t="s">
        <v>221</v>
      </c>
      <c r="P126" s="14" t="s">
        <v>417</v>
      </c>
      <c r="Q126" s="13">
        <v>1</v>
      </c>
      <c r="R126" s="13" t="s">
        <v>194</v>
      </c>
      <c r="S126" s="14">
        <v>0</v>
      </c>
      <c r="T126" s="14">
        <v>0</v>
      </c>
      <c r="U126" s="14">
        <v>0</v>
      </c>
      <c r="V126" s="14"/>
      <c r="AN126" s="11"/>
      <c r="AO126" s="11"/>
    </row>
    <row r="127" spans="1:41" ht="18" customHeight="1" x14ac:dyDescent="0.3">
      <c r="A127" s="123" t="s">
        <v>799</v>
      </c>
      <c r="B127" s="125" t="s">
        <v>1140</v>
      </c>
      <c r="C127" s="131">
        <v>600</v>
      </c>
      <c r="D127" s="122" t="s">
        <v>762</v>
      </c>
      <c r="E127" s="130" t="s">
        <v>772</v>
      </c>
      <c r="F127" s="127" t="s">
        <v>724</v>
      </c>
      <c r="G127" s="123" t="s">
        <v>726</v>
      </c>
      <c r="I127" s="120" t="s">
        <v>356</v>
      </c>
      <c r="J127" s="120"/>
      <c r="K127" s="120" t="s">
        <v>408</v>
      </c>
      <c r="L127" s="135">
        <f t="shared" si="42"/>
        <v>0.16666666666666666</v>
      </c>
      <c r="N127" s="13" t="s">
        <v>418</v>
      </c>
      <c r="O127" s="14" t="s">
        <v>221</v>
      </c>
      <c r="P127" s="14" t="s">
        <v>419</v>
      </c>
      <c r="Q127" s="13">
        <v>1</v>
      </c>
      <c r="R127" s="13" t="s">
        <v>194</v>
      </c>
      <c r="S127" s="14">
        <v>0</v>
      </c>
      <c r="T127" s="14">
        <v>0</v>
      </c>
      <c r="U127" s="14">
        <v>0</v>
      </c>
      <c r="V127" s="14"/>
      <c r="AN127" s="11"/>
      <c r="AO127" s="11"/>
    </row>
    <row r="128" spans="1:41" ht="18" customHeight="1" x14ac:dyDescent="0.3">
      <c r="A128" s="123" t="s">
        <v>800</v>
      </c>
      <c r="B128" s="125" t="s">
        <v>1140</v>
      </c>
      <c r="C128" s="131">
        <v>650</v>
      </c>
      <c r="D128" s="122" t="s">
        <v>762</v>
      </c>
      <c r="E128" s="130" t="s">
        <v>773</v>
      </c>
      <c r="F128" s="127" t="s">
        <v>724</v>
      </c>
      <c r="G128" s="123" t="s">
        <v>726</v>
      </c>
      <c r="I128" s="120" t="s">
        <v>357</v>
      </c>
      <c r="J128" s="120"/>
      <c r="K128" s="120" t="s">
        <v>410</v>
      </c>
      <c r="L128" s="135">
        <f t="shared" si="42"/>
        <v>0.16666666666666666</v>
      </c>
      <c r="N128" s="13" t="s">
        <v>420</v>
      </c>
      <c r="O128" s="14" t="s">
        <v>221</v>
      </c>
      <c r="P128" s="14" t="s">
        <v>421</v>
      </c>
      <c r="Q128" s="13">
        <v>1</v>
      </c>
      <c r="R128" s="13" t="s">
        <v>194</v>
      </c>
      <c r="S128" s="14">
        <v>0</v>
      </c>
      <c r="T128" s="14">
        <v>0</v>
      </c>
      <c r="U128" s="14">
        <v>0</v>
      </c>
      <c r="V128" s="14"/>
      <c r="AN128" s="11"/>
      <c r="AO128" s="11"/>
    </row>
    <row r="129" spans="1:41" ht="18" customHeight="1" x14ac:dyDescent="0.3">
      <c r="A129" s="123" t="s">
        <v>801</v>
      </c>
      <c r="B129" s="125" t="s">
        <v>1140</v>
      </c>
      <c r="C129" s="131">
        <v>700</v>
      </c>
      <c r="D129" s="122" t="s">
        <v>762</v>
      </c>
      <c r="E129" s="130" t="s">
        <v>774</v>
      </c>
      <c r="F129" s="127" t="s">
        <v>724</v>
      </c>
      <c r="G129" s="123" t="s">
        <v>726</v>
      </c>
      <c r="I129" s="120" t="s">
        <v>358</v>
      </c>
      <c r="J129" s="120"/>
      <c r="K129" s="120" t="s">
        <v>412</v>
      </c>
      <c r="L129" s="135">
        <f t="shared" si="42"/>
        <v>0.16666666666666666</v>
      </c>
      <c r="N129" s="13" t="s">
        <v>422</v>
      </c>
      <c r="O129" s="14" t="s">
        <v>221</v>
      </c>
      <c r="P129" s="14" t="s">
        <v>423</v>
      </c>
      <c r="Q129" s="13">
        <v>1</v>
      </c>
      <c r="R129" s="13" t="s">
        <v>194</v>
      </c>
      <c r="S129" s="14">
        <v>0</v>
      </c>
      <c r="T129" s="14">
        <v>0</v>
      </c>
      <c r="U129" s="14">
        <v>0</v>
      </c>
      <c r="V129" s="14"/>
      <c r="AN129" s="11"/>
      <c r="AO129" s="11"/>
    </row>
    <row r="130" spans="1:41" ht="18" customHeight="1" x14ac:dyDescent="0.3">
      <c r="A130" s="123" t="s">
        <v>802</v>
      </c>
      <c r="B130" s="125" t="s">
        <v>1140</v>
      </c>
      <c r="C130" s="131">
        <v>750</v>
      </c>
      <c r="D130" s="122" t="s">
        <v>762</v>
      </c>
      <c r="E130" s="130" t="s">
        <v>775</v>
      </c>
      <c r="F130" s="127" t="s">
        <v>724</v>
      </c>
      <c r="G130" s="123" t="s">
        <v>726</v>
      </c>
      <c r="I130" s="120" t="s">
        <v>359</v>
      </c>
      <c r="J130" s="120"/>
      <c r="K130" s="120" t="s">
        <v>414</v>
      </c>
      <c r="L130" s="135">
        <f t="shared" si="42"/>
        <v>0.16666666666666666</v>
      </c>
      <c r="N130" s="13" t="s">
        <v>424</v>
      </c>
      <c r="O130" s="14" t="s">
        <v>221</v>
      </c>
      <c r="P130" s="14" t="s">
        <v>425</v>
      </c>
      <c r="Q130" s="13">
        <v>1</v>
      </c>
      <c r="R130" s="13" t="s">
        <v>194</v>
      </c>
      <c r="S130" s="14">
        <v>0</v>
      </c>
      <c r="T130" s="14">
        <v>0</v>
      </c>
      <c r="U130" s="14">
        <v>0</v>
      </c>
      <c r="V130" s="14"/>
      <c r="AN130" s="11"/>
      <c r="AO130" s="11"/>
    </row>
    <row r="131" spans="1:41" ht="18" customHeight="1" x14ac:dyDescent="0.3">
      <c r="A131" s="123" t="s">
        <v>803</v>
      </c>
      <c r="B131" s="125" t="s">
        <v>1140</v>
      </c>
      <c r="C131" s="131">
        <v>800</v>
      </c>
      <c r="D131" s="122" t="s">
        <v>762</v>
      </c>
      <c r="E131" s="130" t="s">
        <v>776</v>
      </c>
      <c r="F131" s="127" t="s">
        <v>724</v>
      </c>
      <c r="G131" s="123" t="s">
        <v>726</v>
      </c>
      <c r="I131" s="120" t="s">
        <v>360</v>
      </c>
      <c r="J131" s="120"/>
      <c r="K131" s="120" t="s">
        <v>416</v>
      </c>
      <c r="L131" s="135">
        <f t="shared" si="42"/>
        <v>0.16666666666666666</v>
      </c>
      <c r="N131" s="13" t="s">
        <v>426</v>
      </c>
      <c r="O131" s="14" t="s">
        <v>221</v>
      </c>
      <c r="P131" s="14" t="s">
        <v>427</v>
      </c>
      <c r="Q131" s="13">
        <v>1</v>
      </c>
      <c r="R131" s="13" t="s">
        <v>194</v>
      </c>
      <c r="S131" s="14">
        <v>0</v>
      </c>
      <c r="T131" s="14">
        <v>0</v>
      </c>
      <c r="U131" s="14">
        <v>0</v>
      </c>
      <c r="V131" s="14"/>
      <c r="AN131" s="11"/>
      <c r="AO131" s="11"/>
    </row>
    <row r="132" spans="1:41" ht="18" customHeight="1" x14ac:dyDescent="0.3">
      <c r="A132" s="123" t="s">
        <v>143</v>
      </c>
      <c r="B132" s="125" t="s">
        <v>843</v>
      </c>
      <c r="C132" s="129">
        <v>20</v>
      </c>
      <c r="D132" s="122" t="s">
        <v>141</v>
      </c>
      <c r="E132" s="130" t="s">
        <v>142</v>
      </c>
      <c r="F132" s="127" t="s">
        <v>724</v>
      </c>
      <c r="G132" s="123" t="s">
        <v>863</v>
      </c>
      <c r="I132" s="120" t="s">
        <v>864</v>
      </c>
      <c r="J132" s="120"/>
      <c r="K132" s="120"/>
      <c r="L132" s="135"/>
      <c r="N132" s="13" t="s">
        <v>428</v>
      </c>
      <c r="O132" s="14" t="s">
        <v>221</v>
      </c>
      <c r="P132" s="14" t="s">
        <v>429</v>
      </c>
      <c r="Q132" s="13">
        <v>1</v>
      </c>
      <c r="R132" s="13" t="s">
        <v>194</v>
      </c>
      <c r="S132" s="14">
        <v>0</v>
      </c>
      <c r="T132" s="14">
        <v>0</v>
      </c>
      <c r="U132" s="14">
        <v>0</v>
      </c>
      <c r="V132" s="14"/>
      <c r="AN132" s="11"/>
      <c r="AO132" s="11"/>
    </row>
    <row r="133" spans="1:41" ht="18" customHeight="1" x14ac:dyDescent="0.3">
      <c r="A133" s="123" t="s">
        <v>804</v>
      </c>
      <c r="B133" s="125" t="s">
        <v>843</v>
      </c>
      <c r="C133" s="129">
        <v>25</v>
      </c>
      <c r="D133" s="122" t="s">
        <v>141</v>
      </c>
      <c r="E133" s="130" t="s">
        <v>844</v>
      </c>
      <c r="F133" s="127" t="s">
        <v>724</v>
      </c>
      <c r="G133" s="123" t="s">
        <v>863</v>
      </c>
      <c r="I133" s="120" t="s">
        <v>864</v>
      </c>
      <c r="J133" s="120"/>
      <c r="K133" s="120"/>
      <c r="L133" s="135"/>
      <c r="N133" s="13" t="s">
        <v>430</v>
      </c>
      <c r="O133" s="14" t="s">
        <v>221</v>
      </c>
      <c r="P133" s="14" t="s">
        <v>431</v>
      </c>
      <c r="Q133" s="13">
        <v>1</v>
      </c>
      <c r="R133" s="13" t="s">
        <v>194</v>
      </c>
      <c r="S133" s="14">
        <v>0</v>
      </c>
      <c r="T133" s="14">
        <v>0</v>
      </c>
      <c r="U133" s="14">
        <v>0</v>
      </c>
      <c r="V133" s="14"/>
      <c r="AN133" s="11"/>
      <c r="AO133" s="11"/>
    </row>
    <row r="134" spans="1:41" ht="18" customHeight="1" x14ac:dyDescent="0.3">
      <c r="A134" s="123" t="s">
        <v>805</v>
      </c>
      <c r="B134" s="125" t="s">
        <v>843</v>
      </c>
      <c r="C134" s="129">
        <v>32</v>
      </c>
      <c r="D134" s="122" t="s">
        <v>141</v>
      </c>
      <c r="E134" s="130" t="s">
        <v>845</v>
      </c>
      <c r="F134" s="127" t="s">
        <v>724</v>
      </c>
      <c r="G134" s="123" t="s">
        <v>863</v>
      </c>
      <c r="I134" s="120" t="s">
        <v>865</v>
      </c>
      <c r="J134" s="120"/>
      <c r="K134" s="120"/>
      <c r="L134" s="135"/>
      <c r="N134" s="13" t="s">
        <v>432</v>
      </c>
      <c r="O134" s="14" t="s">
        <v>433</v>
      </c>
      <c r="P134" s="14" t="s">
        <v>434</v>
      </c>
      <c r="Q134" s="13">
        <v>1</v>
      </c>
      <c r="R134" s="13" t="s">
        <v>435</v>
      </c>
      <c r="S134" s="14">
        <v>0</v>
      </c>
      <c r="T134" s="14">
        <v>19649.755555555555</v>
      </c>
      <c r="U134" s="14">
        <v>392.9951111111111</v>
      </c>
      <c r="V134" s="14"/>
      <c r="AN134" s="11"/>
      <c r="AO134" s="11"/>
    </row>
    <row r="135" spans="1:41" ht="18" customHeight="1" x14ac:dyDescent="0.3">
      <c r="A135" s="123" t="s">
        <v>806</v>
      </c>
      <c r="B135" s="125" t="s">
        <v>843</v>
      </c>
      <c r="C135" s="129">
        <v>40</v>
      </c>
      <c r="D135" s="122" t="s">
        <v>141</v>
      </c>
      <c r="E135" s="130" t="s">
        <v>846</v>
      </c>
      <c r="F135" s="127" t="s">
        <v>724</v>
      </c>
      <c r="G135" s="123" t="s">
        <v>863</v>
      </c>
      <c r="I135" s="120" t="s">
        <v>866</v>
      </c>
      <c r="J135" s="120"/>
      <c r="K135" s="120"/>
      <c r="L135" s="135"/>
      <c r="N135" s="13" t="s">
        <v>436</v>
      </c>
      <c r="O135" s="14" t="s">
        <v>433</v>
      </c>
      <c r="P135" s="14" t="s">
        <v>437</v>
      </c>
      <c r="Q135" s="13">
        <v>1</v>
      </c>
      <c r="R135" s="13" t="s">
        <v>435</v>
      </c>
      <c r="S135" s="14">
        <v>0</v>
      </c>
      <c r="T135" s="14">
        <v>22105.974999999999</v>
      </c>
      <c r="U135" s="14">
        <v>442.11949999999996</v>
      </c>
      <c r="V135" s="14"/>
      <c r="AN135" s="11"/>
      <c r="AO135" s="11"/>
    </row>
    <row r="136" spans="1:41" ht="18" customHeight="1" x14ac:dyDescent="0.3">
      <c r="A136" s="123" t="s">
        <v>807</v>
      </c>
      <c r="B136" s="125" t="s">
        <v>843</v>
      </c>
      <c r="C136" s="129">
        <v>50</v>
      </c>
      <c r="D136" s="122" t="s">
        <v>141</v>
      </c>
      <c r="E136" s="130" t="s">
        <v>847</v>
      </c>
      <c r="F136" s="127" t="s">
        <v>724</v>
      </c>
      <c r="G136" s="123" t="s">
        <v>863</v>
      </c>
      <c r="I136" s="120" t="s">
        <v>867</v>
      </c>
      <c r="J136" s="120"/>
      <c r="K136" s="120"/>
      <c r="L136" s="135"/>
      <c r="N136" s="13" t="s">
        <v>438</v>
      </c>
      <c r="O136" s="14" t="s">
        <v>433</v>
      </c>
      <c r="P136" s="14" t="s">
        <v>439</v>
      </c>
      <c r="Q136" s="13">
        <v>1</v>
      </c>
      <c r="R136" s="13" t="s">
        <v>435</v>
      </c>
      <c r="S136" s="14">
        <v>0</v>
      </c>
      <c r="T136" s="14">
        <v>23898.351351351354</v>
      </c>
      <c r="U136" s="14">
        <v>477.96702702702709</v>
      </c>
      <c r="V136" s="14"/>
      <c r="AN136" s="11"/>
      <c r="AO136" s="11"/>
    </row>
    <row r="137" spans="1:41" ht="18" customHeight="1" x14ac:dyDescent="0.3">
      <c r="A137" s="123" t="s">
        <v>808</v>
      </c>
      <c r="B137" s="125" t="s">
        <v>843</v>
      </c>
      <c r="C137" s="129">
        <v>63</v>
      </c>
      <c r="D137" s="122" t="s">
        <v>141</v>
      </c>
      <c r="E137" s="130" t="s">
        <v>848</v>
      </c>
      <c r="F137" s="127" t="s">
        <v>724</v>
      </c>
      <c r="G137" s="123" t="s">
        <v>863</v>
      </c>
      <c r="I137" s="120" t="s">
        <v>868</v>
      </c>
      <c r="J137" s="120"/>
      <c r="K137" s="120"/>
      <c r="L137" s="135"/>
      <c r="N137" s="13" t="s">
        <v>440</v>
      </c>
      <c r="O137" s="14" t="s">
        <v>433</v>
      </c>
      <c r="P137" s="14" t="s">
        <v>441</v>
      </c>
      <c r="Q137" s="13">
        <v>1</v>
      </c>
      <c r="R137" s="13" t="s">
        <v>435</v>
      </c>
      <c r="S137" s="14">
        <v>0</v>
      </c>
      <c r="T137" s="14">
        <v>28523.838709677417</v>
      </c>
      <c r="U137" s="14">
        <v>570.47677419354829</v>
      </c>
      <c r="V137" s="14"/>
      <c r="AN137" s="11"/>
      <c r="AO137" s="11"/>
    </row>
    <row r="138" spans="1:41" ht="18" customHeight="1" x14ac:dyDescent="0.3">
      <c r="A138" s="123" t="s">
        <v>809</v>
      </c>
      <c r="B138" s="125" t="s">
        <v>843</v>
      </c>
      <c r="C138" s="129">
        <v>75</v>
      </c>
      <c r="D138" s="122" t="s">
        <v>141</v>
      </c>
      <c r="E138" s="130" t="s">
        <v>849</v>
      </c>
      <c r="F138" s="127" t="s">
        <v>724</v>
      </c>
      <c r="G138" s="123" t="s">
        <v>863</v>
      </c>
      <c r="I138" s="120" t="s">
        <v>869</v>
      </c>
      <c r="J138" s="120"/>
      <c r="K138" s="120"/>
      <c r="L138" s="135"/>
      <c r="N138" s="13" t="s">
        <v>442</v>
      </c>
      <c r="O138" s="14" t="s">
        <v>433</v>
      </c>
      <c r="P138" s="14" t="s">
        <v>443</v>
      </c>
      <c r="Q138" s="13">
        <v>1</v>
      </c>
      <c r="R138" s="13" t="s">
        <v>435</v>
      </c>
      <c r="S138" s="14">
        <v>0</v>
      </c>
      <c r="T138" s="14">
        <v>35369.56</v>
      </c>
      <c r="U138" s="14">
        <v>707.39119999999991</v>
      </c>
      <c r="V138" s="14"/>
      <c r="AN138" s="11"/>
      <c r="AO138" s="11"/>
    </row>
    <row r="139" spans="1:41" ht="18" customHeight="1" x14ac:dyDescent="0.3">
      <c r="A139" s="123" t="s">
        <v>810</v>
      </c>
      <c r="B139" s="125" t="s">
        <v>843</v>
      </c>
      <c r="C139" s="129">
        <v>90</v>
      </c>
      <c r="D139" s="122" t="s">
        <v>141</v>
      </c>
      <c r="E139" s="130" t="s">
        <v>850</v>
      </c>
      <c r="F139" s="127" t="s">
        <v>724</v>
      </c>
      <c r="G139" s="123" t="s">
        <v>863</v>
      </c>
      <c r="I139" s="120" t="s">
        <v>870</v>
      </c>
      <c r="J139" s="120"/>
      <c r="K139" s="120"/>
      <c r="L139" s="135"/>
      <c r="N139" s="13" t="s">
        <v>444</v>
      </c>
      <c r="O139" s="14" t="s">
        <v>433</v>
      </c>
      <c r="P139" s="14" t="s">
        <v>445</v>
      </c>
      <c r="Q139" s="13">
        <v>1</v>
      </c>
      <c r="R139" s="13" t="s">
        <v>435</v>
      </c>
      <c r="S139" s="14">
        <v>0</v>
      </c>
      <c r="T139" s="14">
        <v>38445.173913043473</v>
      </c>
      <c r="U139" s="14">
        <v>768.90347826086952</v>
      </c>
      <c r="V139" s="14"/>
      <c r="AN139" s="11"/>
      <c r="AO139" s="11"/>
    </row>
    <row r="140" spans="1:41" ht="18" customHeight="1" x14ac:dyDescent="0.3">
      <c r="A140" s="123" t="s">
        <v>811</v>
      </c>
      <c r="B140" s="125" t="s">
        <v>843</v>
      </c>
      <c r="C140" s="129">
        <v>110</v>
      </c>
      <c r="D140" s="122" t="s">
        <v>141</v>
      </c>
      <c r="E140" s="130" t="s">
        <v>851</v>
      </c>
      <c r="F140" s="127" t="s">
        <v>724</v>
      </c>
      <c r="G140" s="123" t="s">
        <v>863</v>
      </c>
      <c r="I140" s="120" t="s">
        <v>871</v>
      </c>
      <c r="J140" s="120"/>
      <c r="K140" s="120"/>
      <c r="L140" s="135"/>
      <c r="N140" s="13" t="s">
        <v>446</v>
      </c>
      <c r="O140" s="14" t="s">
        <v>433</v>
      </c>
      <c r="P140" s="14" t="s">
        <v>447</v>
      </c>
      <c r="Q140" s="13">
        <v>1</v>
      </c>
      <c r="R140" s="13" t="s">
        <v>435</v>
      </c>
      <c r="S140" s="14">
        <v>0</v>
      </c>
      <c r="T140" s="14">
        <v>49124.388888888883</v>
      </c>
      <c r="U140" s="14">
        <v>982.48777777777764</v>
      </c>
      <c r="V140" s="14"/>
      <c r="AN140" s="11"/>
      <c r="AO140" s="11"/>
    </row>
    <row r="141" spans="1:41" ht="18" customHeight="1" x14ac:dyDescent="0.3">
      <c r="A141" s="123" t="s">
        <v>812</v>
      </c>
      <c r="B141" s="125" t="s">
        <v>843</v>
      </c>
      <c r="C141" s="129">
        <v>140</v>
      </c>
      <c r="D141" s="122" t="s">
        <v>141</v>
      </c>
      <c r="E141" s="130" t="s">
        <v>852</v>
      </c>
      <c r="F141" s="127" t="s">
        <v>724</v>
      </c>
      <c r="G141" s="123" t="s">
        <v>863</v>
      </c>
      <c r="I141" s="120" t="s">
        <v>872</v>
      </c>
      <c r="J141" s="120"/>
      <c r="K141" s="120"/>
      <c r="L141" s="135"/>
      <c r="N141" s="13" t="s">
        <v>448</v>
      </c>
      <c r="O141" s="14" t="s">
        <v>433</v>
      </c>
      <c r="P141" s="14" t="s">
        <v>449</v>
      </c>
      <c r="Q141" s="13">
        <v>1</v>
      </c>
      <c r="R141" s="13" t="s">
        <v>435</v>
      </c>
      <c r="S141" s="14">
        <v>0</v>
      </c>
      <c r="T141" s="14">
        <v>58949.266666666663</v>
      </c>
      <c r="U141" s="14">
        <v>1178.9853333333333</v>
      </c>
      <c r="V141" s="14"/>
      <c r="AN141" s="11"/>
      <c r="AO141" s="11"/>
    </row>
    <row r="142" spans="1:41" ht="18" customHeight="1" x14ac:dyDescent="0.3">
      <c r="A142" s="123" t="s">
        <v>813</v>
      </c>
      <c r="B142" s="125" t="s">
        <v>843</v>
      </c>
      <c r="C142" s="129">
        <v>160</v>
      </c>
      <c r="D142" s="122" t="s">
        <v>141</v>
      </c>
      <c r="E142" s="130" t="s">
        <v>853</v>
      </c>
      <c r="F142" s="127" t="s">
        <v>724</v>
      </c>
      <c r="G142" s="123" t="s">
        <v>863</v>
      </c>
      <c r="I142" s="120" t="s">
        <v>873</v>
      </c>
      <c r="J142" s="120"/>
      <c r="K142" s="120"/>
      <c r="L142" s="135"/>
      <c r="N142" s="13" t="s">
        <v>450</v>
      </c>
      <c r="O142" s="14" t="s">
        <v>433</v>
      </c>
      <c r="P142" s="14" t="s">
        <v>451</v>
      </c>
      <c r="Q142" s="13">
        <v>1</v>
      </c>
      <c r="R142" s="13" t="s">
        <v>435</v>
      </c>
      <c r="S142" s="14">
        <v>0</v>
      </c>
      <c r="T142" s="14">
        <v>68018.38461538461</v>
      </c>
      <c r="U142" s="14">
        <v>1360.3676923076923</v>
      </c>
      <c r="V142" s="14"/>
      <c r="AN142" s="11"/>
      <c r="AO142" s="11"/>
    </row>
    <row r="143" spans="1:41" ht="18" customHeight="1" x14ac:dyDescent="0.3">
      <c r="A143" s="123" t="s">
        <v>814</v>
      </c>
      <c r="B143" s="125" t="s">
        <v>843</v>
      </c>
      <c r="C143" s="129">
        <v>225</v>
      </c>
      <c r="D143" s="122" t="s">
        <v>141</v>
      </c>
      <c r="E143" s="130" t="s">
        <v>854</v>
      </c>
      <c r="F143" s="127" t="s">
        <v>724</v>
      </c>
      <c r="G143" s="123" t="s">
        <v>863</v>
      </c>
      <c r="I143" s="120" t="s">
        <v>874</v>
      </c>
      <c r="J143" s="120"/>
      <c r="K143" s="120"/>
      <c r="L143" s="135"/>
      <c r="N143" s="13" t="s">
        <v>452</v>
      </c>
      <c r="O143" s="14" t="s">
        <v>433</v>
      </c>
      <c r="P143" s="14" t="s">
        <v>453</v>
      </c>
      <c r="Q143" s="13">
        <v>1</v>
      </c>
      <c r="R143" s="13" t="s">
        <v>435</v>
      </c>
      <c r="S143" s="14">
        <v>0</v>
      </c>
      <c r="T143" s="14">
        <v>80385.363636363632</v>
      </c>
      <c r="U143" s="14">
        <v>1607.7072727272728</v>
      </c>
      <c r="V143" s="14"/>
      <c r="AN143" s="11"/>
      <c r="AO143" s="11"/>
    </row>
    <row r="144" spans="1:41" ht="18" customHeight="1" x14ac:dyDescent="0.3">
      <c r="A144" s="123" t="s">
        <v>815</v>
      </c>
      <c r="B144" s="125" t="s">
        <v>843</v>
      </c>
      <c r="C144" s="129">
        <v>280</v>
      </c>
      <c r="D144" s="122" t="s">
        <v>141</v>
      </c>
      <c r="E144" s="130" t="s">
        <v>855</v>
      </c>
      <c r="F144" s="127" t="s">
        <v>724</v>
      </c>
      <c r="G144" s="123" t="s">
        <v>863</v>
      </c>
      <c r="I144" s="120" t="s">
        <v>875</v>
      </c>
      <c r="J144" s="120"/>
      <c r="K144" s="120"/>
      <c r="L144" s="135"/>
      <c r="N144" s="13" t="s">
        <v>232</v>
      </c>
      <c r="O144" s="14" t="s">
        <v>454</v>
      </c>
      <c r="P144" s="14" t="s">
        <v>378</v>
      </c>
      <c r="Q144" s="13">
        <v>1</v>
      </c>
      <c r="R144" s="13" t="s">
        <v>194</v>
      </c>
      <c r="S144" s="14">
        <v>0</v>
      </c>
      <c r="T144" s="14">
        <v>22516.021000000001</v>
      </c>
      <c r="U144" s="14">
        <v>1125.80105</v>
      </c>
      <c r="V144" s="14"/>
      <c r="AN144" s="11"/>
      <c r="AO144" s="11"/>
    </row>
    <row r="145" spans="1:41" ht="18" customHeight="1" x14ac:dyDescent="0.3">
      <c r="A145" s="123" t="s">
        <v>816</v>
      </c>
      <c r="B145" s="125" t="s">
        <v>843</v>
      </c>
      <c r="C145" s="129">
        <v>315</v>
      </c>
      <c r="D145" s="122" t="s">
        <v>141</v>
      </c>
      <c r="E145" s="130" t="s">
        <v>856</v>
      </c>
      <c r="F145" s="127" t="s">
        <v>724</v>
      </c>
      <c r="G145" s="123" t="s">
        <v>863</v>
      </c>
      <c r="I145" s="120" t="s">
        <v>876</v>
      </c>
      <c r="J145" s="120"/>
      <c r="K145" s="120"/>
      <c r="L145" s="135"/>
      <c r="N145" s="13" t="s">
        <v>455</v>
      </c>
      <c r="O145" s="14" t="s">
        <v>454</v>
      </c>
      <c r="P145" s="14" t="s">
        <v>379</v>
      </c>
      <c r="Q145" s="13">
        <v>1</v>
      </c>
      <c r="R145" s="13" t="s">
        <v>194</v>
      </c>
      <c r="S145" s="14">
        <v>0</v>
      </c>
      <c r="T145" s="14">
        <v>26121.317999999999</v>
      </c>
      <c r="U145" s="14">
        <v>1306.0659000000001</v>
      </c>
      <c r="V145" s="14"/>
      <c r="AN145" s="11"/>
      <c r="AO145" s="11"/>
    </row>
    <row r="146" spans="1:41" ht="18" customHeight="1" x14ac:dyDescent="0.3">
      <c r="A146" s="123" t="s">
        <v>817</v>
      </c>
      <c r="B146" s="125" t="s">
        <v>843</v>
      </c>
      <c r="C146" s="129">
        <v>355</v>
      </c>
      <c r="D146" s="122" t="s">
        <v>141</v>
      </c>
      <c r="E146" s="130" t="s">
        <v>857</v>
      </c>
      <c r="F146" s="127" t="s">
        <v>724</v>
      </c>
      <c r="G146" s="123" t="s">
        <v>863</v>
      </c>
      <c r="I146" s="120" t="s">
        <v>479</v>
      </c>
      <c r="J146" s="120"/>
      <c r="K146" s="120"/>
      <c r="L146" s="135"/>
      <c r="N146" s="13" t="s">
        <v>456</v>
      </c>
      <c r="O146" s="14" t="s">
        <v>454</v>
      </c>
      <c r="P146" s="14" t="s">
        <v>381</v>
      </c>
      <c r="Q146" s="13">
        <v>1</v>
      </c>
      <c r="R146" s="13" t="s">
        <v>194</v>
      </c>
      <c r="S146" s="14">
        <v>0</v>
      </c>
      <c r="T146" s="14">
        <v>29964.760000000002</v>
      </c>
      <c r="U146" s="14">
        <v>1498.2380000000003</v>
      </c>
      <c r="V146" s="14"/>
      <c r="AN146" s="11"/>
      <c r="AO146" s="11"/>
    </row>
    <row r="147" spans="1:41" ht="18" customHeight="1" x14ac:dyDescent="0.3">
      <c r="A147" s="123" t="s">
        <v>818</v>
      </c>
      <c r="B147" s="125" t="s">
        <v>843</v>
      </c>
      <c r="C147" s="129">
        <v>400</v>
      </c>
      <c r="D147" s="122" t="s">
        <v>141</v>
      </c>
      <c r="E147" s="130" t="s">
        <v>858</v>
      </c>
      <c r="F147" s="127" t="s">
        <v>724</v>
      </c>
      <c r="G147" s="123" t="s">
        <v>863</v>
      </c>
      <c r="I147" s="120" t="s">
        <v>481</v>
      </c>
      <c r="J147" s="120"/>
      <c r="K147" s="120"/>
      <c r="L147" s="135"/>
      <c r="N147" s="13" t="s">
        <v>457</v>
      </c>
      <c r="O147" s="14" t="s">
        <v>454</v>
      </c>
      <c r="P147" s="14" t="s">
        <v>382</v>
      </c>
      <c r="Q147" s="13">
        <v>1</v>
      </c>
      <c r="R147" s="13" t="s">
        <v>194</v>
      </c>
      <c r="S147" s="14">
        <v>0</v>
      </c>
      <c r="T147" s="14">
        <v>39181.976999999999</v>
      </c>
      <c r="U147" s="14">
        <v>1959.0988500000001</v>
      </c>
      <c r="V147" s="14"/>
      <c r="AN147" s="11"/>
      <c r="AO147" s="11"/>
    </row>
    <row r="148" spans="1:41" ht="18" customHeight="1" x14ac:dyDescent="0.3">
      <c r="A148" s="123" t="s">
        <v>819</v>
      </c>
      <c r="B148" s="125" t="s">
        <v>843</v>
      </c>
      <c r="C148" s="129">
        <v>450</v>
      </c>
      <c r="D148" s="122" t="s">
        <v>141</v>
      </c>
      <c r="E148" s="130" t="s">
        <v>859</v>
      </c>
      <c r="F148" s="127" t="s">
        <v>724</v>
      </c>
      <c r="G148" s="123" t="s">
        <v>863</v>
      </c>
      <c r="I148" s="120"/>
      <c r="J148" s="120"/>
      <c r="K148" s="120"/>
      <c r="L148" s="120"/>
      <c r="N148" s="13" t="s">
        <v>458</v>
      </c>
      <c r="O148" s="14" t="s">
        <v>454</v>
      </c>
      <c r="P148" s="14" t="s">
        <v>459</v>
      </c>
      <c r="Q148" s="13">
        <v>1</v>
      </c>
      <c r="R148" s="13" t="s">
        <v>194</v>
      </c>
      <c r="S148" s="14">
        <v>0</v>
      </c>
      <c r="T148" s="14">
        <v>51120.252</v>
      </c>
      <c r="U148" s="14">
        <v>2556.0126</v>
      </c>
      <c r="V148" s="14"/>
      <c r="AN148" s="11"/>
      <c r="AO148" s="11"/>
    </row>
    <row r="149" spans="1:41" ht="18" customHeight="1" x14ac:dyDescent="0.3">
      <c r="A149" s="123" t="s">
        <v>820</v>
      </c>
      <c r="B149" s="125" t="s">
        <v>843</v>
      </c>
      <c r="C149" s="129">
        <v>500</v>
      </c>
      <c r="D149" s="122" t="s">
        <v>141</v>
      </c>
      <c r="E149" s="130" t="s">
        <v>860</v>
      </c>
      <c r="F149" s="127" t="s">
        <v>724</v>
      </c>
      <c r="G149" s="123" t="s">
        <v>863</v>
      </c>
      <c r="I149" s="120"/>
      <c r="J149" s="120"/>
      <c r="K149" s="120"/>
      <c r="L149" s="120"/>
      <c r="N149" s="13" t="s">
        <v>460</v>
      </c>
      <c r="O149" s="14" t="s">
        <v>454</v>
      </c>
      <c r="P149" s="14" t="s">
        <v>461</v>
      </c>
      <c r="Q149" s="13">
        <v>1</v>
      </c>
      <c r="R149" s="13" t="s">
        <v>194</v>
      </c>
      <c r="S149" s="14">
        <v>0</v>
      </c>
      <c r="T149" s="14">
        <v>58330.845999999998</v>
      </c>
      <c r="U149" s="14">
        <v>2916.5423000000001</v>
      </c>
      <c r="V149" s="14"/>
      <c r="AN149" s="11"/>
      <c r="AO149" s="11"/>
    </row>
    <row r="150" spans="1:41" ht="18" customHeight="1" x14ac:dyDescent="0.3">
      <c r="A150" s="123" t="s">
        <v>821</v>
      </c>
      <c r="B150" s="125" t="s">
        <v>843</v>
      </c>
      <c r="C150" s="129">
        <v>560</v>
      </c>
      <c r="D150" s="122" t="s">
        <v>141</v>
      </c>
      <c r="E150" s="130" t="s">
        <v>861</v>
      </c>
      <c r="F150" s="127" t="s">
        <v>724</v>
      </c>
      <c r="G150" s="123" t="s">
        <v>863</v>
      </c>
      <c r="I150" s="120"/>
      <c r="J150" s="120"/>
      <c r="K150" s="120"/>
      <c r="L150" s="120"/>
      <c r="N150" s="13" t="s">
        <v>462</v>
      </c>
      <c r="O150" s="14" t="s">
        <v>454</v>
      </c>
      <c r="P150" s="14" t="s">
        <v>386</v>
      </c>
      <c r="Q150" s="13">
        <v>1</v>
      </c>
      <c r="R150" s="13" t="s">
        <v>194</v>
      </c>
      <c r="S150" s="14">
        <v>0</v>
      </c>
      <c r="T150" s="14">
        <v>67786.207999999999</v>
      </c>
      <c r="U150" s="14">
        <v>3389.3104000000003</v>
      </c>
      <c r="V150" s="14"/>
      <c r="AN150" s="11"/>
      <c r="AO150" s="11"/>
    </row>
    <row r="151" spans="1:41" ht="18" customHeight="1" x14ac:dyDescent="0.3">
      <c r="A151" s="123" t="s">
        <v>822</v>
      </c>
      <c r="B151" s="125" t="s">
        <v>843</v>
      </c>
      <c r="C151" s="129">
        <v>630</v>
      </c>
      <c r="D151" s="122" t="s">
        <v>141</v>
      </c>
      <c r="E151" s="130" t="s">
        <v>862</v>
      </c>
      <c r="F151" s="127" t="s">
        <v>724</v>
      </c>
      <c r="G151" s="123" t="s">
        <v>863</v>
      </c>
      <c r="I151" s="120"/>
      <c r="J151" s="120"/>
      <c r="K151" s="120"/>
      <c r="L151" s="120"/>
      <c r="N151" s="13" t="s">
        <v>463</v>
      </c>
      <c r="O151" s="14" t="s">
        <v>454</v>
      </c>
      <c r="P151" s="14" t="s">
        <v>464</v>
      </c>
      <c r="Q151" s="13">
        <v>1</v>
      </c>
      <c r="R151" s="13" t="s">
        <v>194</v>
      </c>
      <c r="S151" s="14">
        <v>0</v>
      </c>
      <c r="T151" s="14">
        <v>79962.627999999997</v>
      </c>
      <c r="U151" s="14">
        <v>3998.1314000000002</v>
      </c>
      <c r="V151" s="14"/>
      <c r="AN151" s="11"/>
      <c r="AO151" s="11"/>
    </row>
    <row r="152" spans="1:41" ht="18" customHeight="1" x14ac:dyDescent="0.3">
      <c r="A152" s="123" t="s">
        <v>823</v>
      </c>
      <c r="B152" s="125" t="s">
        <v>843</v>
      </c>
      <c r="C152" s="129">
        <v>20</v>
      </c>
      <c r="D152" s="122" t="s">
        <v>141</v>
      </c>
      <c r="E152" s="130" t="s">
        <v>142</v>
      </c>
      <c r="F152" s="127" t="s">
        <v>724</v>
      </c>
      <c r="G152" s="123" t="s">
        <v>863</v>
      </c>
      <c r="I152" s="120" t="s">
        <v>864</v>
      </c>
      <c r="J152" s="120"/>
      <c r="K152" s="120"/>
      <c r="L152" s="135"/>
      <c r="N152" s="13" t="s">
        <v>465</v>
      </c>
      <c r="O152" s="14" t="s">
        <v>454</v>
      </c>
      <c r="P152" s="14" t="s">
        <v>388</v>
      </c>
      <c r="Q152" s="13">
        <v>1</v>
      </c>
      <c r="R152" s="13" t="s">
        <v>194</v>
      </c>
      <c r="S152" s="14">
        <v>0</v>
      </c>
      <c r="T152" s="14">
        <v>89417.99</v>
      </c>
      <c r="U152" s="14">
        <v>4470.8995000000004</v>
      </c>
      <c r="V152" s="14"/>
      <c r="AN152" s="11"/>
      <c r="AO152" s="11"/>
    </row>
    <row r="153" spans="1:41" ht="18" customHeight="1" x14ac:dyDescent="0.3">
      <c r="A153" s="123" t="s">
        <v>824</v>
      </c>
      <c r="B153" s="125" t="s">
        <v>843</v>
      </c>
      <c r="C153" s="129">
        <v>25</v>
      </c>
      <c r="D153" s="122" t="s">
        <v>141</v>
      </c>
      <c r="E153" s="130" t="s">
        <v>844</v>
      </c>
      <c r="F153" s="127" t="s">
        <v>724</v>
      </c>
      <c r="G153" s="123" t="s">
        <v>863</v>
      </c>
      <c r="I153" s="120" t="s">
        <v>864</v>
      </c>
      <c r="J153" s="120"/>
      <c r="K153" s="120"/>
      <c r="L153" s="135"/>
      <c r="N153" s="13" t="s">
        <v>466</v>
      </c>
      <c r="O153" s="14" t="s">
        <v>454</v>
      </c>
      <c r="P153" s="14" t="s">
        <v>467</v>
      </c>
      <c r="Q153" s="13">
        <v>1</v>
      </c>
      <c r="R153" s="13" t="s">
        <v>194</v>
      </c>
      <c r="S153" s="14">
        <v>0</v>
      </c>
      <c r="T153" s="14">
        <v>98635.206999999995</v>
      </c>
      <c r="U153" s="14">
        <v>4931.7603500000005</v>
      </c>
      <c r="V153" s="14"/>
      <c r="AN153" s="11"/>
      <c r="AO153" s="11"/>
    </row>
    <row r="154" spans="1:41" ht="18" customHeight="1" x14ac:dyDescent="0.3">
      <c r="A154" s="123" t="s">
        <v>825</v>
      </c>
      <c r="B154" s="125" t="s">
        <v>843</v>
      </c>
      <c r="C154" s="129">
        <v>32</v>
      </c>
      <c r="D154" s="122" t="s">
        <v>141</v>
      </c>
      <c r="E154" s="130" t="s">
        <v>845</v>
      </c>
      <c r="F154" s="127" t="s">
        <v>724</v>
      </c>
      <c r="G154" s="123" t="s">
        <v>863</v>
      </c>
      <c r="I154" s="120" t="s">
        <v>865</v>
      </c>
      <c r="J154" s="120"/>
      <c r="K154" s="120"/>
      <c r="L154" s="135"/>
      <c r="N154" s="13" t="s">
        <v>468</v>
      </c>
      <c r="O154" s="14" t="s">
        <v>454</v>
      </c>
      <c r="P154" s="14" t="s">
        <v>469</v>
      </c>
      <c r="Q154" s="13">
        <v>1</v>
      </c>
      <c r="R154" s="13" t="s">
        <v>194</v>
      </c>
      <c r="S154" s="14">
        <v>0</v>
      </c>
      <c r="T154" s="14">
        <v>111219.576</v>
      </c>
      <c r="U154" s="14">
        <v>5560.9788000000008</v>
      </c>
      <c r="V154" s="14"/>
      <c r="AN154" s="11"/>
      <c r="AO154" s="11"/>
    </row>
    <row r="155" spans="1:41" ht="18" customHeight="1" x14ac:dyDescent="0.3">
      <c r="A155" s="123" t="s">
        <v>826</v>
      </c>
      <c r="B155" s="125" t="s">
        <v>843</v>
      </c>
      <c r="C155" s="129">
        <v>40</v>
      </c>
      <c r="D155" s="122" t="s">
        <v>141</v>
      </c>
      <c r="E155" s="130" t="s">
        <v>846</v>
      </c>
      <c r="F155" s="127" t="s">
        <v>724</v>
      </c>
      <c r="G155" s="123" t="s">
        <v>863</v>
      </c>
      <c r="I155" s="120" t="s">
        <v>866</v>
      </c>
      <c r="J155" s="120"/>
      <c r="K155" s="120"/>
      <c r="L155" s="135"/>
      <c r="N155" s="13" t="s">
        <v>470</v>
      </c>
      <c r="O155" s="14" t="s">
        <v>454</v>
      </c>
      <c r="P155" s="14" t="s">
        <v>471</v>
      </c>
      <c r="Q155" s="13">
        <v>1</v>
      </c>
      <c r="R155" s="13" t="s">
        <v>194</v>
      </c>
      <c r="S155" s="14">
        <v>0</v>
      </c>
      <c r="T155" s="14">
        <v>123395.996</v>
      </c>
      <c r="U155" s="14">
        <v>6169.7998000000007</v>
      </c>
      <c r="V155" s="14"/>
      <c r="AN155" s="11"/>
      <c r="AO155" s="11"/>
    </row>
    <row r="156" spans="1:41" ht="18" customHeight="1" x14ac:dyDescent="0.3">
      <c r="A156" s="123" t="s">
        <v>827</v>
      </c>
      <c r="B156" s="125" t="s">
        <v>843</v>
      </c>
      <c r="C156" s="129">
        <v>50</v>
      </c>
      <c r="D156" s="122" t="s">
        <v>141</v>
      </c>
      <c r="E156" s="130" t="s">
        <v>847</v>
      </c>
      <c r="F156" s="127" t="s">
        <v>724</v>
      </c>
      <c r="G156" s="123" t="s">
        <v>863</v>
      </c>
      <c r="I156" s="120" t="s">
        <v>867</v>
      </c>
      <c r="J156" s="120"/>
      <c r="K156" s="120"/>
      <c r="L156" s="135"/>
      <c r="N156" s="13" t="s">
        <v>472</v>
      </c>
      <c r="O156" s="14" t="s">
        <v>454</v>
      </c>
      <c r="P156" s="14" t="s">
        <v>392</v>
      </c>
      <c r="Q156" s="13">
        <v>1</v>
      </c>
      <c r="R156" s="13" t="s">
        <v>194</v>
      </c>
      <c r="S156" s="14">
        <v>0</v>
      </c>
      <c r="T156" s="14">
        <v>135810.56099999999</v>
      </c>
      <c r="U156" s="14">
        <v>6790.5280499999999</v>
      </c>
      <c r="V156" s="14"/>
      <c r="AN156" s="11"/>
      <c r="AO156" s="11"/>
    </row>
    <row r="157" spans="1:41" ht="18" customHeight="1" x14ac:dyDescent="0.3">
      <c r="A157" s="123" t="s">
        <v>828</v>
      </c>
      <c r="B157" s="125" t="s">
        <v>843</v>
      </c>
      <c r="C157" s="129">
        <v>63</v>
      </c>
      <c r="D157" s="122" t="s">
        <v>141</v>
      </c>
      <c r="E157" s="130" t="s">
        <v>848</v>
      </c>
      <c r="F157" s="127" t="s">
        <v>724</v>
      </c>
      <c r="G157" s="123" t="s">
        <v>863</v>
      </c>
      <c r="I157" s="120" t="s">
        <v>868</v>
      </c>
      <c r="J157" s="120"/>
      <c r="K157" s="120"/>
      <c r="L157" s="135"/>
      <c r="N157" s="13" t="s">
        <v>473</v>
      </c>
      <c r="O157" s="14" t="s">
        <v>454</v>
      </c>
      <c r="P157" s="14" t="s">
        <v>394</v>
      </c>
      <c r="Q157" s="13">
        <v>1</v>
      </c>
      <c r="R157" s="13" t="s">
        <v>194</v>
      </c>
      <c r="S157" s="14">
        <v>0</v>
      </c>
      <c r="T157" s="14">
        <v>151354.133</v>
      </c>
      <c r="U157" s="14">
        <v>7567.7066500000001</v>
      </c>
      <c r="V157" s="14"/>
      <c r="AN157" s="11"/>
      <c r="AO157" s="11"/>
    </row>
    <row r="158" spans="1:41" ht="18" customHeight="1" x14ac:dyDescent="0.3">
      <c r="A158" s="123" t="s">
        <v>829</v>
      </c>
      <c r="B158" s="125" t="s">
        <v>843</v>
      </c>
      <c r="C158" s="129">
        <v>75</v>
      </c>
      <c r="D158" s="122" t="s">
        <v>141</v>
      </c>
      <c r="E158" s="130" t="s">
        <v>849</v>
      </c>
      <c r="F158" s="127" t="s">
        <v>724</v>
      </c>
      <c r="G158" s="123" t="s">
        <v>863</v>
      </c>
      <c r="I158" s="120" t="s">
        <v>869</v>
      </c>
      <c r="J158" s="120"/>
      <c r="K158" s="120"/>
      <c r="L158" s="135"/>
      <c r="N158" s="13" t="s">
        <v>474</v>
      </c>
      <c r="O158" s="14" t="s">
        <v>454</v>
      </c>
      <c r="P158" s="14" t="s">
        <v>396</v>
      </c>
      <c r="Q158" s="13">
        <v>1</v>
      </c>
      <c r="R158" s="13" t="s">
        <v>194</v>
      </c>
      <c r="S158" s="14">
        <v>0</v>
      </c>
      <c r="T158" s="14">
        <v>166897.70499999999</v>
      </c>
      <c r="U158" s="14">
        <v>8344.8852499999994</v>
      </c>
      <c r="V158" s="14"/>
      <c r="AN158" s="11"/>
      <c r="AO158" s="11"/>
    </row>
    <row r="159" spans="1:41" ht="18" customHeight="1" x14ac:dyDescent="0.3">
      <c r="A159" s="123" t="s">
        <v>830</v>
      </c>
      <c r="B159" s="125" t="s">
        <v>843</v>
      </c>
      <c r="C159" s="129">
        <v>90</v>
      </c>
      <c r="D159" s="122" t="s">
        <v>141</v>
      </c>
      <c r="E159" s="130" t="s">
        <v>850</v>
      </c>
      <c r="F159" s="127" t="s">
        <v>724</v>
      </c>
      <c r="G159" s="123" t="s">
        <v>863</v>
      </c>
      <c r="I159" s="120" t="s">
        <v>870</v>
      </c>
      <c r="J159" s="120"/>
      <c r="K159" s="120"/>
      <c r="L159" s="135"/>
      <c r="N159" s="13" t="s">
        <v>475</v>
      </c>
      <c r="O159" s="14" t="s">
        <v>454</v>
      </c>
      <c r="P159" s="14" t="s">
        <v>476</v>
      </c>
      <c r="Q159" s="13">
        <v>1</v>
      </c>
      <c r="R159" s="13" t="s">
        <v>194</v>
      </c>
      <c r="S159" s="14">
        <v>0</v>
      </c>
      <c r="T159" s="14">
        <v>185332.139</v>
      </c>
      <c r="U159" s="14">
        <v>9266.6069499999994</v>
      </c>
      <c r="V159" s="14"/>
      <c r="AN159" s="11"/>
      <c r="AO159" s="11"/>
    </row>
    <row r="160" spans="1:41" ht="18" customHeight="1" x14ac:dyDescent="0.3">
      <c r="A160" s="123" t="s">
        <v>831</v>
      </c>
      <c r="B160" s="125" t="s">
        <v>843</v>
      </c>
      <c r="C160" s="129">
        <v>110</v>
      </c>
      <c r="D160" s="122" t="s">
        <v>141</v>
      </c>
      <c r="E160" s="130" t="s">
        <v>851</v>
      </c>
      <c r="F160" s="127" t="s">
        <v>724</v>
      </c>
      <c r="G160" s="123" t="s">
        <v>863</v>
      </c>
      <c r="I160" s="120" t="s">
        <v>871</v>
      </c>
      <c r="J160" s="120"/>
      <c r="K160" s="120"/>
      <c r="L160" s="135"/>
      <c r="N160" s="13" t="s">
        <v>477</v>
      </c>
      <c r="O160" s="14" t="s">
        <v>454</v>
      </c>
      <c r="P160" s="14" t="s">
        <v>478</v>
      </c>
      <c r="Q160" s="13">
        <v>1</v>
      </c>
      <c r="R160" s="13" t="s">
        <v>194</v>
      </c>
      <c r="S160" s="14">
        <v>0</v>
      </c>
      <c r="T160" s="14">
        <v>206963.921</v>
      </c>
      <c r="U160" s="14">
        <v>10348.19605</v>
      </c>
      <c r="V160" s="14"/>
      <c r="AN160" s="11"/>
      <c r="AO160" s="11"/>
    </row>
    <row r="161" spans="1:41" ht="18" customHeight="1" x14ac:dyDescent="0.3">
      <c r="A161" s="123" t="s">
        <v>832</v>
      </c>
      <c r="B161" s="125" t="s">
        <v>843</v>
      </c>
      <c r="C161" s="129">
        <v>140</v>
      </c>
      <c r="D161" s="122" t="s">
        <v>141</v>
      </c>
      <c r="E161" s="130" t="s">
        <v>852</v>
      </c>
      <c r="F161" s="127" t="s">
        <v>724</v>
      </c>
      <c r="G161" s="123" t="s">
        <v>863</v>
      </c>
      <c r="I161" s="120" t="s">
        <v>872</v>
      </c>
      <c r="J161" s="120"/>
      <c r="K161" s="120"/>
      <c r="L161" s="135"/>
      <c r="N161" s="13" t="s">
        <v>479</v>
      </c>
      <c r="O161" s="14" t="s">
        <v>454</v>
      </c>
      <c r="P161" s="14" t="s">
        <v>480</v>
      </c>
      <c r="Q161" s="13">
        <v>1</v>
      </c>
      <c r="R161" s="13" t="s">
        <v>194</v>
      </c>
      <c r="S161" s="14">
        <v>0</v>
      </c>
      <c r="T161" s="14">
        <v>231962.85499999998</v>
      </c>
      <c r="U161" s="14">
        <v>11598.142749999999</v>
      </c>
      <c r="V161" s="14"/>
      <c r="AN161" s="11"/>
      <c r="AO161" s="11"/>
    </row>
    <row r="162" spans="1:41" ht="18" customHeight="1" x14ac:dyDescent="0.3">
      <c r="A162" s="123" t="s">
        <v>833</v>
      </c>
      <c r="B162" s="125" t="s">
        <v>843</v>
      </c>
      <c r="C162" s="129">
        <v>160</v>
      </c>
      <c r="D162" s="122" t="s">
        <v>141</v>
      </c>
      <c r="E162" s="130" t="s">
        <v>853</v>
      </c>
      <c r="F162" s="127" t="s">
        <v>724</v>
      </c>
      <c r="G162" s="123" t="s">
        <v>863</v>
      </c>
      <c r="I162" s="120" t="s">
        <v>873</v>
      </c>
      <c r="J162" s="120"/>
      <c r="K162" s="120"/>
      <c r="L162" s="135"/>
      <c r="N162" s="13" t="s">
        <v>481</v>
      </c>
      <c r="O162" s="14" t="s">
        <v>454</v>
      </c>
      <c r="P162" s="14" t="s">
        <v>401</v>
      </c>
      <c r="Q162" s="13">
        <v>1</v>
      </c>
      <c r="R162" s="13" t="s">
        <v>194</v>
      </c>
      <c r="S162" s="14">
        <v>0</v>
      </c>
      <c r="T162" s="14">
        <v>259852.65100000001</v>
      </c>
      <c r="U162" s="14">
        <v>12992.632550000002</v>
      </c>
      <c r="V162" s="14"/>
      <c r="AN162" s="11"/>
      <c r="AO162" s="11"/>
    </row>
    <row r="163" spans="1:41" ht="18" customHeight="1" x14ac:dyDescent="0.3">
      <c r="A163" s="123" t="s">
        <v>834</v>
      </c>
      <c r="B163" s="125" t="s">
        <v>843</v>
      </c>
      <c r="C163" s="129">
        <v>225</v>
      </c>
      <c r="D163" s="122" t="s">
        <v>141</v>
      </c>
      <c r="E163" s="130" t="s">
        <v>854</v>
      </c>
      <c r="F163" s="127" t="s">
        <v>724</v>
      </c>
      <c r="G163" s="123" t="s">
        <v>863</v>
      </c>
      <c r="I163" s="120" t="s">
        <v>874</v>
      </c>
      <c r="J163" s="120"/>
      <c r="K163" s="120"/>
      <c r="L163" s="135"/>
      <c r="N163" s="13" t="s">
        <v>482</v>
      </c>
      <c r="O163" s="14" t="s">
        <v>483</v>
      </c>
      <c r="P163" s="14" t="s">
        <v>387</v>
      </c>
      <c r="Q163" s="13">
        <v>1</v>
      </c>
      <c r="R163" s="13" t="s">
        <v>194</v>
      </c>
      <c r="S163" s="14">
        <v>0</v>
      </c>
      <c r="T163" s="14">
        <v>0</v>
      </c>
      <c r="U163" s="14">
        <v>0</v>
      </c>
      <c r="V163" s="14"/>
      <c r="AN163" s="11"/>
      <c r="AO163" s="11"/>
    </row>
    <row r="164" spans="1:41" ht="18" customHeight="1" x14ac:dyDescent="0.3">
      <c r="A164" s="123" t="s">
        <v>835</v>
      </c>
      <c r="B164" s="125" t="s">
        <v>843</v>
      </c>
      <c r="C164" s="129">
        <v>280</v>
      </c>
      <c r="D164" s="122" t="s">
        <v>141</v>
      </c>
      <c r="E164" s="130" t="s">
        <v>855</v>
      </c>
      <c r="F164" s="127" t="s">
        <v>724</v>
      </c>
      <c r="G164" s="123" t="s">
        <v>863</v>
      </c>
      <c r="I164" s="120" t="s">
        <v>875</v>
      </c>
      <c r="J164" s="120"/>
      <c r="K164" s="120"/>
      <c r="L164" s="135"/>
      <c r="N164" s="13" t="s">
        <v>484</v>
      </c>
      <c r="O164" s="14" t="s">
        <v>483</v>
      </c>
      <c r="P164" s="14" t="s">
        <v>389</v>
      </c>
      <c r="Q164" s="13">
        <v>1</v>
      </c>
      <c r="R164" s="13" t="s">
        <v>194</v>
      </c>
      <c r="S164" s="14">
        <v>0</v>
      </c>
      <c r="T164" s="14">
        <v>72437.159999999989</v>
      </c>
      <c r="U164" s="14">
        <v>0</v>
      </c>
      <c r="V164" s="14"/>
      <c r="AN164" s="11"/>
      <c r="AO164" s="11"/>
    </row>
    <row r="165" spans="1:41" ht="18" customHeight="1" x14ac:dyDescent="0.3">
      <c r="A165" s="123" t="s">
        <v>836</v>
      </c>
      <c r="B165" s="125" t="s">
        <v>843</v>
      </c>
      <c r="C165" s="129">
        <v>315</v>
      </c>
      <c r="D165" s="122" t="s">
        <v>141</v>
      </c>
      <c r="E165" s="130" t="s">
        <v>856</v>
      </c>
      <c r="F165" s="127" t="s">
        <v>724</v>
      </c>
      <c r="G165" s="123" t="s">
        <v>863</v>
      </c>
      <c r="I165" s="120" t="s">
        <v>876</v>
      </c>
      <c r="J165" s="120"/>
      <c r="K165" s="120"/>
      <c r="L165" s="135"/>
      <c r="N165" s="13" t="s">
        <v>485</v>
      </c>
      <c r="O165" s="14" t="s">
        <v>483</v>
      </c>
      <c r="P165" s="14" t="s">
        <v>392</v>
      </c>
      <c r="Q165" s="13">
        <v>1</v>
      </c>
      <c r="R165" s="13" t="s">
        <v>194</v>
      </c>
      <c r="S165" s="14">
        <v>0</v>
      </c>
      <c r="T165" s="14">
        <v>91819.98</v>
      </c>
      <c r="U165" s="14">
        <v>28150.47</v>
      </c>
      <c r="V165" s="14"/>
      <c r="AN165" s="11"/>
      <c r="AO165" s="11"/>
    </row>
    <row r="166" spans="1:41" ht="18" customHeight="1" x14ac:dyDescent="0.3">
      <c r="A166" s="123" t="s">
        <v>837</v>
      </c>
      <c r="B166" s="125" t="s">
        <v>843</v>
      </c>
      <c r="C166" s="129">
        <v>355</v>
      </c>
      <c r="D166" s="122" t="s">
        <v>141</v>
      </c>
      <c r="E166" s="130" t="s">
        <v>857</v>
      </c>
      <c r="F166" s="127" t="s">
        <v>724</v>
      </c>
      <c r="G166" s="123" t="s">
        <v>863</v>
      </c>
      <c r="I166" s="120" t="s">
        <v>479</v>
      </c>
      <c r="J166" s="120"/>
      <c r="K166" s="120"/>
      <c r="L166" s="135"/>
      <c r="N166" s="13" t="s">
        <v>486</v>
      </c>
      <c r="O166" s="14" t="s">
        <v>483</v>
      </c>
      <c r="P166" s="14" t="s">
        <v>396</v>
      </c>
      <c r="Q166" s="13">
        <v>1</v>
      </c>
      <c r="R166" s="13" t="s">
        <v>194</v>
      </c>
      <c r="S166" s="14">
        <v>0</v>
      </c>
      <c r="T166" s="14">
        <v>43528.54</v>
      </c>
      <c r="U166" s="14">
        <v>31278.3</v>
      </c>
      <c r="V166" s="14"/>
      <c r="AN166" s="11"/>
      <c r="AO166" s="11"/>
    </row>
    <row r="167" spans="1:41" ht="18" customHeight="1" x14ac:dyDescent="0.3">
      <c r="A167" s="123" t="s">
        <v>838</v>
      </c>
      <c r="B167" s="125" t="s">
        <v>843</v>
      </c>
      <c r="C167" s="129">
        <v>400</v>
      </c>
      <c r="D167" s="122" t="s">
        <v>141</v>
      </c>
      <c r="E167" s="130" t="s">
        <v>858</v>
      </c>
      <c r="F167" s="127" t="s">
        <v>724</v>
      </c>
      <c r="G167" s="123" t="s">
        <v>863</v>
      </c>
      <c r="I167" s="120" t="s">
        <v>481</v>
      </c>
      <c r="J167" s="120"/>
      <c r="K167" s="120"/>
      <c r="L167" s="135"/>
      <c r="N167" s="13" t="s">
        <v>487</v>
      </c>
      <c r="O167" s="14" t="s">
        <v>483</v>
      </c>
      <c r="P167" s="14" t="s">
        <v>397</v>
      </c>
      <c r="Q167" s="13">
        <v>1</v>
      </c>
      <c r="R167" s="13" t="s">
        <v>194</v>
      </c>
      <c r="S167" s="14">
        <v>0</v>
      </c>
      <c r="T167" s="14">
        <v>48291.44</v>
      </c>
      <c r="U167" s="14">
        <v>35448.740000000005</v>
      </c>
      <c r="V167" s="14"/>
      <c r="AN167" s="11"/>
      <c r="AO167" s="11"/>
    </row>
    <row r="168" spans="1:41" ht="18" customHeight="1" x14ac:dyDescent="0.3">
      <c r="A168" s="123" t="s">
        <v>839</v>
      </c>
      <c r="B168" s="125" t="s">
        <v>843</v>
      </c>
      <c r="C168" s="129">
        <v>450</v>
      </c>
      <c r="D168" s="122" t="s">
        <v>141</v>
      </c>
      <c r="E168" s="130" t="s">
        <v>859</v>
      </c>
      <c r="F168" s="127" t="s">
        <v>724</v>
      </c>
      <c r="G168" s="123" t="s">
        <v>863</v>
      </c>
      <c r="I168" s="120"/>
      <c r="J168" s="120"/>
      <c r="K168" s="120"/>
      <c r="L168" s="120"/>
      <c r="N168" s="13" t="s">
        <v>488</v>
      </c>
      <c r="O168" s="14" t="s">
        <v>483</v>
      </c>
      <c r="P168" s="14" t="s">
        <v>399</v>
      </c>
      <c r="Q168" s="13">
        <v>1</v>
      </c>
      <c r="R168" s="13" t="s">
        <v>194</v>
      </c>
      <c r="S168" s="14">
        <v>0</v>
      </c>
      <c r="T168" s="14">
        <v>54752.38</v>
      </c>
      <c r="U168" s="14">
        <v>38576.57</v>
      </c>
      <c r="V168" s="14"/>
      <c r="AN168" s="11"/>
      <c r="AO168" s="11"/>
    </row>
    <row r="169" spans="1:41" ht="18" customHeight="1" x14ac:dyDescent="0.3">
      <c r="A169" s="123" t="s">
        <v>840</v>
      </c>
      <c r="B169" s="125" t="s">
        <v>843</v>
      </c>
      <c r="C169" s="129">
        <v>500</v>
      </c>
      <c r="D169" s="122" t="s">
        <v>141</v>
      </c>
      <c r="E169" s="130" t="s">
        <v>860</v>
      </c>
      <c r="F169" s="127" t="s">
        <v>724</v>
      </c>
      <c r="G169" s="123" t="s">
        <v>863</v>
      </c>
      <c r="I169" s="120"/>
      <c r="J169" s="120"/>
      <c r="K169" s="120"/>
      <c r="L169" s="120"/>
      <c r="N169" s="13" t="s">
        <v>489</v>
      </c>
      <c r="O169" s="14" t="s">
        <v>483</v>
      </c>
      <c r="P169" s="14" t="s">
        <v>401</v>
      </c>
      <c r="Q169" s="13">
        <v>1</v>
      </c>
      <c r="R169" s="13" t="s">
        <v>194</v>
      </c>
      <c r="S169" s="14">
        <v>0</v>
      </c>
      <c r="T169" s="14">
        <v>67674.259999999995</v>
      </c>
      <c r="U169" s="14">
        <v>42747.009999999995</v>
      </c>
      <c r="V169" s="14"/>
      <c r="AN169" s="11"/>
      <c r="AO169" s="11"/>
    </row>
    <row r="170" spans="1:41" ht="18" customHeight="1" x14ac:dyDescent="0.3">
      <c r="A170" s="123" t="s">
        <v>841</v>
      </c>
      <c r="B170" s="125" t="s">
        <v>843</v>
      </c>
      <c r="C170" s="129">
        <v>560</v>
      </c>
      <c r="D170" s="122" t="s">
        <v>141</v>
      </c>
      <c r="E170" s="130" t="s">
        <v>861</v>
      </c>
      <c r="F170" s="127" t="s">
        <v>724</v>
      </c>
      <c r="G170" s="123" t="s">
        <v>863</v>
      </c>
      <c r="I170" s="120"/>
      <c r="J170" s="120"/>
      <c r="K170" s="120"/>
      <c r="L170" s="120"/>
      <c r="N170" s="13" t="s">
        <v>490</v>
      </c>
      <c r="O170" s="14" t="s">
        <v>483</v>
      </c>
      <c r="P170" s="14" t="s">
        <v>403</v>
      </c>
      <c r="Q170" s="13">
        <v>1</v>
      </c>
      <c r="R170" s="13" t="s">
        <v>194</v>
      </c>
      <c r="S170" s="14">
        <v>0</v>
      </c>
      <c r="T170" s="14">
        <v>78898.100000000006</v>
      </c>
      <c r="U170" s="14">
        <v>45874.840000000004</v>
      </c>
      <c r="V170" s="14"/>
      <c r="AN170" s="11"/>
      <c r="AO170" s="11"/>
    </row>
    <row r="171" spans="1:41" ht="18" customHeight="1" x14ac:dyDescent="0.3">
      <c r="A171" s="123" t="s">
        <v>842</v>
      </c>
      <c r="B171" s="125" t="s">
        <v>843</v>
      </c>
      <c r="C171" s="129">
        <v>630</v>
      </c>
      <c r="D171" s="122" t="s">
        <v>141</v>
      </c>
      <c r="E171" s="130" t="s">
        <v>862</v>
      </c>
      <c r="F171" s="127" t="s">
        <v>724</v>
      </c>
      <c r="G171" s="123" t="s">
        <v>863</v>
      </c>
      <c r="I171" s="120"/>
      <c r="J171" s="120"/>
      <c r="K171" s="120"/>
      <c r="L171" s="120"/>
      <c r="N171" s="13" t="s">
        <v>491</v>
      </c>
      <c r="O171" s="14" t="s">
        <v>483</v>
      </c>
      <c r="P171" s="14" t="s">
        <v>405</v>
      </c>
      <c r="Q171" s="13">
        <v>1</v>
      </c>
      <c r="R171" s="13" t="s">
        <v>194</v>
      </c>
      <c r="S171" s="14">
        <v>0</v>
      </c>
      <c r="T171" s="14">
        <v>94201.43</v>
      </c>
      <c r="U171" s="14">
        <v>53173.11</v>
      </c>
      <c r="V171" s="14"/>
      <c r="AN171" s="11"/>
      <c r="AO171" s="11"/>
    </row>
    <row r="172" spans="1:41" ht="18" customHeight="1" x14ac:dyDescent="0.3">
      <c r="A172" s="123" t="s">
        <v>877</v>
      </c>
      <c r="B172" s="125" t="s">
        <v>895</v>
      </c>
      <c r="C172" s="131">
        <v>150</v>
      </c>
      <c r="D172" s="122" t="s">
        <v>897</v>
      </c>
      <c r="E172" s="130" t="s">
        <v>898</v>
      </c>
      <c r="F172" s="127" t="s">
        <v>724</v>
      </c>
      <c r="G172" s="123" t="s">
        <v>896</v>
      </c>
      <c r="I172" s="120" t="s">
        <v>916</v>
      </c>
      <c r="J172" s="120"/>
      <c r="K172" s="120"/>
      <c r="L172" s="135"/>
      <c r="N172" s="13" t="s">
        <v>492</v>
      </c>
      <c r="O172" s="14" t="s">
        <v>483</v>
      </c>
      <c r="P172" s="14" t="s">
        <v>409</v>
      </c>
      <c r="Q172" s="13">
        <v>1</v>
      </c>
      <c r="R172" s="13" t="s">
        <v>194</v>
      </c>
      <c r="S172" s="14">
        <v>0</v>
      </c>
      <c r="T172" s="14">
        <v>122426.64</v>
      </c>
      <c r="U172" s="14">
        <v>60471.38</v>
      </c>
      <c r="V172" s="14"/>
      <c r="AN172" s="11"/>
      <c r="AO172" s="11"/>
    </row>
    <row r="173" spans="1:41" ht="18" customHeight="1" x14ac:dyDescent="0.3">
      <c r="A173" s="123" t="s">
        <v>878</v>
      </c>
      <c r="B173" s="125" t="s">
        <v>895</v>
      </c>
      <c r="C173" s="131">
        <v>200</v>
      </c>
      <c r="D173" s="122" t="s">
        <v>897</v>
      </c>
      <c r="E173" s="130" t="s">
        <v>899</v>
      </c>
      <c r="F173" s="127" t="s">
        <v>724</v>
      </c>
      <c r="G173" s="123" t="s">
        <v>896</v>
      </c>
      <c r="I173" s="120" t="s">
        <v>917</v>
      </c>
      <c r="J173" s="120"/>
      <c r="K173" s="120"/>
      <c r="L173" s="135"/>
      <c r="N173" s="13" t="s">
        <v>493</v>
      </c>
      <c r="O173" s="14" t="s">
        <v>483</v>
      </c>
      <c r="P173" s="14" t="s">
        <v>413</v>
      </c>
      <c r="Q173" s="13">
        <v>1</v>
      </c>
      <c r="R173" s="13" t="s">
        <v>194</v>
      </c>
      <c r="S173" s="14">
        <v>0</v>
      </c>
      <c r="T173" s="14">
        <v>148953.81</v>
      </c>
      <c r="U173" s="14">
        <v>67769.650000000009</v>
      </c>
      <c r="V173" s="14"/>
    </row>
    <row r="174" spans="1:41" ht="18" customHeight="1" x14ac:dyDescent="0.3">
      <c r="A174" s="123" t="s">
        <v>879</v>
      </c>
      <c r="B174" s="125" t="s">
        <v>895</v>
      </c>
      <c r="C174" s="131">
        <v>250</v>
      </c>
      <c r="D174" s="122" t="s">
        <v>897</v>
      </c>
      <c r="E174" s="130" t="s">
        <v>900</v>
      </c>
      <c r="F174" s="127" t="s">
        <v>724</v>
      </c>
      <c r="G174" s="123" t="s">
        <v>896</v>
      </c>
      <c r="I174" s="120" t="s">
        <v>918</v>
      </c>
      <c r="J174" s="120"/>
      <c r="K174" s="120"/>
      <c r="L174" s="135"/>
      <c r="N174" s="13" t="s">
        <v>494</v>
      </c>
      <c r="O174" s="14" t="s">
        <v>483</v>
      </c>
      <c r="P174" s="14" t="s">
        <v>417</v>
      </c>
      <c r="Q174" s="13">
        <v>1</v>
      </c>
      <c r="R174" s="13" t="s">
        <v>194</v>
      </c>
      <c r="S174" s="14">
        <v>0</v>
      </c>
      <c r="T174" s="14">
        <v>177179.01999999996</v>
      </c>
      <c r="U174" s="14">
        <v>75067.92</v>
      </c>
      <c r="V174" s="14"/>
    </row>
    <row r="175" spans="1:41" ht="18" customHeight="1" x14ac:dyDescent="0.3">
      <c r="A175" s="123" t="s">
        <v>880</v>
      </c>
      <c r="B175" s="125" t="s">
        <v>895</v>
      </c>
      <c r="C175" s="131">
        <v>300</v>
      </c>
      <c r="D175" s="122" t="s">
        <v>897</v>
      </c>
      <c r="E175" s="130" t="s">
        <v>901</v>
      </c>
      <c r="F175" s="127" t="s">
        <v>724</v>
      </c>
      <c r="G175" s="123" t="s">
        <v>896</v>
      </c>
      <c r="I175" s="120" t="s">
        <v>919</v>
      </c>
      <c r="J175" s="120"/>
      <c r="K175" s="120"/>
      <c r="L175" s="135"/>
      <c r="N175" s="13" t="s">
        <v>495</v>
      </c>
      <c r="O175" s="14" t="s">
        <v>483</v>
      </c>
      <c r="P175" s="14" t="s">
        <v>421</v>
      </c>
      <c r="Q175" s="13">
        <v>1</v>
      </c>
      <c r="R175" s="13" t="s">
        <v>194</v>
      </c>
      <c r="S175" s="14">
        <v>0</v>
      </c>
      <c r="T175" s="14">
        <v>203022.78000000003</v>
      </c>
      <c r="U175" s="14">
        <v>82366.19</v>
      </c>
      <c r="V175" s="14"/>
    </row>
    <row r="176" spans="1:41" ht="18" customHeight="1" x14ac:dyDescent="0.3">
      <c r="A176" s="123" t="s">
        <v>881</v>
      </c>
      <c r="B176" s="125" t="s">
        <v>895</v>
      </c>
      <c r="C176" s="131">
        <v>350</v>
      </c>
      <c r="D176" s="122" t="s">
        <v>897</v>
      </c>
      <c r="E176" s="130" t="s">
        <v>902</v>
      </c>
      <c r="F176" s="127" t="s">
        <v>724</v>
      </c>
      <c r="G176" s="123" t="s">
        <v>896</v>
      </c>
      <c r="I176" s="120" t="s">
        <v>920</v>
      </c>
      <c r="J176" s="120"/>
      <c r="K176" s="120"/>
      <c r="L176" s="135"/>
      <c r="N176" s="13" t="s">
        <v>496</v>
      </c>
      <c r="O176" s="14" t="s">
        <v>483</v>
      </c>
      <c r="P176" s="14" t="s">
        <v>423</v>
      </c>
      <c r="Q176" s="13">
        <v>1</v>
      </c>
      <c r="R176" s="13" t="s">
        <v>194</v>
      </c>
      <c r="S176" s="14">
        <v>0</v>
      </c>
      <c r="T176" s="14">
        <v>229549.95</v>
      </c>
      <c r="U176" s="14">
        <v>96962.73000000001</v>
      </c>
      <c r="V176" s="14"/>
    </row>
    <row r="177" spans="1:22" ht="18" customHeight="1" x14ac:dyDescent="0.3">
      <c r="A177" s="123" t="s">
        <v>882</v>
      </c>
      <c r="B177" s="125" t="s">
        <v>895</v>
      </c>
      <c r="C177" s="131">
        <v>400</v>
      </c>
      <c r="D177" s="122" t="s">
        <v>897</v>
      </c>
      <c r="E177" s="130" t="s">
        <v>903</v>
      </c>
      <c r="F177" s="127" t="s">
        <v>724</v>
      </c>
      <c r="G177" s="123" t="s">
        <v>896</v>
      </c>
      <c r="I177" s="120" t="s">
        <v>921</v>
      </c>
      <c r="J177" s="120"/>
      <c r="K177" s="120"/>
      <c r="L177" s="135"/>
      <c r="N177" s="13" t="s">
        <v>497</v>
      </c>
      <c r="O177" s="14" t="s">
        <v>483</v>
      </c>
      <c r="P177" s="14" t="s">
        <v>427</v>
      </c>
      <c r="Q177" s="13">
        <v>1</v>
      </c>
      <c r="R177" s="13" t="s">
        <v>194</v>
      </c>
      <c r="S177" s="14">
        <v>0</v>
      </c>
      <c r="T177" s="14">
        <v>284302.33</v>
      </c>
      <c r="U177" s="14">
        <v>108431.44</v>
      </c>
      <c r="V177" s="14"/>
    </row>
    <row r="178" spans="1:22" ht="18" customHeight="1" x14ac:dyDescent="0.3">
      <c r="A178" s="123" t="s">
        <v>883</v>
      </c>
      <c r="B178" s="125" t="s">
        <v>895</v>
      </c>
      <c r="C178" s="131">
        <v>450</v>
      </c>
      <c r="D178" s="122" t="s">
        <v>897</v>
      </c>
      <c r="E178" s="130" t="s">
        <v>904</v>
      </c>
      <c r="F178" s="127" t="s">
        <v>724</v>
      </c>
      <c r="G178" s="123" t="s">
        <v>896</v>
      </c>
      <c r="I178" s="120" t="s">
        <v>922</v>
      </c>
      <c r="J178" s="120"/>
      <c r="K178" s="120"/>
      <c r="L178" s="135"/>
      <c r="N178" s="13" t="s">
        <v>498</v>
      </c>
      <c r="O178" s="14" t="s">
        <v>483</v>
      </c>
      <c r="P178" s="14" t="s">
        <v>429</v>
      </c>
      <c r="Q178" s="13">
        <v>1</v>
      </c>
      <c r="R178" s="13" t="s">
        <v>194</v>
      </c>
      <c r="S178" s="14">
        <v>0</v>
      </c>
      <c r="T178" s="14">
        <v>323751.38</v>
      </c>
      <c r="U178" s="14">
        <v>118857.54</v>
      </c>
      <c r="V178" s="14"/>
    </row>
    <row r="179" spans="1:22" ht="18" customHeight="1" x14ac:dyDescent="0.3">
      <c r="A179" s="123" t="s">
        <v>884</v>
      </c>
      <c r="B179" s="125" t="s">
        <v>895</v>
      </c>
      <c r="C179" s="131">
        <v>500</v>
      </c>
      <c r="D179" s="122" t="s">
        <v>897</v>
      </c>
      <c r="E179" s="130" t="s">
        <v>905</v>
      </c>
      <c r="F179" s="127" t="s">
        <v>724</v>
      </c>
      <c r="G179" s="123" t="s">
        <v>896</v>
      </c>
      <c r="I179" s="120" t="s">
        <v>923</v>
      </c>
      <c r="J179" s="120"/>
      <c r="K179" s="120"/>
      <c r="L179" s="135"/>
      <c r="N179" s="13" t="s">
        <v>499</v>
      </c>
      <c r="O179" s="14" t="s">
        <v>483</v>
      </c>
      <c r="P179" s="14" t="s">
        <v>431</v>
      </c>
      <c r="Q179" s="13">
        <v>1</v>
      </c>
      <c r="R179" s="13" t="s">
        <v>194</v>
      </c>
      <c r="S179" s="14">
        <v>0</v>
      </c>
      <c r="T179" s="14">
        <v>367279.92</v>
      </c>
      <c r="U179" s="14">
        <v>130326.25</v>
      </c>
      <c r="V179" s="14"/>
    </row>
    <row r="180" spans="1:22" ht="18" customHeight="1" x14ac:dyDescent="0.3">
      <c r="A180" s="123" t="s">
        <v>885</v>
      </c>
      <c r="B180" s="125" t="s">
        <v>895</v>
      </c>
      <c r="C180" s="131">
        <v>600</v>
      </c>
      <c r="D180" s="122" t="s">
        <v>897</v>
      </c>
      <c r="E180" s="130" t="s">
        <v>906</v>
      </c>
      <c r="F180" s="127" t="s">
        <v>724</v>
      </c>
      <c r="G180" s="123" t="s">
        <v>896</v>
      </c>
      <c r="I180" s="120" t="s">
        <v>924</v>
      </c>
      <c r="J180" s="120"/>
      <c r="K180" s="120"/>
      <c r="L180" s="135"/>
      <c r="N180" s="13" t="s">
        <v>500</v>
      </c>
      <c r="O180" s="14" t="s">
        <v>483</v>
      </c>
      <c r="P180" s="14" t="s">
        <v>501</v>
      </c>
      <c r="Q180" s="13">
        <v>1</v>
      </c>
      <c r="R180" s="13" t="s">
        <v>194</v>
      </c>
      <c r="S180" s="14">
        <v>0</v>
      </c>
      <c r="T180" s="14">
        <v>406728.97000000003</v>
      </c>
      <c r="U180" s="14">
        <v>141099.88666666631</v>
      </c>
      <c r="V180" s="14"/>
    </row>
    <row r="181" spans="1:22" ht="18" customHeight="1" x14ac:dyDescent="0.3">
      <c r="A181" s="123" t="s">
        <v>886</v>
      </c>
      <c r="B181" s="125" t="s">
        <v>895</v>
      </c>
      <c r="C181" s="131">
        <v>700</v>
      </c>
      <c r="D181" s="122" t="s">
        <v>897</v>
      </c>
      <c r="E181" s="130" t="s">
        <v>907</v>
      </c>
      <c r="F181" s="127" t="s">
        <v>724</v>
      </c>
      <c r="G181" s="123" t="s">
        <v>896</v>
      </c>
      <c r="I181" s="120" t="s">
        <v>925</v>
      </c>
      <c r="J181" s="120"/>
      <c r="K181" s="120"/>
      <c r="L181" s="135"/>
      <c r="N181" s="13" t="s">
        <v>502</v>
      </c>
      <c r="O181" s="14" t="s">
        <v>503</v>
      </c>
      <c r="P181" s="14" t="s">
        <v>387</v>
      </c>
      <c r="Q181" s="13">
        <v>1</v>
      </c>
      <c r="R181" s="13" t="s">
        <v>194</v>
      </c>
      <c r="S181" s="14">
        <v>0</v>
      </c>
      <c r="T181" s="14">
        <v>14800</v>
      </c>
      <c r="U181" s="14">
        <v>0</v>
      </c>
      <c r="V181" s="14"/>
    </row>
    <row r="182" spans="1:22" ht="18" customHeight="1" x14ac:dyDescent="0.3">
      <c r="A182" s="123" t="s">
        <v>887</v>
      </c>
      <c r="B182" s="125" t="s">
        <v>895</v>
      </c>
      <c r="C182" s="131">
        <v>800</v>
      </c>
      <c r="D182" s="122" t="s">
        <v>897</v>
      </c>
      <c r="E182" s="130" t="s">
        <v>908</v>
      </c>
      <c r="F182" s="127" t="s">
        <v>724</v>
      </c>
      <c r="G182" s="123" t="s">
        <v>896</v>
      </c>
      <c r="I182" s="120" t="s">
        <v>926</v>
      </c>
      <c r="J182" s="120"/>
      <c r="K182" s="120"/>
      <c r="L182" s="135"/>
      <c r="N182" s="13" t="s">
        <v>504</v>
      </c>
      <c r="O182" s="14" t="s">
        <v>503</v>
      </c>
      <c r="P182" s="14" t="s">
        <v>389</v>
      </c>
      <c r="Q182" s="13">
        <v>1</v>
      </c>
      <c r="R182" s="13" t="s">
        <v>194</v>
      </c>
      <c r="S182" s="14">
        <v>0</v>
      </c>
      <c r="T182" s="14">
        <v>24050</v>
      </c>
      <c r="U182" s="14">
        <v>0</v>
      </c>
      <c r="V182" s="14"/>
    </row>
    <row r="183" spans="1:22" ht="18" customHeight="1" x14ac:dyDescent="0.3">
      <c r="A183" s="123" t="s">
        <v>888</v>
      </c>
      <c r="B183" s="125" t="s">
        <v>895</v>
      </c>
      <c r="C183" s="131">
        <v>900</v>
      </c>
      <c r="D183" s="122" t="s">
        <v>897</v>
      </c>
      <c r="E183" s="130" t="s">
        <v>909</v>
      </c>
      <c r="F183" s="127" t="s">
        <v>724</v>
      </c>
      <c r="G183" s="123" t="s">
        <v>896</v>
      </c>
      <c r="I183" s="120" t="s">
        <v>927</v>
      </c>
      <c r="J183" s="120"/>
      <c r="K183" s="120"/>
      <c r="L183" s="135"/>
      <c r="N183" s="13" t="s">
        <v>505</v>
      </c>
      <c r="O183" s="14" t="s">
        <v>503</v>
      </c>
      <c r="P183" s="14" t="s">
        <v>392</v>
      </c>
      <c r="Q183" s="13">
        <v>1</v>
      </c>
      <c r="R183" s="13" t="s">
        <v>194</v>
      </c>
      <c r="S183" s="14">
        <v>0</v>
      </c>
      <c r="T183" s="14">
        <v>31450</v>
      </c>
      <c r="U183" s="14">
        <v>0</v>
      </c>
      <c r="V183" s="14"/>
    </row>
    <row r="184" spans="1:22" ht="18" customHeight="1" x14ac:dyDescent="0.3">
      <c r="A184" s="123" t="s">
        <v>889</v>
      </c>
      <c r="B184" s="125" t="s">
        <v>895</v>
      </c>
      <c r="C184" s="131">
        <v>1000</v>
      </c>
      <c r="D184" s="122" t="s">
        <v>897</v>
      </c>
      <c r="E184" s="130" t="s">
        <v>910</v>
      </c>
      <c r="F184" s="127" t="s">
        <v>724</v>
      </c>
      <c r="G184" s="123" t="s">
        <v>896</v>
      </c>
      <c r="I184" s="120" t="s">
        <v>928</v>
      </c>
      <c r="J184" s="120"/>
      <c r="K184" s="120"/>
      <c r="L184" s="135"/>
      <c r="N184" s="13" t="s">
        <v>506</v>
      </c>
      <c r="O184" s="14" t="s">
        <v>503</v>
      </c>
      <c r="P184" s="14" t="s">
        <v>396</v>
      </c>
      <c r="Q184" s="13">
        <v>1</v>
      </c>
      <c r="R184" s="13" t="s">
        <v>194</v>
      </c>
      <c r="S184" s="14">
        <v>0</v>
      </c>
      <c r="T184" s="14">
        <v>38850</v>
      </c>
      <c r="U184" s="14">
        <v>0</v>
      </c>
      <c r="V184" s="14"/>
    </row>
    <row r="185" spans="1:22" ht="18" customHeight="1" x14ac:dyDescent="0.3">
      <c r="A185" s="123" t="s">
        <v>890</v>
      </c>
      <c r="B185" s="125" t="s">
        <v>895</v>
      </c>
      <c r="C185" s="131">
        <v>1100</v>
      </c>
      <c r="D185" s="122" t="s">
        <v>897</v>
      </c>
      <c r="E185" s="130" t="s">
        <v>911</v>
      </c>
      <c r="F185" s="127" t="s">
        <v>724</v>
      </c>
      <c r="G185" s="123" t="s">
        <v>896</v>
      </c>
      <c r="I185" s="120"/>
      <c r="J185" s="120"/>
      <c r="K185" s="120"/>
      <c r="L185" s="120"/>
      <c r="N185" s="13" t="s">
        <v>507</v>
      </c>
      <c r="O185" s="14" t="s">
        <v>503</v>
      </c>
      <c r="P185" s="14" t="s">
        <v>397</v>
      </c>
      <c r="Q185" s="13">
        <v>1</v>
      </c>
      <c r="R185" s="13" t="s">
        <v>194</v>
      </c>
      <c r="S185" s="14">
        <v>0</v>
      </c>
      <c r="T185" s="14">
        <v>46250</v>
      </c>
      <c r="U185" s="14">
        <v>0</v>
      </c>
      <c r="V185" s="14"/>
    </row>
    <row r="186" spans="1:22" ht="18" customHeight="1" x14ac:dyDescent="0.3">
      <c r="A186" s="123" t="s">
        <v>891</v>
      </c>
      <c r="B186" s="125" t="s">
        <v>895</v>
      </c>
      <c r="C186" s="131">
        <v>1200</v>
      </c>
      <c r="D186" s="122" t="s">
        <v>897</v>
      </c>
      <c r="E186" s="130" t="s">
        <v>912</v>
      </c>
      <c r="F186" s="127" t="s">
        <v>724</v>
      </c>
      <c r="G186" s="123" t="s">
        <v>896</v>
      </c>
      <c r="I186" s="120" t="s">
        <v>929</v>
      </c>
      <c r="J186" s="120"/>
      <c r="K186" s="120"/>
      <c r="L186" s="135"/>
      <c r="N186" s="13" t="s">
        <v>508</v>
      </c>
      <c r="O186" s="14" t="s">
        <v>503</v>
      </c>
      <c r="P186" s="14" t="s">
        <v>399</v>
      </c>
      <c r="Q186" s="13">
        <v>1</v>
      </c>
      <c r="R186" s="13" t="s">
        <v>194</v>
      </c>
      <c r="S186" s="14">
        <v>0</v>
      </c>
      <c r="T186" s="14">
        <v>0</v>
      </c>
      <c r="U186" s="14">
        <v>0</v>
      </c>
      <c r="V186" s="14"/>
    </row>
    <row r="187" spans="1:22" ht="18" customHeight="1" x14ac:dyDescent="0.3">
      <c r="A187" s="123" t="s">
        <v>892</v>
      </c>
      <c r="B187" s="125" t="s">
        <v>895</v>
      </c>
      <c r="C187" s="131">
        <v>1350</v>
      </c>
      <c r="D187" s="122" t="s">
        <v>897</v>
      </c>
      <c r="E187" s="130" t="s">
        <v>913</v>
      </c>
      <c r="F187" s="127" t="s">
        <v>724</v>
      </c>
      <c r="G187" s="123" t="s">
        <v>896</v>
      </c>
      <c r="I187" s="120" t="s">
        <v>930</v>
      </c>
      <c r="J187" s="120"/>
      <c r="K187" s="120"/>
      <c r="L187" s="135"/>
      <c r="N187" s="13" t="s">
        <v>509</v>
      </c>
      <c r="O187" s="14" t="s">
        <v>503</v>
      </c>
      <c r="P187" s="14" t="s">
        <v>401</v>
      </c>
      <c r="Q187" s="13">
        <v>1</v>
      </c>
      <c r="R187" s="13" t="s">
        <v>194</v>
      </c>
      <c r="S187" s="14">
        <v>0</v>
      </c>
      <c r="T187" s="14">
        <v>62900</v>
      </c>
      <c r="U187" s="14">
        <v>0</v>
      </c>
      <c r="V187" s="14"/>
    </row>
    <row r="188" spans="1:22" ht="18" customHeight="1" x14ac:dyDescent="0.3">
      <c r="A188" s="123" t="s">
        <v>893</v>
      </c>
      <c r="B188" s="125" t="s">
        <v>895</v>
      </c>
      <c r="C188" s="131">
        <v>1500</v>
      </c>
      <c r="D188" s="122" t="s">
        <v>897</v>
      </c>
      <c r="E188" s="130" t="s">
        <v>914</v>
      </c>
      <c r="F188" s="127" t="s">
        <v>724</v>
      </c>
      <c r="G188" s="123" t="s">
        <v>896</v>
      </c>
      <c r="I188" s="120" t="s">
        <v>931</v>
      </c>
      <c r="J188" s="120"/>
      <c r="K188" s="120"/>
      <c r="L188" s="135"/>
      <c r="N188" s="13" t="s">
        <v>510</v>
      </c>
      <c r="O188" s="14" t="s">
        <v>503</v>
      </c>
      <c r="P188" s="14" t="s">
        <v>403</v>
      </c>
      <c r="Q188" s="13">
        <v>1</v>
      </c>
      <c r="R188" s="13" t="s">
        <v>194</v>
      </c>
      <c r="S188" s="14">
        <v>0</v>
      </c>
      <c r="T188" s="14">
        <v>0</v>
      </c>
      <c r="U188" s="14">
        <v>0</v>
      </c>
      <c r="V188" s="14"/>
    </row>
    <row r="189" spans="1:22" ht="18" customHeight="1" x14ac:dyDescent="0.3">
      <c r="A189" s="123" t="s">
        <v>894</v>
      </c>
      <c r="B189" s="125" t="s">
        <v>895</v>
      </c>
      <c r="C189" s="131">
        <v>1650</v>
      </c>
      <c r="D189" s="122" t="s">
        <v>897</v>
      </c>
      <c r="E189" s="130" t="s">
        <v>915</v>
      </c>
      <c r="F189" s="127" t="s">
        <v>724</v>
      </c>
      <c r="G189" s="123" t="s">
        <v>896</v>
      </c>
      <c r="I189" s="120" t="s">
        <v>932</v>
      </c>
      <c r="J189" s="120"/>
      <c r="K189" s="120"/>
      <c r="L189" s="135"/>
      <c r="N189" s="13" t="s">
        <v>511</v>
      </c>
      <c r="O189" s="14" t="s">
        <v>503</v>
      </c>
      <c r="P189" s="14" t="s">
        <v>405</v>
      </c>
      <c r="Q189" s="13">
        <v>1</v>
      </c>
      <c r="R189" s="13" t="s">
        <v>194</v>
      </c>
      <c r="S189" s="14">
        <v>0</v>
      </c>
      <c r="T189" s="14">
        <v>77700</v>
      </c>
      <c r="U189" s="14">
        <v>0</v>
      </c>
      <c r="V189" s="14"/>
    </row>
    <row r="190" spans="1:22" ht="18" customHeight="1" x14ac:dyDescent="0.3">
      <c r="A190" s="123" t="s">
        <v>935</v>
      </c>
      <c r="B190" s="125" t="s">
        <v>731</v>
      </c>
      <c r="C190" s="129">
        <v>15</v>
      </c>
      <c r="D190" s="122" t="s">
        <v>134</v>
      </c>
      <c r="E190" s="130" t="s">
        <v>1005</v>
      </c>
      <c r="F190" s="127" t="s">
        <v>1004</v>
      </c>
      <c r="G190" s="123" t="s">
        <v>896</v>
      </c>
      <c r="I190" s="120" t="s">
        <v>1020</v>
      </c>
      <c r="J190" s="120"/>
      <c r="K190" s="120"/>
      <c r="L190" s="120"/>
      <c r="N190" s="13" t="s">
        <v>512</v>
      </c>
      <c r="O190" s="14" t="s">
        <v>503</v>
      </c>
      <c r="P190" s="14" t="s">
        <v>409</v>
      </c>
      <c r="Q190" s="13">
        <v>1</v>
      </c>
      <c r="R190" s="13" t="s">
        <v>194</v>
      </c>
      <c r="S190" s="14">
        <v>0</v>
      </c>
      <c r="T190" s="14">
        <v>0</v>
      </c>
      <c r="U190" s="14">
        <v>0</v>
      </c>
      <c r="V190" s="14"/>
    </row>
    <row r="191" spans="1:22" ht="18" customHeight="1" x14ac:dyDescent="0.3">
      <c r="A191" s="123" t="s">
        <v>936</v>
      </c>
      <c r="B191" s="125" t="s">
        <v>731</v>
      </c>
      <c r="C191" s="129">
        <v>20</v>
      </c>
      <c r="D191" s="122" t="s">
        <v>134</v>
      </c>
      <c r="E191" s="130" t="s">
        <v>1006</v>
      </c>
      <c r="F191" s="127" t="s">
        <v>1004</v>
      </c>
      <c r="G191" s="123" t="s">
        <v>896</v>
      </c>
      <c r="I191" s="120" t="s">
        <v>1020</v>
      </c>
      <c r="J191" s="120"/>
      <c r="K191" s="120"/>
      <c r="L191" s="120"/>
      <c r="N191" s="13" t="s">
        <v>513</v>
      </c>
      <c r="O191" s="14" t="s">
        <v>503</v>
      </c>
      <c r="P191" s="14" t="s">
        <v>413</v>
      </c>
      <c r="Q191" s="13">
        <v>1</v>
      </c>
      <c r="R191" s="13" t="s">
        <v>194</v>
      </c>
      <c r="S191" s="14">
        <v>0</v>
      </c>
      <c r="T191" s="14">
        <v>111000</v>
      </c>
      <c r="U191" s="14">
        <v>0</v>
      </c>
      <c r="V191" s="14"/>
    </row>
    <row r="192" spans="1:22" ht="18" customHeight="1" x14ac:dyDescent="0.3">
      <c r="A192" s="123" t="s">
        <v>937</v>
      </c>
      <c r="B192" s="125" t="s">
        <v>731</v>
      </c>
      <c r="C192" s="129">
        <v>25</v>
      </c>
      <c r="D192" s="122" t="s">
        <v>134</v>
      </c>
      <c r="E192" s="130" t="s">
        <v>1007</v>
      </c>
      <c r="F192" s="127" t="s">
        <v>1004</v>
      </c>
      <c r="G192" s="123" t="s">
        <v>896</v>
      </c>
      <c r="I192" s="120" t="s">
        <v>1020</v>
      </c>
      <c r="J192" s="120"/>
      <c r="K192" s="120"/>
      <c r="L192" s="135"/>
      <c r="N192" s="13" t="s">
        <v>514</v>
      </c>
      <c r="O192" s="14" t="s">
        <v>503</v>
      </c>
      <c r="P192" s="14" t="s">
        <v>417</v>
      </c>
      <c r="Q192" s="13">
        <v>1</v>
      </c>
      <c r="R192" s="13" t="s">
        <v>194</v>
      </c>
      <c r="S192" s="14">
        <v>0</v>
      </c>
      <c r="T192" s="14">
        <v>166500</v>
      </c>
      <c r="U192" s="14">
        <v>0</v>
      </c>
      <c r="V192" s="14"/>
    </row>
    <row r="193" spans="1:22" ht="18" customHeight="1" x14ac:dyDescent="0.3">
      <c r="A193" s="123" t="s">
        <v>938</v>
      </c>
      <c r="B193" s="125" t="s">
        <v>731</v>
      </c>
      <c r="C193" s="129">
        <v>32</v>
      </c>
      <c r="D193" s="122" t="s">
        <v>134</v>
      </c>
      <c r="E193" s="130" t="s">
        <v>1008</v>
      </c>
      <c r="F193" s="127" t="s">
        <v>1004</v>
      </c>
      <c r="G193" s="123" t="s">
        <v>896</v>
      </c>
      <c r="I193" s="120" t="s">
        <v>1021</v>
      </c>
      <c r="J193" s="120"/>
      <c r="K193" s="120"/>
      <c r="L193" s="120"/>
      <c r="N193" s="13" t="s">
        <v>515</v>
      </c>
      <c r="O193" s="14" t="s">
        <v>503</v>
      </c>
      <c r="P193" s="14" t="s">
        <v>421</v>
      </c>
      <c r="Q193" s="13">
        <v>1</v>
      </c>
      <c r="R193" s="13" t="s">
        <v>194</v>
      </c>
      <c r="S193" s="14">
        <v>0</v>
      </c>
      <c r="T193" s="14">
        <v>0</v>
      </c>
      <c r="U193" s="14">
        <v>0</v>
      </c>
      <c r="V193" s="14"/>
    </row>
    <row r="194" spans="1:22" ht="18" customHeight="1" x14ac:dyDescent="0.3">
      <c r="A194" s="123" t="s">
        <v>939</v>
      </c>
      <c r="B194" s="125" t="s">
        <v>731</v>
      </c>
      <c r="C194" s="129">
        <v>40</v>
      </c>
      <c r="D194" s="122" t="s">
        <v>134</v>
      </c>
      <c r="E194" s="130" t="s">
        <v>1009</v>
      </c>
      <c r="F194" s="127" t="s">
        <v>1004</v>
      </c>
      <c r="G194" s="123" t="s">
        <v>896</v>
      </c>
      <c r="I194" s="120" t="s">
        <v>1021</v>
      </c>
      <c r="J194" s="120"/>
      <c r="K194" s="120"/>
      <c r="L194" s="120"/>
      <c r="N194" s="13" t="s">
        <v>516</v>
      </c>
      <c r="O194" s="14" t="s">
        <v>503</v>
      </c>
      <c r="P194" s="14" t="s">
        <v>423</v>
      </c>
      <c r="Q194" s="13">
        <v>1</v>
      </c>
      <c r="R194" s="13" t="s">
        <v>194</v>
      </c>
      <c r="S194" s="14">
        <v>0</v>
      </c>
      <c r="T194" s="14">
        <v>0</v>
      </c>
      <c r="U194" s="14">
        <v>0</v>
      </c>
      <c r="V194" s="14"/>
    </row>
    <row r="195" spans="1:22" ht="18" customHeight="1" x14ac:dyDescent="0.3">
      <c r="A195" s="123" t="s">
        <v>940</v>
      </c>
      <c r="B195" s="125" t="s">
        <v>731</v>
      </c>
      <c r="C195" s="129">
        <v>50</v>
      </c>
      <c r="D195" s="122" t="s">
        <v>134</v>
      </c>
      <c r="E195" s="130" t="s">
        <v>135</v>
      </c>
      <c r="F195" s="127" t="s">
        <v>1004</v>
      </c>
      <c r="G195" s="123" t="s">
        <v>896</v>
      </c>
      <c r="I195" s="120" t="s">
        <v>1021</v>
      </c>
      <c r="J195" s="120"/>
      <c r="K195" s="120"/>
      <c r="L195" s="120"/>
      <c r="N195" s="13" t="s">
        <v>517</v>
      </c>
      <c r="O195" s="14" t="s">
        <v>503</v>
      </c>
      <c r="P195" s="14" t="s">
        <v>427</v>
      </c>
      <c r="Q195" s="13">
        <v>1</v>
      </c>
      <c r="R195" s="13" t="s">
        <v>194</v>
      </c>
      <c r="S195" s="14">
        <v>0</v>
      </c>
      <c r="T195" s="14">
        <v>0</v>
      </c>
      <c r="U195" s="14">
        <v>0</v>
      </c>
      <c r="V195" s="14"/>
    </row>
    <row r="196" spans="1:22" ht="18" customHeight="1" x14ac:dyDescent="0.3">
      <c r="A196" s="123" t="s">
        <v>941</v>
      </c>
      <c r="B196" s="125" t="s">
        <v>731</v>
      </c>
      <c r="C196" s="129">
        <v>65</v>
      </c>
      <c r="D196" s="122" t="s">
        <v>134</v>
      </c>
      <c r="E196" s="130" t="s">
        <v>1010</v>
      </c>
      <c r="F196" s="127" t="s">
        <v>1004</v>
      </c>
      <c r="G196" s="123" t="s">
        <v>896</v>
      </c>
      <c r="I196" s="120" t="s">
        <v>1021</v>
      </c>
      <c r="J196" s="120"/>
      <c r="K196" s="120"/>
      <c r="L196" s="135"/>
      <c r="N196" s="13" t="s">
        <v>518</v>
      </c>
      <c r="O196" s="14" t="s">
        <v>503</v>
      </c>
      <c r="P196" s="14" t="s">
        <v>429</v>
      </c>
      <c r="Q196" s="13">
        <v>1</v>
      </c>
      <c r="R196" s="13" t="s">
        <v>194</v>
      </c>
      <c r="S196" s="14">
        <v>0</v>
      </c>
      <c r="T196" s="14">
        <v>0</v>
      </c>
      <c r="U196" s="14">
        <v>0</v>
      </c>
      <c r="V196" s="14"/>
    </row>
    <row r="197" spans="1:22" ht="18" customHeight="1" x14ac:dyDescent="0.3">
      <c r="A197" s="123" t="s">
        <v>942</v>
      </c>
      <c r="B197" s="125" t="s">
        <v>731</v>
      </c>
      <c r="C197" s="129">
        <v>80</v>
      </c>
      <c r="D197" s="122" t="s">
        <v>134</v>
      </c>
      <c r="E197" s="130" t="s">
        <v>137</v>
      </c>
      <c r="F197" s="127" t="s">
        <v>1004</v>
      </c>
      <c r="G197" s="123" t="s">
        <v>896</v>
      </c>
      <c r="I197" s="120" t="s">
        <v>1022</v>
      </c>
      <c r="J197" s="120"/>
      <c r="K197" s="120"/>
      <c r="L197" s="135"/>
      <c r="N197" s="13" t="s">
        <v>519</v>
      </c>
      <c r="O197" s="14" t="s">
        <v>503</v>
      </c>
      <c r="P197" s="14" t="s">
        <v>431</v>
      </c>
      <c r="Q197" s="13">
        <v>1</v>
      </c>
      <c r="R197" s="13" t="s">
        <v>194</v>
      </c>
      <c r="S197" s="14">
        <v>0</v>
      </c>
      <c r="T197" s="14">
        <v>0</v>
      </c>
      <c r="U197" s="14">
        <v>0</v>
      </c>
      <c r="V197" s="14"/>
    </row>
    <row r="198" spans="1:22" ht="18" customHeight="1" x14ac:dyDescent="0.3">
      <c r="A198" s="123" t="s">
        <v>943</v>
      </c>
      <c r="B198" s="125" t="s">
        <v>731</v>
      </c>
      <c r="C198" s="129">
        <v>100</v>
      </c>
      <c r="D198" s="122" t="s">
        <v>134</v>
      </c>
      <c r="E198" s="130" t="s">
        <v>1011</v>
      </c>
      <c r="F198" s="127" t="s">
        <v>1004</v>
      </c>
      <c r="G198" s="123" t="s">
        <v>896</v>
      </c>
      <c r="I198" s="120" t="s">
        <v>1023</v>
      </c>
      <c r="J198" s="120"/>
      <c r="K198" s="120"/>
      <c r="L198" s="135"/>
      <c r="N198" s="13" t="s">
        <v>520</v>
      </c>
      <c r="O198" s="14" t="s">
        <v>503</v>
      </c>
      <c r="P198" s="14" t="s">
        <v>501</v>
      </c>
      <c r="Q198" s="13">
        <v>1</v>
      </c>
      <c r="R198" s="13" t="s">
        <v>194</v>
      </c>
      <c r="S198" s="14">
        <v>0</v>
      </c>
      <c r="T198" s="14">
        <v>1044763</v>
      </c>
      <c r="U198" s="14">
        <v>0</v>
      </c>
      <c r="V198" s="14"/>
    </row>
    <row r="199" spans="1:22" ht="18" customHeight="1" x14ac:dyDescent="0.3">
      <c r="A199" s="123" t="s">
        <v>944</v>
      </c>
      <c r="B199" s="125" t="s">
        <v>731</v>
      </c>
      <c r="C199" s="129">
        <v>125</v>
      </c>
      <c r="D199" s="122" t="s">
        <v>134</v>
      </c>
      <c r="E199" s="130" t="s">
        <v>1012</v>
      </c>
      <c r="F199" s="127" t="s">
        <v>1004</v>
      </c>
      <c r="G199" s="123" t="s">
        <v>896</v>
      </c>
      <c r="I199" s="120" t="s">
        <v>1024</v>
      </c>
      <c r="J199" s="120"/>
      <c r="K199" s="120"/>
      <c r="L199" s="135"/>
      <c r="N199" s="13" t="s">
        <v>521</v>
      </c>
      <c r="O199" s="14" t="s">
        <v>522</v>
      </c>
      <c r="P199" s="14" t="s">
        <v>378</v>
      </c>
      <c r="Q199" s="13">
        <v>1</v>
      </c>
      <c r="R199" s="13" t="s">
        <v>194</v>
      </c>
      <c r="S199" s="14">
        <v>829.68</v>
      </c>
      <c r="T199" s="14">
        <v>0</v>
      </c>
      <c r="U199" s="14">
        <v>0</v>
      </c>
      <c r="V199" s="14"/>
    </row>
    <row r="200" spans="1:22" ht="18" customHeight="1" x14ac:dyDescent="0.3">
      <c r="A200" s="123" t="s">
        <v>945</v>
      </c>
      <c r="B200" s="125" t="s">
        <v>731</v>
      </c>
      <c r="C200" s="129">
        <v>150</v>
      </c>
      <c r="D200" s="122" t="s">
        <v>134</v>
      </c>
      <c r="E200" s="130" t="s">
        <v>139</v>
      </c>
      <c r="F200" s="127" t="s">
        <v>1004</v>
      </c>
      <c r="G200" s="123" t="s">
        <v>896</v>
      </c>
      <c r="I200" s="120" t="s">
        <v>205</v>
      </c>
      <c r="J200" s="120"/>
      <c r="K200" s="120"/>
      <c r="L200" s="135"/>
      <c r="N200" s="13" t="s">
        <v>203</v>
      </c>
      <c r="O200" s="14" t="s">
        <v>522</v>
      </c>
      <c r="P200" s="14" t="s">
        <v>383</v>
      </c>
      <c r="Q200" s="13">
        <v>1</v>
      </c>
      <c r="R200" s="13" t="s">
        <v>194</v>
      </c>
      <c r="S200" s="14">
        <v>1489.48</v>
      </c>
      <c r="T200" s="14">
        <v>0</v>
      </c>
      <c r="U200" s="14">
        <v>0</v>
      </c>
      <c r="V200" s="14"/>
    </row>
    <row r="201" spans="1:22" ht="18" customHeight="1" x14ac:dyDescent="0.3">
      <c r="A201" s="123" t="s">
        <v>946</v>
      </c>
      <c r="B201" s="125" t="s">
        <v>731</v>
      </c>
      <c r="C201" s="129">
        <v>200</v>
      </c>
      <c r="D201" s="122" t="s">
        <v>134</v>
      </c>
      <c r="E201" s="130" t="s">
        <v>1013</v>
      </c>
      <c r="F201" s="127" t="s">
        <v>1004</v>
      </c>
      <c r="G201" s="123" t="s">
        <v>896</v>
      </c>
      <c r="I201" s="120" t="s">
        <v>525</v>
      </c>
      <c r="J201" s="120"/>
      <c r="K201" s="120"/>
      <c r="L201" s="135"/>
      <c r="N201" s="13" t="s">
        <v>204</v>
      </c>
      <c r="O201" s="14" t="s">
        <v>522</v>
      </c>
      <c r="P201" s="14" t="s">
        <v>384</v>
      </c>
      <c r="Q201" s="13">
        <v>1</v>
      </c>
      <c r="R201" s="13" t="s">
        <v>194</v>
      </c>
      <c r="S201" s="14">
        <v>2652.92</v>
      </c>
      <c r="T201" s="14">
        <v>0</v>
      </c>
      <c r="U201" s="14">
        <v>0</v>
      </c>
      <c r="V201" s="14"/>
    </row>
    <row r="202" spans="1:22" ht="18" customHeight="1" x14ac:dyDescent="0.3">
      <c r="A202" s="123" t="s">
        <v>947</v>
      </c>
      <c r="B202" s="125" t="s">
        <v>731</v>
      </c>
      <c r="C202" s="129">
        <v>250</v>
      </c>
      <c r="D202" s="122" t="s">
        <v>134</v>
      </c>
      <c r="E202" s="130" t="s">
        <v>1014</v>
      </c>
      <c r="F202" s="127" t="s">
        <v>1004</v>
      </c>
      <c r="G202" s="123" t="s">
        <v>896</v>
      </c>
      <c r="I202" s="120" t="s">
        <v>526</v>
      </c>
      <c r="J202" s="120"/>
      <c r="K202" s="120"/>
      <c r="L202" s="135"/>
      <c r="N202" s="13" t="s">
        <v>523</v>
      </c>
      <c r="O202" s="14" t="s">
        <v>522</v>
      </c>
      <c r="P202" s="14" t="s">
        <v>387</v>
      </c>
      <c r="Q202" s="13">
        <v>1</v>
      </c>
      <c r="R202" s="13" t="s">
        <v>194</v>
      </c>
      <c r="S202" s="14">
        <v>4797.84</v>
      </c>
      <c r="T202" s="14">
        <v>0</v>
      </c>
      <c r="U202" s="14">
        <v>0</v>
      </c>
      <c r="V202" s="14"/>
    </row>
    <row r="203" spans="1:22" ht="18" customHeight="1" x14ac:dyDescent="0.3">
      <c r="A203" s="123" t="s">
        <v>948</v>
      </c>
      <c r="B203" s="125" t="s">
        <v>731</v>
      </c>
      <c r="C203" s="129">
        <v>300</v>
      </c>
      <c r="D203" s="122" t="s">
        <v>134</v>
      </c>
      <c r="E203" s="130" t="s">
        <v>1015</v>
      </c>
      <c r="F203" s="127" t="s">
        <v>1004</v>
      </c>
      <c r="G203" s="123" t="s">
        <v>896</v>
      </c>
      <c r="I203" s="120" t="s">
        <v>527</v>
      </c>
      <c r="J203" s="120"/>
      <c r="K203" s="120"/>
      <c r="L203" s="135"/>
      <c r="N203" s="13" t="s">
        <v>524</v>
      </c>
      <c r="O203" s="14" t="s">
        <v>522</v>
      </c>
      <c r="P203" s="14" t="s">
        <v>388</v>
      </c>
      <c r="Q203" s="13">
        <v>1</v>
      </c>
      <c r="R203" s="13" t="s">
        <v>194</v>
      </c>
      <c r="S203" s="14">
        <v>4937.84</v>
      </c>
      <c r="T203" s="14">
        <v>0</v>
      </c>
      <c r="U203" s="14">
        <v>0</v>
      </c>
      <c r="V203" s="14"/>
    </row>
    <row r="204" spans="1:22" ht="18" customHeight="1" x14ac:dyDescent="0.3">
      <c r="A204" s="123" t="s">
        <v>949</v>
      </c>
      <c r="B204" s="125" t="s">
        <v>731</v>
      </c>
      <c r="C204" s="129">
        <v>350</v>
      </c>
      <c r="D204" s="122" t="s">
        <v>134</v>
      </c>
      <c r="E204" s="130" t="s">
        <v>1016</v>
      </c>
      <c r="F204" s="127" t="s">
        <v>1004</v>
      </c>
      <c r="G204" s="123" t="s">
        <v>896</v>
      </c>
      <c r="I204" s="120" t="s">
        <v>528</v>
      </c>
      <c r="J204" s="120"/>
      <c r="K204" s="120"/>
      <c r="L204" s="135"/>
      <c r="N204" s="13" t="s">
        <v>205</v>
      </c>
      <c r="O204" s="14" t="s">
        <v>522</v>
      </c>
      <c r="P204" s="14" t="s">
        <v>389</v>
      </c>
      <c r="Q204" s="13">
        <v>1</v>
      </c>
      <c r="R204" s="13" t="s">
        <v>194</v>
      </c>
      <c r="S204" s="14">
        <v>4987.84</v>
      </c>
      <c r="T204" s="14">
        <v>0</v>
      </c>
      <c r="U204" s="14">
        <v>0</v>
      </c>
      <c r="V204" s="14"/>
    </row>
    <row r="205" spans="1:22" ht="18" customHeight="1" x14ac:dyDescent="0.3">
      <c r="A205" s="123" t="s">
        <v>950</v>
      </c>
      <c r="B205" s="125" t="s">
        <v>731</v>
      </c>
      <c r="C205" s="129">
        <v>400</v>
      </c>
      <c r="D205" s="122" t="s">
        <v>134</v>
      </c>
      <c r="E205" s="130" t="s">
        <v>1017</v>
      </c>
      <c r="F205" s="127" t="s">
        <v>1004</v>
      </c>
      <c r="G205" s="123" t="s">
        <v>896</v>
      </c>
      <c r="I205" s="120" t="s">
        <v>529</v>
      </c>
      <c r="J205" s="120"/>
      <c r="K205" s="120"/>
      <c r="L205" s="135"/>
      <c r="N205" s="13" t="s">
        <v>525</v>
      </c>
      <c r="O205" s="14" t="s">
        <v>522</v>
      </c>
      <c r="P205" s="14" t="s">
        <v>392</v>
      </c>
      <c r="Q205" s="13">
        <v>1</v>
      </c>
      <c r="R205" s="13" t="s">
        <v>194</v>
      </c>
      <c r="S205" s="14">
        <v>9221.0400000000009</v>
      </c>
      <c r="T205" s="14">
        <v>0</v>
      </c>
      <c r="U205" s="14">
        <v>0</v>
      </c>
      <c r="V205" s="14"/>
    </row>
    <row r="206" spans="1:22" ht="18" customHeight="1" x14ac:dyDescent="0.3">
      <c r="A206" s="123" t="s">
        <v>951</v>
      </c>
      <c r="B206" s="125" t="s">
        <v>731</v>
      </c>
      <c r="C206" s="129">
        <v>450</v>
      </c>
      <c r="D206" s="122" t="s">
        <v>134</v>
      </c>
      <c r="E206" s="130" t="s">
        <v>1018</v>
      </c>
      <c r="F206" s="127" t="s">
        <v>1004</v>
      </c>
      <c r="G206" s="123" t="s">
        <v>896</v>
      </c>
      <c r="I206" s="120" t="s">
        <v>530</v>
      </c>
      <c r="J206" s="120"/>
      <c r="K206" s="120"/>
      <c r="L206" s="135"/>
      <c r="N206" s="13" t="s">
        <v>526</v>
      </c>
      <c r="O206" s="14" t="s">
        <v>522</v>
      </c>
      <c r="P206" s="14" t="s">
        <v>396</v>
      </c>
      <c r="Q206" s="13">
        <v>1</v>
      </c>
      <c r="R206" s="13" t="s">
        <v>194</v>
      </c>
      <c r="S206" s="14">
        <v>14545.56</v>
      </c>
      <c r="T206" s="14">
        <v>0</v>
      </c>
      <c r="U206" s="14">
        <v>0</v>
      </c>
      <c r="V206" s="14"/>
    </row>
    <row r="207" spans="1:22" ht="18" customHeight="1" x14ac:dyDescent="0.3">
      <c r="A207" s="123" t="s">
        <v>952</v>
      </c>
      <c r="B207" s="125" t="s">
        <v>731</v>
      </c>
      <c r="C207" s="129">
        <v>500</v>
      </c>
      <c r="D207" s="122" t="s">
        <v>134</v>
      </c>
      <c r="E207" s="130" t="s">
        <v>1019</v>
      </c>
      <c r="F207" s="127" t="s">
        <v>1004</v>
      </c>
      <c r="G207" s="123" t="s">
        <v>896</v>
      </c>
      <c r="I207" s="120" t="s">
        <v>531</v>
      </c>
      <c r="J207" s="120"/>
      <c r="K207" s="120"/>
      <c r="L207" s="135"/>
      <c r="N207" s="13" t="s">
        <v>527</v>
      </c>
      <c r="O207" s="14" t="s">
        <v>522</v>
      </c>
      <c r="P207" s="14" t="s">
        <v>397</v>
      </c>
      <c r="Q207" s="13">
        <v>1</v>
      </c>
      <c r="R207" s="13" t="s">
        <v>194</v>
      </c>
      <c r="S207" s="14">
        <v>14795.56</v>
      </c>
      <c r="T207" s="14">
        <v>0</v>
      </c>
      <c r="U207" s="14">
        <v>0</v>
      </c>
      <c r="V207" s="14"/>
    </row>
    <row r="208" spans="1:22" ht="18" customHeight="1" x14ac:dyDescent="0.3">
      <c r="A208" s="123" t="s">
        <v>953</v>
      </c>
      <c r="B208" s="125" t="s">
        <v>735</v>
      </c>
      <c r="C208" s="129">
        <v>15</v>
      </c>
      <c r="D208" s="122" t="s">
        <v>134</v>
      </c>
      <c r="E208" s="130" t="s">
        <v>1005</v>
      </c>
      <c r="F208" s="127" t="s">
        <v>1004</v>
      </c>
      <c r="G208" s="123" t="s">
        <v>896</v>
      </c>
      <c r="I208" s="120" t="s">
        <v>1020</v>
      </c>
      <c r="J208" s="120"/>
      <c r="K208" s="120"/>
      <c r="L208" s="120"/>
      <c r="N208" s="13" t="s">
        <v>528</v>
      </c>
      <c r="O208" s="14" t="s">
        <v>522</v>
      </c>
      <c r="P208" s="14" t="s">
        <v>399</v>
      </c>
      <c r="Q208" s="13">
        <v>1</v>
      </c>
      <c r="R208" s="13" t="s">
        <v>194</v>
      </c>
      <c r="S208" s="14">
        <v>17232.639999999996</v>
      </c>
      <c r="T208" s="14">
        <v>0</v>
      </c>
      <c r="U208" s="14">
        <v>0</v>
      </c>
      <c r="V208" s="14"/>
    </row>
    <row r="209" spans="1:22" ht="18" customHeight="1" x14ac:dyDescent="0.3">
      <c r="A209" s="123" t="s">
        <v>954</v>
      </c>
      <c r="B209" s="125" t="s">
        <v>735</v>
      </c>
      <c r="C209" s="129">
        <v>20</v>
      </c>
      <c r="D209" s="122" t="s">
        <v>134</v>
      </c>
      <c r="E209" s="130" t="s">
        <v>1006</v>
      </c>
      <c r="F209" s="127" t="s">
        <v>1004</v>
      </c>
      <c r="G209" s="123" t="s">
        <v>896</v>
      </c>
      <c r="I209" s="120" t="s">
        <v>1020</v>
      </c>
      <c r="J209" s="120"/>
      <c r="K209" s="120"/>
      <c r="L209" s="120"/>
      <c r="N209" s="13" t="s">
        <v>529</v>
      </c>
      <c r="O209" s="14" t="s">
        <v>522</v>
      </c>
      <c r="P209" s="14" t="s">
        <v>401</v>
      </c>
      <c r="Q209" s="13">
        <v>1</v>
      </c>
      <c r="R209" s="13" t="s">
        <v>194</v>
      </c>
      <c r="S209" s="14">
        <v>22673.519999999997</v>
      </c>
      <c r="T209" s="14">
        <v>0</v>
      </c>
      <c r="U209" s="14">
        <v>0</v>
      </c>
      <c r="V209" s="14"/>
    </row>
    <row r="210" spans="1:22" ht="18" customHeight="1" x14ac:dyDescent="0.3">
      <c r="A210" s="123" t="s">
        <v>955</v>
      </c>
      <c r="B210" s="125" t="s">
        <v>735</v>
      </c>
      <c r="C210" s="129">
        <v>25</v>
      </c>
      <c r="D210" s="122" t="s">
        <v>134</v>
      </c>
      <c r="E210" s="130" t="s">
        <v>1007</v>
      </c>
      <c r="F210" s="127" t="s">
        <v>1004</v>
      </c>
      <c r="G210" s="123" t="s">
        <v>896</v>
      </c>
      <c r="I210" s="120" t="s">
        <v>1020</v>
      </c>
      <c r="J210" s="120"/>
      <c r="K210" s="120"/>
      <c r="L210" s="135"/>
      <c r="N210" s="13" t="s">
        <v>530</v>
      </c>
      <c r="O210" s="14" t="s">
        <v>522</v>
      </c>
      <c r="P210" s="14" t="s">
        <v>403</v>
      </c>
      <c r="Q210" s="13">
        <v>1</v>
      </c>
      <c r="R210" s="13" t="s">
        <v>194</v>
      </c>
      <c r="S210" s="14">
        <v>24363.519999999997</v>
      </c>
      <c r="T210" s="14">
        <v>0</v>
      </c>
      <c r="U210" s="14">
        <v>0</v>
      </c>
      <c r="V210" s="14"/>
    </row>
    <row r="211" spans="1:22" ht="18" customHeight="1" x14ac:dyDescent="0.3">
      <c r="A211" s="123" t="s">
        <v>956</v>
      </c>
      <c r="B211" s="125" t="s">
        <v>735</v>
      </c>
      <c r="C211" s="129">
        <v>32</v>
      </c>
      <c r="D211" s="122" t="s">
        <v>134</v>
      </c>
      <c r="E211" s="130" t="s">
        <v>1008</v>
      </c>
      <c r="F211" s="127" t="s">
        <v>1004</v>
      </c>
      <c r="G211" s="123" t="s">
        <v>896</v>
      </c>
      <c r="I211" s="120" t="s">
        <v>1021</v>
      </c>
      <c r="J211" s="120"/>
      <c r="K211" s="120"/>
      <c r="L211" s="120"/>
      <c r="N211" s="13" t="s">
        <v>531</v>
      </c>
      <c r="O211" s="14" t="s">
        <v>522</v>
      </c>
      <c r="P211" s="14" t="s">
        <v>405</v>
      </c>
      <c r="Q211" s="13">
        <v>1</v>
      </c>
      <c r="R211" s="13" t="s">
        <v>194</v>
      </c>
      <c r="S211" s="14">
        <v>29204.400000000001</v>
      </c>
      <c r="T211" s="14">
        <v>0</v>
      </c>
      <c r="U211" s="14">
        <v>0</v>
      </c>
      <c r="V211" s="14"/>
    </row>
    <row r="212" spans="1:22" ht="18" customHeight="1" x14ac:dyDescent="0.3">
      <c r="A212" s="123" t="s">
        <v>957</v>
      </c>
      <c r="B212" s="125" t="s">
        <v>735</v>
      </c>
      <c r="C212" s="129">
        <v>40</v>
      </c>
      <c r="D212" s="122" t="s">
        <v>134</v>
      </c>
      <c r="E212" s="130" t="s">
        <v>1009</v>
      </c>
      <c r="F212" s="127" t="s">
        <v>1004</v>
      </c>
      <c r="G212" s="123" t="s">
        <v>896</v>
      </c>
      <c r="I212" s="120" t="s">
        <v>1021</v>
      </c>
      <c r="J212" s="120"/>
      <c r="K212" s="120"/>
      <c r="L212" s="120"/>
      <c r="N212" s="13" t="s">
        <v>532</v>
      </c>
      <c r="O212" s="14" t="s">
        <v>522</v>
      </c>
      <c r="P212" s="14" t="s">
        <v>409</v>
      </c>
      <c r="Q212" s="13">
        <v>1</v>
      </c>
      <c r="R212" s="13" t="s">
        <v>194</v>
      </c>
      <c r="S212" s="14">
        <v>37811.800000000003</v>
      </c>
      <c r="T212" s="14">
        <v>0</v>
      </c>
      <c r="U212" s="14">
        <v>0</v>
      </c>
      <c r="V212" s="14"/>
    </row>
    <row r="213" spans="1:22" ht="18" customHeight="1" x14ac:dyDescent="0.3">
      <c r="A213" s="123" t="s">
        <v>136</v>
      </c>
      <c r="B213" s="125" t="s">
        <v>735</v>
      </c>
      <c r="C213" s="129">
        <v>50</v>
      </c>
      <c r="D213" s="122" t="s">
        <v>134</v>
      </c>
      <c r="E213" s="130" t="s">
        <v>135</v>
      </c>
      <c r="F213" s="127" t="s">
        <v>1004</v>
      </c>
      <c r="G213" s="123" t="s">
        <v>896</v>
      </c>
      <c r="I213" s="120" t="s">
        <v>1021</v>
      </c>
      <c r="J213" s="120"/>
      <c r="K213" s="120"/>
      <c r="L213" s="120"/>
      <c r="N213" s="13" t="s">
        <v>533</v>
      </c>
      <c r="O213" s="14" t="s">
        <v>522</v>
      </c>
      <c r="P213" s="14" t="s">
        <v>413</v>
      </c>
      <c r="Q213" s="13">
        <v>1</v>
      </c>
      <c r="R213" s="13" t="s">
        <v>194</v>
      </c>
      <c r="S213" s="14">
        <v>44374.16</v>
      </c>
      <c r="T213" s="14">
        <v>0</v>
      </c>
      <c r="U213" s="14">
        <v>0</v>
      </c>
      <c r="V213" s="14"/>
    </row>
    <row r="214" spans="1:22" ht="18" customHeight="1" x14ac:dyDescent="0.3">
      <c r="A214" s="123" t="s">
        <v>958</v>
      </c>
      <c r="B214" s="125" t="s">
        <v>735</v>
      </c>
      <c r="C214" s="129">
        <v>65</v>
      </c>
      <c r="D214" s="122" t="s">
        <v>134</v>
      </c>
      <c r="E214" s="130" t="s">
        <v>1010</v>
      </c>
      <c r="F214" s="127" t="s">
        <v>1004</v>
      </c>
      <c r="G214" s="123" t="s">
        <v>896</v>
      </c>
      <c r="I214" s="120" t="s">
        <v>1021</v>
      </c>
      <c r="J214" s="120"/>
      <c r="K214" s="120"/>
      <c r="L214" s="135"/>
      <c r="N214" s="13" t="s">
        <v>534</v>
      </c>
      <c r="O214" s="14" t="s">
        <v>522</v>
      </c>
      <c r="P214" s="14" t="s">
        <v>417</v>
      </c>
      <c r="Q214" s="13">
        <v>1</v>
      </c>
      <c r="R214" s="13" t="s">
        <v>194</v>
      </c>
      <c r="S214" s="14">
        <v>55400</v>
      </c>
      <c r="T214" s="14">
        <v>0</v>
      </c>
      <c r="U214" s="14">
        <v>0</v>
      </c>
      <c r="V214" s="14"/>
    </row>
    <row r="215" spans="1:22" ht="18" customHeight="1" x14ac:dyDescent="0.3">
      <c r="A215" s="123" t="s">
        <v>138</v>
      </c>
      <c r="B215" s="125" t="s">
        <v>735</v>
      </c>
      <c r="C215" s="129">
        <v>80</v>
      </c>
      <c r="D215" s="122" t="s">
        <v>134</v>
      </c>
      <c r="E215" s="130" t="s">
        <v>137</v>
      </c>
      <c r="F215" s="127" t="s">
        <v>1004</v>
      </c>
      <c r="G215" s="123" t="s">
        <v>896</v>
      </c>
      <c r="I215" s="120" t="s">
        <v>1022</v>
      </c>
      <c r="J215" s="120"/>
      <c r="K215" s="120"/>
      <c r="L215" s="135"/>
      <c r="N215" s="13" t="s">
        <v>535</v>
      </c>
      <c r="O215" s="14" t="s">
        <v>522</v>
      </c>
      <c r="P215" s="14" t="s">
        <v>421</v>
      </c>
      <c r="Q215" s="13">
        <v>1</v>
      </c>
      <c r="R215" s="13" t="s">
        <v>194</v>
      </c>
      <c r="S215" s="14">
        <v>55400</v>
      </c>
      <c r="T215" s="14">
        <v>0</v>
      </c>
      <c r="U215" s="14">
        <v>0</v>
      </c>
      <c r="V215" s="14"/>
    </row>
    <row r="216" spans="1:22" ht="18" customHeight="1" x14ac:dyDescent="0.3">
      <c r="A216" s="123" t="s">
        <v>959</v>
      </c>
      <c r="B216" s="125" t="s">
        <v>735</v>
      </c>
      <c r="C216" s="129">
        <v>100</v>
      </c>
      <c r="D216" s="122" t="s">
        <v>134</v>
      </c>
      <c r="E216" s="130" t="s">
        <v>1011</v>
      </c>
      <c r="F216" s="127" t="s">
        <v>1004</v>
      </c>
      <c r="G216" s="123" t="s">
        <v>896</v>
      </c>
      <c r="I216" s="120" t="s">
        <v>1023</v>
      </c>
      <c r="J216" s="120"/>
      <c r="K216" s="120"/>
      <c r="L216" s="135"/>
      <c r="N216" s="13" t="s">
        <v>536</v>
      </c>
      <c r="O216" s="14" t="s">
        <v>522</v>
      </c>
      <c r="P216" s="14" t="s">
        <v>423</v>
      </c>
      <c r="Q216" s="13">
        <v>1</v>
      </c>
      <c r="R216" s="13" t="s">
        <v>194</v>
      </c>
      <c r="S216" s="14">
        <v>63800</v>
      </c>
      <c r="T216" s="14">
        <v>0</v>
      </c>
      <c r="U216" s="14">
        <v>0</v>
      </c>
      <c r="V216" s="14"/>
    </row>
    <row r="217" spans="1:22" ht="18" customHeight="1" x14ac:dyDescent="0.3">
      <c r="A217" s="123" t="s">
        <v>960</v>
      </c>
      <c r="B217" s="125" t="s">
        <v>735</v>
      </c>
      <c r="C217" s="129">
        <v>125</v>
      </c>
      <c r="D217" s="122" t="s">
        <v>134</v>
      </c>
      <c r="E217" s="130" t="s">
        <v>1012</v>
      </c>
      <c r="F217" s="127" t="s">
        <v>1004</v>
      </c>
      <c r="G217" s="123" t="s">
        <v>896</v>
      </c>
      <c r="I217" s="120" t="s">
        <v>1024</v>
      </c>
      <c r="J217" s="120"/>
      <c r="K217" s="120"/>
      <c r="L217" s="135"/>
      <c r="N217" s="13" t="s">
        <v>537</v>
      </c>
      <c r="O217" s="14" t="s">
        <v>522</v>
      </c>
      <c r="P217" s="14" t="s">
        <v>427</v>
      </c>
      <c r="Q217" s="13">
        <v>1</v>
      </c>
      <c r="R217" s="13" t="s">
        <v>194</v>
      </c>
      <c r="S217" s="14">
        <v>72200</v>
      </c>
      <c r="T217" s="14">
        <v>0</v>
      </c>
      <c r="U217" s="14">
        <v>0</v>
      </c>
      <c r="V217" s="14"/>
    </row>
    <row r="218" spans="1:22" ht="18" customHeight="1" x14ac:dyDescent="0.3">
      <c r="A218" s="123" t="s">
        <v>140</v>
      </c>
      <c r="B218" s="125" t="s">
        <v>735</v>
      </c>
      <c r="C218" s="129">
        <v>150</v>
      </c>
      <c r="D218" s="122" t="s">
        <v>134</v>
      </c>
      <c r="E218" s="130" t="s">
        <v>139</v>
      </c>
      <c r="F218" s="127" t="s">
        <v>1004</v>
      </c>
      <c r="G218" s="123" t="s">
        <v>896</v>
      </c>
      <c r="I218" s="120" t="s">
        <v>205</v>
      </c>
      <c r="J218" s="120"/>
      <c r="K218" s="120"/>
      <c r="L218" s="135"/>
      <c r="N218" s="13" t="s">
        <v>538</v>
      </c>
      <c r="O218" s="14" t="s">
        <v>522</v>
      </c>
      <c r="P218" s="14" t="s">
        <v>429</v>
      </c>
      <c r="Q218" s="13">
        <v>1</v>
      </c>
      <c r="R218" s="13" t="s">
        <v>194</v>
      </c>
      <c r="S218" s="14">
        <v>72200</v>
      </c>
      <c r="T218" s="14">
        <v>0</v>
      </c>
      <c r="U218" s="14">
        <v>0</v>
      </c>
      <c r="V218" s="14"/>
    </row>
    <row r="219" spans="1:22" ht="18" customHeight="1" x14ac:dyDescent="0.3">
      <c r="A219" s="123" t="s">
        <v>961</v>
      </c>
      <c r="B219" s="125" t="s">
        <v>735</v>
      </c>
      <c r="C219" s="129">
        <v>200</v>
      </c>
      <c r="D219" s="122" t="s">
        <v>134</v>
      </c>
      <c r="E219" s="130" t="s">
        <v>1013</v>
      </c>
      <c r="F219" s="127" t="s">
        <v>1004</v>
      </c>
      <c r="G219" s="123" t="s">
        <v>896</v>
      </c>
      <c r="I219" s="120" t="s">
        <v>525</v>
      </c>
      <c r="J219" s="120"/>
      <c r="K219" s="120"/>
      <c r="L219" s="135"/>
      <c r="N219" s="13" t="s">
        <v>539</v>
      </c>
      <c r="O219" s="14" t="s">
        <v>522</v>
      </c>
      <c r="P219" s="14" t="s">
        <v>431</v>
      </c>
      <c r="Q219" s="13">
        <v>1</v>
      </c>
      <c r="R219" s="13" t="s">
        <v>194</v>
      </c>
      <c r="S219" s="14">
        <v>80600</v>
      </c>
      <c r="T219" s="14">
        <v>0</v>
      </c>
      <c r="U219" s="14">
        <v>0</v>
      </c>
      <c r="V219" s="14"/>
    </row>
    <row r="220" spans="1:22" ht="18" customHeight="1" x14ac:dyDescent="0.3">
      <c r="A220" s="123" t="s">
        <v>962</v>
      </c>
      <c r="B220" s="125" t="s">
        <v>735</v>
      </c>
      <c r="C220" s="129">
        <v>250</v>
      </c>
      <c r="D220" s="122" t="s">
        <v>134</v>
      </c>
      <c r="E220" s="130" t="s">
        <v>1014</v>
      </c>
      <c r="F220" s="127" t="s">
        <v>1004</v>
      </c>
      <c r="G220" s="123" t="s">
        <v>896</v>
      </c>
      <c r="I220" s="120" t="s">
        <v>526</v>
      </c>
      <c r="J220" s="120"/>
      <c r="K220" s="120"/>
      <c r="L220" s="135"/>
      <c r="N220" s="13" t="s">
        <v>540</v>
      </c>
      <c r="O220" s="14" t="s">
        <v>522</v>
      </c>
      <c r="P220" s="14" t="s">
        <v>501</v>
      </c>
      <c r="Q220" s="13">
        <v>1</v>
      </c>
      <c r="R220" s="13" t="s">
        <v>194</v>
      </c>
      <c r="S220" s="14">
        <v>89000</v>
      </c>
      <c r="T220" s="14">
        <v>0</v>
      </c>
      <c r="U220" s="14">
        <v>0</v>
      </c>
      <c r="V220" s="14"/>
    </row>
    <row r="221" spans="1:22" ht="18" customHeight="1" x14ac:dyDescent="0.3">
      <c r="A221" s="123" t="s">
        <v>963</v>
      </c>
      <c r="B221" s="125" t="s">
        <v>735</v>
      </c>
      <c r="C221" s="129">
        <v>300</v>
      </c>
      <c r="D221" s="122" t="s">
        <v>134</v>
      </c>
      <c r="E221" s="130" t="s">
        <v>1015</v>
      </c>
      <c r="F221" s="127" t="s">
        <v>1004</v>
      </c>
      <c r="G221" s="123" t="s">
        <v>896</v>
      </c>
      <c r="I221" s="120" t="s">
        <v>527</v>
      </c>
      <c r="J221" s="120"/>
      <c r="K221" s="120"/>
      <c r="L221" s="135"/>
      <c r="N221" s="13" t="s">
        <v>541</v>
      </c>
      <c r="O221" s="14" t="s">
        <v>522</v>
      </c>
      <c r="P221" s="14" t="s">
        <v>542</v>
      </c>
      <c r="Q221" s="13">
        <v>1</v>
      </c>
      <c r="R221" s="13" t="s">
        <v>194</v>
      </c>
      <c r="S221" s="14">
        <v>97400</v>
      </c>
      <c r="T221" s="14">
        <v>0</v>
      </c>
      <c r="U221" s="14">
        <v>0</v>
      </c>
      <c r="V221" s="14"/>
    </row>
    <row r="222" spans="1:22" ht="18" customHeight="1" x14ac:dyDescent="0.3">
      <c r="A222" s="123" t="s">
        <v>964</v>
      </c>
      <c r="B222" s="125" t="s">
        <v>735</v>
      </c>
      <c r="C222" s="129">
        <v>350</v>
      </c>
      <c r="D222" s="122" t="s">
        <v>134</v>
      </c>
      <c r="E222" s="130" t="s">
        <v>1016</v>
      </c>
      <c r="F222" s="127" t="s">
        <v>1004</v>
      </c>
      <c r="G222" s="123" t="s">
        <v>896</v>
      </c>
      <c r="I222" s="120" t="s">
        <v>528</v>
      </c>
      <c r="J222" s="120"/>
      <c r="K222" s="120"/>
      <c r="L222" s="135"/>
      <c r="N222" s="13" t="s">
        <v>543</v>
      </c>
      <c r="O222" s="14" t="s">
        <v>522</v>
      </c>
      <c r="P222" s="14" t="s">
        <v>544</v>
      </c>
      <c r="Q222" s="13">
        <v>1</v>
      </c>
      <c r="R222" s="13" t="s">
        <v>194</v>
      </c>
      <c r="S222" s="14">
        <v>105800</v>
      </c>
      <c r="T222" s="14">
        <v>0</v>
      </c>
      <c r="U222" s="14">
        <v>0</v>
      </c>
      <c r="V222" s="14"/>
    </row>
    <row r="223" spans="1:22" ht="18" customHeight="1" x14ac:dyDescent="0.3">
      <c r="A223" s="123" t="s">
        <v>965</v>
      </c>
      <c r="B223" s="125" t="s">
        <v>735</v>
      </c>
      <c r="C223" s="129">
        <v>400</v>
      </c>
      <c r="D223" s="122" t="s">
        <v>134</v>
      </c>
      <c r="E223" s="130" t="s">
        <v>1017</v>
      </c>
      <c r="F223" s="127" t="s">
        <v>1004</v>
      </c>
      <c r="G223" s="123" t="s">
        <v>896</v>
      </c>
      <c r="I223" s="120" t="s">
        <v>529</v>
      </c>
      <c r="J223" s="120"/>
      <c r="K223" s="120"/>
      <c r="L223" s="135"/>
      <c r="N223" s="13" t="s">
        <v>545</v>
      </c>
      <c r="O223" s="14" t="s">
        <v>522</v>
      </c>
      <c r="P223" s="14" t="s">
        <v>546</v>
      </c>
      <c r="Q223" s="13">
        <v>1</v>
      </c>
      <c r="R223" s="13" t="s">
        <v>194</v>
      </c>
      <c r="S223" s="14">
        <v>114200</v>
      </c>
      <c r="T223" s="14">
        <v>0</v>
      </c>
      <c r="U223" s="14">
        <v>0</v>
      </c>
      <c r="V223" s="14"/>
    </row>
    <row r="224" spans="1:22" ht="18" customHeight="1" x14ac:dyDescent="0.3">
      <c r="A224" s="123" t="s">
        <v>966</v>
      </c>
      <c r="B224" s="125" t="s">
        <v>735</v>
      </c>
      <c r="C224" s="129">
        <v>450</v>
      </c>
      <c r="D224" s="122" t="s">
        <v>134</v>
      </c>
      <c r="E224" s="130" t="s">
        <v>1018</v>
      </c>
      <c r="F224" s="127" t="s">
        <v>1004</v>
      </c>
      <c r="G224" s="123" t="s">
        <v>896</v>
      </c>
      <c r="I224" s="120" t="s">
        <v>530</v>
      </c>
      <c r="J224" s="120"/>
      <c r="K224" s="120"/>
      <c r="L224" s="135"/>
      <c r="N224" s="13" t="s">
        <v>547</v>
      </c>
      <c r="O224" s="14" t="s">
        <v>522</v>
      </c>
      <c r="P224" s="14" t="s">
        <v>548</v>
      </c>
      <c r="Q224" s="13">
        <v>1</v>
      </c>
      <c r="R224" s="13" t="s">
        <v>194</v>
      </c>
      <c r="S224" s="14">
        <v>122600</v>
      </c>
      <c r="T224" s="14">
        <v>0</v>
      </c>
      <c r="U224" s="14">
        <v>0</v>
      </c>
      <c r="V224" s="14"/>
    </row>
    <row r="225" spans="1:22" ht="18" customHeight="1" x14ac:dyDescent="0.3">
      <c r="A225" s="123" t="s">
        <v>967</v>
      </c>
      <c r="B225" s="125" t="s">
        <v>735</v>
      </c>
      <c r="C225" s="129">
        <v>500</v>
      </c>
      <c r="D225" s="122" t="s">
        <v>134</v>
      </c>
      <c r="E225" s="130" t="s">
        <v>1019</v>
      </c>
      <c r="F225" s="127" t="s">
        <v>1004</v>
      </c>
      <c r="G225" s="123" t="s">
        <v>896</v>
      </c>
      <c r="I225" s="120" t="s">
        <v>531</v>
      </c>
      <c r="J225" s="120"/>
      <c r="K225" s="120"/>
      <c r="L225" s="135"/>
      <c r="N225" s="13" t="s">
        <v>195</v>
      </c>
      <c r="O225" s="14" t="s">
        <v>193</v>
      </c>
      <c r="P225" s="14" t="s">
        <v>378</v>
      </c>
      <c r="Q225" s="13">
        <v>1</v>
      </c>
      <c r="R225" s="13" t="s">
        <v>194</v>
      </c>
      <c r="S225" s="14">
        <v>829.68</v>
      </c>
      <c r="T225" s="14">
        <v>0</v>
      </c>
      <c r="U225" s="14">
        <v>0</v>
      </c>
      <c r="V225" s="14"/>
    </row>
    <row r="226" spans="1:22" ht="18" customHeight="1" x14ac:dyDescent="0.3">
      <c r="A226" s="123" t="s">
        <v>968</v>
      </c>
      <c r="B226" s="125" t="s">
        <v>738</v>
      </c>
      <c r="C226" s="129">
        <v>15</v>
      </c>
      <c r="D226" s="122" t="s">
        <v>134</v>
      </c>
      <c r="E226" s="130" t="s">
        <v>1005</v>
      </c>
      <c r="F226" s="127" t="s">
        <v>1004</v>
      </c>
      <c r="G226" s="123" t="s">
        <v>896</v>
      </c>
      <c r="I226" s="120" t="s">
        <v>1020</v>
      </c>
      <c r="J226" s="120"/>
      <c r="K226" s="120"/>
      <c r="L226" s="120"/>
      <c r="N226" s="13" t="s">
        <v>196</v>
      </c>
      <c r="O226" s="14" t="s">
        <v>193</v>
      </c>
      <c r="P226" s="14" t="s">
        <v>383</v>
      </c>
      <c r="Q226" s="13">
        <v>1</v>
      </c>
      <c r="R226" s="13" t="s">
        <v>194</v>
      </c>
      <c r="S226" s="14">
        <v>1489.48</v>
      </c>
      <c r="T226" s="14">
        <v>0</v>
      </c>
      <c r="U226" s="14">
        <v>0</v>
      </c>
      <c r="V226" s="14"/>
    </row>
    <row r="227" spans="1:22" ht="18" customHeight="1" x14ac:dyDescent="0.3">
      <c r="A227" s="123" t="s">
        <v>969</v>
      </c>
      <c r="B227" s="125" t="s">
        <v>738</v>
      </c>
      <c r="C227" s="129">
        <v>20</v>
      </c>
      <c r="D227" s="122" t="s">
        <v>134</v>
      </c>
      <c r="E227" s="130" t="s">
        <v>1006</v>
      </c>
      <c r="F227" s="127" t="s">
        <v>1004</v>
      </c>
      <c r="G227" s="123" t="s">
        <v>896</v>
      </c>
      <c r="I227" s="120" t="s">
        <v>1020</v>
      </c>
      <c r="J227" s="120"/>
      <c r="K227" s="120"/>
      <c r="L227" s="120"/>
      <c r="N227" s="13" t="s">
        <v>197</v>
      </c>
      <c r="O227" s="14" t="s">
        <v>193</v>
      </c>
      <c r="P227" s="14" t="s">
        <v>384</v>
      </c>
      <c r="Q227" s="13">
        <v>1</v>
      </c>
      <c r="R227" s="13" t="s">
        <v>194</v>
      </c>
      <c r="S227" s="14">
        <v>2652.92</v>
      </c>
      <c r="T227" s="14">
        <v>0</v>
      </c>
      <c r="U227" s="14">
        <v>0</v>
      </c>
      <c r="V227" s="14"/>
    </row>
    <row r="228" spans="1:22" ht="18" customHeight="1" x14ac:dyDescent="0.3">
      <c r="A228" s="123" t="s">
        <v>970</v>
      </c>
      <c r="B228" s="125" t="s">
        <v>738</v>
      </c>
      <c r="C228" s="129">
        <v>25</v>
      </c>
      <c r="D228" s="122" t="s">
        <v>134</v>
      </c>
      <c r="E228" s="130" t="s">
        <v>1007</v>
      </c>
      <c r="F228" s="127" t="s">
        <v>1004</v>
      </c>
      <c r="G228" s="123" t="s">
        <v>896</v>
      </c>
      <c r="I228" s="120" t="s">
        <v>1020</v>
      </c>
      <c r="J228" s="120"/>
      <c r="K228" s="120"/>
      <c r="L228" s="135"/>
      <c r="N228" s="13" t="s">
        <v>198</v>
      </c>
      <c r="O228" s="14" t="s">
        <v>193</v>
      </c>
      <c r="P228" s="14" t="s">
        <v>387</v>
      </c>
      <c r="Q228" s="13">
        <v>1</v>
      </c>
      <c r="R228" s="13" t="s">
        <v>194</v>
      </c>
      <c r="S228" s="14">
        <v>4797.84</v>
      </c>
      <c r="T228" s="14">
        <v>0</v>
      </c>
      <c r="U228" s="14">
        <v>0</v>
      </c>
      <c r="V228" s="14"/>
    </row>
    <row r="229" spans="1:22" ht="18" customHeight="1" x14ac:dyDescent="0.3">
      <c r="A229" s="123" t="s">
        <v>971</v>
      </c>
      <c r="B229" s="125" t="s">
        <v>738</v>
      </c>
      <c r="C229" s="129">
        <v>32</v>
      </c>
      <c r="D229" s="122" t="s">
        <v>134</v>
      </c>
      <c r="E229" s="130" t="s">
        <v>1008</v>
      </c>
      <c r="F229" s="127" t="s">
        <v>1004</v>
      </c>
      <c r="G229" s="123" t="s">
        <v>896</v>
      </c>
      <c r="I229" s="120" t="s">
        <v>1021</v>
      </c>
      <c r="J229" s="120"/>
      <c r="K229" s="120"/>
      <c r="L229" s="120"/>
      <c r="N229" s="13" t="s">
        <v>199</v>
      </c>
      <c r="O229" s="14" t="s">
        <v>193</v>
      </c>
      <c r="P229" s="14" t="s">
        <v>388</v>
      </c>
      <c r="Q229" s="13">
        <v>1</v>
      </c>
      <c r="R229" s="13" t="s">
        <v>194</v>
      </c>
      <c r="S229" s="14">
        <v>4937.84</v>
      </c>
      <c r="T229" s="14">
        <v>0</v>
      </c>
      <c r="U229" s="14">
        <v>0</v>
      </c>
      <c r="V229" s="14"/>
    </row>
    <row r="230" spans="1:22" ht="18" customHeight="1" x14ac:dyDescent="0.3">
      <c r="A230" s="123" t="s">
        <v>972</v>
      </c>
      <c r="B230" s="125" t="s">
        <v>738</v>
      </c>
      <c r="C230" s="129">
        <v>40</v>
      </c>
      <c r="D230" s="122" t="s">
        <v>134</v>
      </c>
      <c r="E230" s="130" t="s">
        <v>1009</v>
      </c>
      <c r="F230" s="127" t="s">
        <v>1004</v>
      </c>
      <c r="G230" s="123" t="s">
        <v>896</v>
      </c>
      <c r="I230" s="120" t="s">
        <v>1021</v>
      </c>
      <c r="J230" s="120"/>
      <c r="K230" s="120"/>
      <c r="L230" s="120"/>
      <c r="N230" s="13" t="s">
        <v>200</v>
      </c>
      <c r="O230" s="14" t="s">
        <v>193</v>
      </c>
      <c r="P230" s="14" t="s">
        <v>389</v>
      </c>
      <c r="Q230" s="13">
        <v>1</v>
      </c>
      <c r="R230" s="13" t="s">
        <v>194</v>
      </c>
      <c r="S230" s="14">
        <v>4987.84</v>
      </c>
      <c r="T230" s="14">
        <v>0</v>
      </c>
      <c r="U230" s="14">
        <v>0</v>
      </c>
      <c r="V230" s="14"/>
    </row>
    <row r="231" spans="1:22" ht="18" customHeight="1" x14ac:dyDescent="0.3">
      <c r="A231" s="123" t="s">
        <v>973</v>
      </c>
      <c r="B231" s="125" t="s">
        <v>738</v>
      </c>
      <c r="C231" s="129">
        <v>50</v>
      </c>
      <c r="D231" s="122" t="s">
        <v>134</v>
      </c>
      <c r="E231" s="130" t="s">
        <v>135</v>
      </c>
      <c r="F231" s="127" t="s">
        <v>1004</v>
      </c>
      <c r="G231" s="123" t="s">
        <v>896</v>
      </c>
      <c r="I231" s="120" t="s">
        <v>1021</v>
      </c>
      <c r="J231" s="120"/>
      <c r="K231" s="120"/>
      <c r="L231" s="120"/>
      <c r="N231" s="13" t="s">
        <v>201</v>
      </c>
      <c r="O231" s="14" t="s">
        <v>193</v>
      </c>
      <c r="P231" s="14" t="s">
        <v>392</v>
      </c>
      <c r="Q231" s="13">
        <v>1</v>
      </c>
      <c r="R231" s="13" t="s">
        <v>194</v>
      </c>
      <c r="S231" s="14">
        <v>9221.0400000000009</v>
      </c>
      <c r="T231" s="14">
        <v>0</v>
      </c>
      <c r="U231" s="14">
        <v>0</v>
      </c>
      <c r="V231" s="14"/>
    </row>
    <row r="232" spans="1:22" ht="18" customHeight="1" x14ac:dyDescent="0.3">
      <c r="A232" s="123" t="s">
        <v>974</v>
      </c>
      <c r="B232" s="125" t="s">
        <v>738</v>
      </c>
      <c r="C232" s="129">
        <v>65</v>
      </c>
      <c r="D232" s="122" t="s">
        <v>134</v>
      </c>
      <c r="E232" s="130" t="s">
        <v>1010</v>
      </c>
      <c r="F232" s="127" t="s">
        <v>1004</v>
      </c>
      <c r="G232" s="123" t="s">
        <v>896</v>
      </c>
      <c r="I232" s="120" t="s">
        <v>1021</v>
      </c>
      <c r="J232" s="120"/>
      <c r="K232" s="120"/>
      <c r="L232" s="135"/>
      <c r="N232" s="13" t="s">
        <v>549</v>
      </c>
      <c r="O232" s="14" t="s">
        <v>193</v>
      </c>
      <c r="P232" s="14" t="s">
        <v>396</v>
      </c>
      <c r="Q232" s="13">
        <v>1</v>
      </c>
      <c r="R232" s="13" t="s">
        <v>194</v>
      </c>
      <c r="S232" s="14">
        <v>14545.56</v>
      </c>
      <c r="T232" s="14">
        <v>0</v>
      </c>
      <c r="U232" s="14">
        <v>0</v>
      </c>
      <c r="V232" s="14"/>
    </row>
    <row r="233" spans="1:22" ht="18" customHeight="1" x14ac:dyDescent="0.3">
      <c r="A233" s="123" t="s">
        <v>975</v>
      </c>
      <c r="B233" s="125" t="s">
        <v>738</v>
      </c>
      <c r="C233" s="129">
        <v>80</v>
      </c>
      <c r="D233" s="122" t="s">
        <v>134</v>
      </c>
      <c r="E233" s="130" t="s">
        <v>137</v>
      </c>
      <c r="F233" s="127" t="s">
        <v>1004</v>
      </c>
      <c r="G233" s="123" t="s">
        <v>896</v>
      </c>
      <c r="I233" s="120" t="s">
        <v>1022</v>
      </c>
      <c r="J233" s="120"/>
      <c r="K233" s="120"/>
      <c r="L233" s="135"/>
      <c r="N233" s="13" t="s">
        <v>202</v>
      </c>
      <c r="O233" s="14" t="s">
        <v>193</v>
      </c>
      <c r="P233" s="14" t="s">
        <v>397</v>
      </c>
      <c r="Q233" s="13">
        <v>1</v>
      </c>
      <c r="R233" s="13" t="s">
        <v>194</v>
      </c>
      <c r="S233" s="14">
        <v>14795.56</v>
      </c>
      <c r="T233" s="14">
        <v>0</v>
      </c>
      <c r="U233" s="14">
        <v>0</v>
      </c>
      <c r="V233" s="14"/>
    </row>
    <row r="234" spans="1:22" ht="18" customHeight="1" x14ac:dyDescent="0.3">
      <c r="A234" s="123" t="s">
        <v>976</v>
      </c>
      <c r="B234" s="125" t="s">
        <v>738</v>
      </c>
      <c r="C234" s="129">
        <v>100</v>
      </c>
      <c r="D234" s="122" t="s">
        <v>134</v>
      </c>
      <c r="E234" s="130" t="s">
        <v>1011</v>
      </c>
      <c r="F234" s="127" t="s">
        <v>1004</v>
      </c>
      <c r="G234" s="123" t="s">
        <v>896</v>
      </c>
      <c r="I234" s="120" t="s">
        <v>1023</v>
      </c>
      <c r="J234" s="120"/>
      <c r="K234" s="120"/>
      <c r="L234" s="135"/>
      <c r="N234" s="13" t="s">
        <v>550</v>
      </c>
      <c r="O234" s="14" t="s">
        <v>193</v>
      </c>
      <c r="P234" s="14" t="s">
        <v>399</v>
      </c>
      <c r="Q234" s="13">
        <v>1</v>
      </c>
      <c r="R234" s="13" t="s">
        <v>194</v>
      </c>
      <c r="S234" s="14">
        <v>17232.639999999996</v>
      </c>
      <c r="T234" s="14">
        <v>0</v>
      </c>
      <c r="U234" s="14">
        <v>0</v>
      </c>
      <c r="V234" s="14"/>
    </row>
    <row r="235" spans="1:22" ht="18" customHeight="1" x14ac:dyDescent="0.3">
      <c r="A235" s="123" t="s">
        <v>977</v>
      </c>
      <c r="B235" s="125" t="s">
        <v>738</v>
      </c>
      <c r="C235" s="129">
        <v>125</v>
      </c>
      <c r="D235" s="122" t="s">
        <v>134</v>
      </c>
      <c r="E235" s="130" t="s">
        <v>1012</v>
      </c>
      <c r="F235" s="127" t="s">
        <v>1004</v>
      </c>
      <c r="G235" s="123" t="s">
        <v>896</v>
      </c>
      <c r="I235" s="120" t="s">
        <v>1024</v>
      </c>
      <c r="J235" s="120"/>
      <c r="K235" s="120"/>
      <c r="L235" s="135"/>
      <c r="N235" s="13" t="s">
        <v>551</v>
      </c>
      <c r="O235" s="14" t="s">
        <v>193</v>
      </c>
      <c r="P235" s="14" t="s">
        <v>401</v>
      </c>
      <c r="Q235" s="13">
        <v>1</v>
      </c>
      <c r="R235" s="13" t="s">
        <v>194</v>
      </c>
      <c r="S235" s="14">
        <v>22673.519999999997</v>
      </c>
      <c r="T235" s="14">
        <v>0</v>
      </c>
      <c r="U235" s="14">
        <v>0</v>
      </c>
      <c r="V235" s="14"/>
    </row>
    <row r="236" spans="1:22" ht="18" customHeight="1" x14ac:dyDescent="0.3">
      <c r="A236" s="123" t="s">
        <v>978</v>
      </c>
      <c r="B236" s="125" t="s">
        <v>738</v>
      </c>
      <c r="C236" s="129">
        <v>150</v>
      </c>
      <c r="D236" s="122" t="s">
        <v>134</v>
      </c>
      <c r="E236" s="130" t="s">
        <v>139</v>
      </c>
      <c r="F236" s="127" t="s">
        <v>1004</v>
      </c>
      <c r="G236" s="123" t="s">
        <v>896</v>
      </c>
      <c r="I236" s="120" t="s">
        <v>205</v>
      </c>
      <c r="J236" s="120"/>
      <c r="K236" s="120"/>
      <c r="L236" s="135"/>
      <c r="N236" s="13" t="s">
        <v>552</v>
      </c>
      <c r="O236" s="14" t="s">
        <v>193</v>
      </c>
      <c r="P236" s="14" t="s">
        <v>403</v>
      </c>
      <c r="Q236" s="13">
        <v>1</v>
      </c>
      <c r="R236" s="13" t="s">
        <v>194</v>
      </c>
      <c r="S236" s="14">
        <v>24363.519999999997</v>
      </c>
      <c r="T236" s="14">
        <v>0</v>
      </c>
      <c r="U236" s="14">
        <v>0</v>
      </c>
      <c r="V236" s="14"/>
    </row>
    <row r="237" spans="1:22" ht="18" customHeight="1" x14ac:dyDescent="0.3">
      <c r="A237" s="123" t="s">
        <v>979</v>
      </c>
      <c r="B237" s="125" t="s">
        <v>738</v>
      </c>
      <c r="C237" s="129">
        <v>200</v>
      </c>
      <c r="D237" s="122" t="s">
        <v>134</v>
      </c>
      <c r="E237" s="130" t="s">
        <v>1013</v>
      </c>
      <c r="F237" s="127" t="s">
        <v>1004</v>
      </c>
      <c r="G237" s="123" t="s">
        <v>896</v>
      </c>
      <c r="I237" s="120" t="s">
        <v>525</v>
      </c>
      <c r="J237" s="120"/>
      <c r="K237" s="120"/>
      <c r="L237" s="135"/>
      <c r="N237" s="13" t="s">
        <v>553</v>
      </c>
      <c r="O237" s="14" t="s">
        <v>193</v>
      </c>
      <c r="P237" s="14" t="s">
        <v>405</v>
      </c>
      <c r="Q237" s="13">
        <v>1</v>
      </c>
      <c r="R237" s="13" t="s">
        <v>194</v>
      </c>
      <c r="S237" s="14">
        <v>29204.400000000001</v>
      </c>
      <c r="T237" s="14">
        <v>0</v>
      </c>
      <c r="U237" s="14">
        <v>0</v>
      </c>
      <c r="V237" s="14"/>
    </row>
    <row r="238" spans="1:22" ht="18" customHeight="1" x14ac:dyDescent="0.3">
      <c r="A238" s="123" t="s">
        <v>980</v>
      </c>
      <c r="B238" s="125" t="s">
        <v>738</v>
      </c>
      <c r="C238" s="129">
        <v>250</v>
      </c>
      <c r="D238" s="122" t="s">
        <v>134</v>
      </c>
      <c r="E238" s="130" t="s">
        <v>1014</v>
      </c>
      <c r="F238" s="127" t="s">
        <v>1004</v>
      </c>
      <c r="G238" s="123" t="s">
        <v>896</v>
      </c>
      <c r="I238" s="120" t="s">
        <v>526</v>
      </c>
      <c r="J238" s="120"/>
      <c r="K238" s="120"/>
      <c r="L238" s="135"/>
      <c r="N238" s="13" t="s">
        <v>554</v>
      </c>
      <c r="O238" s="14" t="s">
        <v>193</v>
      </c>
      <c r="P238" s="14" t="s">
        <v>409</v>
      </c>
      <c r="Q238" s="13">
        <v>1</v>
      </c>
      <c r="R238" s="13" t="s">
        <v>194</v>
      </c>
      <c r="S238" s="14">
        <v>37811.800000000003</v>
      </c>
      <c r="T238" s="14">
        <v>0</v>
      </c>
      <c r="U238" s="14">
        <v>0</v>
      </c>
      <c r="V238" s="14"/>
    </row>
    <row r="239" spans="1:22" ht="18" customHeight="1" x14ac:dyDescent="0.3">
      <c r="A239" s="123" t="s">
        <v>981</v>
      </c>
      <c r="B239" s="125" t="s">
        <v>738</v>
      </c>
      <c r="C239" s="129">
        <v>300</v>
      </c>
      <c r="D239" s="122" t="s">
        <v>134</v>
      </c>
      <c r="E239" s="130" t="s">
        <v>1015</v>
      </c>
      <c r="F239" s="127" t="s">
        <v>1004</v>
      </c>
      <c r="G239" s="123" t="s">
        <v>896</v>
      </c>
      <c r="I239" s="120" t="s">
        <v>527</v>
      </c>
      <c r="J239" s="120"/>
      <c r="K239" s="120"/>
      <c r="L239" s="135"/>
      <c r="N239" s="13" t="s">
        <v>555</v>
      </c>
      <c r="O239" s="14" t="s">
        <v>193</v>
      </c>
      <c r="P239" s="14" t="s">
        <v>413</v>
      </c>
      <c r="Q239" s="13">
        <v>1</v>
      </c>
      <c r="R239" s="13" t="s">
        <v>194</v>
      </c>
      <c r="S239" s="14">
        <v>44374.16</v>
      </c>
      <c r="T239" s="14">
        <v>0</v>
      </c>
      <c r="U239" s="14">
        <v>0</v>
      </c>
      <c r="V239" s="14"/>
    </row>
    <row r="240" spans="1:22" ht="18" customHeight="1" x14ac:dyDescent="0.3">
      <c r="A240" s="123" t="s">
        <v>982</v>
      </c>
      <c r="B240" s="125" t="s">
        <v>738</v>
      </c>
      <c r="C240" s="129">
        <v>350</v>
      </c>
      <c r="D240" s="122" t="s">
        <v>134</v>
      </c>
      <c r="E240" s="130" t="s">
        <v>1016</v>
      </c>
      <c r="F240" s="127" t="s">
        <v>1004</v>
      </c>
      <c r="G240" s="123" t="s">
        <v>896</v>
      </c>
      <c r="I240" s="120" t="s">
        <v>528</v>
      </c>
      <c r="J240" s="120"/>
      <c r="K240" s="120"/>
      <c r="L240" s="135"/>
      <c r="N240" s="13" t="s">
        <v>556</v>
      </c>
      <c r="O240" s="14" t="s">
        <v>193</v>
      </c>
      <c r="P240" s="14" t="s">
        <v>417</v>
      </c>
      <c r="Q240" s="13">
        <v>1</v>
      </c>
      <c r="R240" s="13" t="s">
        <v>194</v>
      </c>
      <c r="S240" s="14">
        <v>55400</v>
      </c>
      <c r="T240" s="14">
        <v>0</v>
      </c>
      <c r="U240" s="14">
        <v>0</v>
      </c>
      <c r="V240" s="14"/>
    </row>
    <row r="241" spans="1:22" ht="18" customHeight="1" x14ac:dyDescent="0.3">
      <c r="A241" s="123" t="s">
        <v>983</v>
      </c>
      <c r="B241" s="125" t="s">
        <v>738</v>
      </c>
      <c r="C241" s="129">
        <v>400</v>
      </c>
      <c r="D241" s="122" t="s">
        <v>134</v>
      </c>
      <c r="E241" s="130" t="s">
        <v>1017</v>
      </c>
      <c r="F241" s="127" t="s">
        <v>1004</v>
      </c>
      <c r="G241" s="123" t="s">
        <v>896</v>
      </c>
      <c r="I241" s="120" t="s">
        <v>529</v>
      </c>
      <c r="J241" s="120"/>
      <c r="K241" s="120"/>
      <c r="L241" s="135"/>
      <c r="N241" s="13" t="s">
        <v>557</v>
      </c>
      <c r="O241" s="14" t="s">
        <v>193</v>
      </c>
      <c r="P241" s="14" t="s">
        <v>421</v>
      </c>
      <c r="Q241" s="13">
        <v>1</v>
      </c>
      <c r="R241" s="13" t="s">
        <v>194</v>
      </c>
      <c r="S241" s="14">
        <v>55400</v>
      </c>
      <c r="T241" s="14">
        <v>0</v>
      </c>
      <c r="U241" s="14">
        <v>0</v>
      </c>
      <c r="V241" s="14"/>
    </row>
    <row r="242" spans="1:22" ht="18" customHeight="1" x14ac:dyDescent="0.3">
      <c r="A242" s="123" t="s">
        <v>984</v>
      </c>
      <c r="B242" s="125" t="s">
        <v>738</v>
      </c>
      <c r="C242" s="129">
        <v>450</v>
      </c>
      <c r="D242" s="122" t="s">
        <v>134</v>
      </c>
      <c r="E242" s="130" t="s">
        <v>1018</v>
      </c>
      <c r="F242" s="127" t="s">
        <v>1004</v>
      </c>
      <c r="G242" s="123" t="s">
        <v>896</v>
      </c>
      <c r="I242" s="120" t="s">
        <v>530</v>
      </c>
      <c r="J242" s="120"/>
      <c r="K242" s="120"/>
      <c r="L242" s="135"/>
      <c r="N242" s="13" t="s">
        <v>558</v>
      </c>
      <c r="O242" s="14" t="s">
        <v>193</v>
      </c>
      <c r="P242" s="14" t="s">
        <v>423</v>
      </c>
      <c r="Q242" s="13">
        <v>1</v>
      </c>
      <c r="R242" s="13" t="s">
        <v>194</v>
      </c>
      <c r="S242" s="14">
        <v>63800</v>
      </c>
      <c r="T242" s="14">
        <v>0</v>
      </c>
      <c r="U242" s="14">
        <v>0</v>
      </c>
      <c r="V242" s="14"/>
    </row>
    <row r="243" spans="1:22" ht="18" customHeight="1" x14ac:dyDescent="0.3">
      <c r="A243" s="123" t="s">
        <v>985</v>
      </c>
      <c r="B243" s="125" t="s">
        <v>738</v>
      </c>
      <c r="C243" s="129">
        <v>500</v>
      </c>
      <c r="D243" s="122" t="s">
        <v>134</v>
      </c>
      <c r="E243" s="130" t="s">
        <v>1019</v>
      </c>
      <c r="F243" s="127" t="s">
        <v>1004</v>
      </c>
      <c r="G243" s="123" t="s">
        <v>896</v>
      </c>
      <c r="I243" s="120" t="s">
        <v>531</v>
      </c>
      <c r="J243" s="120"/>
      <c r="K243" s="120"/>
      <c r="L243" s="135"/>
      <c r="N243" s="13" t="s">
        <v>559</v>
      </c>
      <c r="O243" s="14" t="s">
        <v>193</v>
      </c>
      <c r="P243" s="14" t="s">
        <v>427</v>
      </c>
      <c r="Q243" s="13">
        <v>1</v>
      </c>
      <c r="R243" s="13" t="s">
        <v>194</v>
      </c>
      <c r="S243" s="14">
        <v>72200</v>
      </c>
      <c r="T243" s="14">
        <v>0</v>
      </c>
      <c r="U243" s="14">
        <v>0</v>
      </c>
      <c r="V243" s="14"/>
    </row>
    <row r="244" spans="1:22" ht="18" customHeight="1" x14ac:dyDescent="0.3">
      <c r="A244" s="123" t="s">
        <v>986</v>
      </c>
      <c r="B244" s="125" t="s">
        <v>745</v>
      </c>
      <c r="C244" s="129">
        <v>15</v>
      </c>
      <c r="D244" s="122" t="s">
        <v>134</v>
      </c>
      <c r="E244" s="130" t="s">
        <v>1005</v>
      </c>
      <c r="F244" s="127" t="s">
        <v>1004</v>
      </c>
      <c r="G244" s="123" t="s">
        <v>896</v>
      </c>
      <c r="I244" s="120" t="s">
        <v>1020</v>
      </c>
      <c r="J244" s="120"/>
      <c r="K244" s="120"/>
      <c r="L244" s="135"/>
      <c r="N244" s="13" t="s">
        <v>560</v>
      </c>
      <c r="O244" s="14" t="s">
        <v>193</v>
      </c>
      <c r="P244" s="14" t="s">
        <v>429</v>
      </c>
      <c r="Q244" s="13">
        <v>1</v>
      </c>
      <c r="R244" s="13" t="s">
        <v>194</v>
      </c>
      <c r="S244" s="14">
        <v>72200</v>
      </c>
      <c r="T244" s="14">
        <v>0</v>
      </c>
      <c r="U244" s="14">
        <v>0</v>
      </c>
      <c r="V244" s="14"/>
    </row>
    <row r="245" spans="1:22" ht="18" customHeight="1" x14ac:dyDescent="0.3">
      <c r="A245" s="123" t="s">
        <v>987</v>
      </c>
      <c r="B245" s="125" t="s">
        <v>745</v>
      </c>
      <c r="C245" s="129">
        <v>20</v>
      </c>
      <c r="D245" s="122" t="s">
        <v>134</v>
      </c>
      <c r="E245" s="130" t="s">
        <v>1006</v>
      </c>
      <c r="F245" s="127" t="s">
        <v>1004</v>
      </c>
      <c r="G245" s="123" t="s">
        <v>896</v>
      </c>
      <c r="I245" s="120" t="s">
        <v>1020</v>
      </c>
      <c r="J245" s="120"/>
      <c r="K245" s="120"/>
      <c r="L245" s="135"/>
      <c r="N245" s="13" t="s">
        <v>561</v>
      </c>
      <c r="O245" s="14" t="s">
        <v>193</v>
      </c>
      <c r="P245" s="14" t="s">
        <v>431</v>
      </c>
      <c r="Q245" s="13">
        <v>1</v>
      </c>
      <c r="R245" s="13" t="s">
        <v>194</v>
      </c>
      <c r="S245" s="14">
        <v>80600</v>
      </c>
      <c r="T245" s="14">
        <v>0</v>
      </c>
      <c r="U245" s="14">
        <v>0</v>
      </c>
      <c r="V245" s="14"/>
    </row>
    <row r="246" spans="1:22" ht="18" customHeight="1" x14ac:dyDescent="0.3">
      <c r="A246" s="123" t="s">
        <v>988</v>
      </c>
      <c r="B246" s="125" t="s">
        <v>745</v>
      </c>
      <c r="C246" s="129">
        <v>25</v>
      </c>
      <c r="D246" s="122" t="s">
        <v>134</v>
      </c>
      <c r="E246" s="130" t="s">
        <v>1007</v>
      </c>
      <c r="F246" s="127" t="s">
        <v>1004</v>
      </c>
      <c r="G246" s="123" t="s">
        <v>896</v>
      </c>
      <c r="I246" s="120" t="s">
        <v>1020</v>
      </c>
      <c r="J246" s="120"/>
      <c r="K246" s="120"/>
      <c r="L246" s="135"/>
      <c r="N246" s="13" t="s">
        <v>562</v>
      </c>
      <c r="O246" s="14" t="s">
        <v>193</v>
      </c>
      <c r="P246" s="14" t="s">
        <v>501</v>
      </c>
      <c r="Q246" s="13">
        <v>1</v>
      </c>
      <c r="R246" s="13" t="s">
        <v>194</v>
      </c>
      <c r="S246" s="14">
        <v>89000</v>
      </c>
      <c r="T246" s="14">
        <v>0</v>
      </c>
      <c r="U246" s="14">
        <v>0</v>
      </c>
      <c r="V246" s="14"/>
    </row>
    <row r="247" spans="1:22" ht="18" customHeight="1" x14ac:dyDescent="0.3">
      <c r="A247" s="123" t="s">
        <v>989</v>
      </c>
      <c r="B247" s="125" t="s">
        <v>745</v>
      </c>
      <c r="C247" s="129">
        <v>32</v>
      </c>
      <c r="D247" s="122" t="s">
        <v>134</v>
      </c>
      <c r="E247" s="130" t="s">
        <v>1008</v>
      </c>
      <c r="F247" s="127" t="s">
        <v>1004</v>
      </c>
      <c r="G247" s="123" t="s">
        <v>896</v>
      </c>
      <c r="I247" s="120" t="s">
        <v>1021</v>
      </c>
      <c r="J247" s="120"/>
      <c r="K247" s="120"/>
      <c r="L247" s="135"/>
      <c r="N247" s="13" t="s">
        <v>563</v>
      </c>
      <c r="O247" s="14" t="s">
        <v>193</v>
      </c>
      <c r="P247" s="14" t="s">
        <v>542</v>
      </c>
      <c r="Q247" s="13">
        <v>1</v>
      </c>
      <c r="R247" s="13" t="s">
        <v>194</v>
      </c>
      <c r="S247" s="14">
        <v>97400</v>
      </c>
      <c r="T247" s="14">
        <v>0</v>
      </c>
      <c r="U247" s="14">
        <v>0</v>
      </c>
      <c r="V247" s="14"/>
    </row>
    <row r="248" spans="1:22" ht="18" customHeight="1" x14ac:dyDescent="0.3">
      <c r="A248" s="123" t="s">
        <v>990</v>
      </c>
      <c r="B248" s="125" t="s">
        <v>745</v>
      </c>
      <c r="C248" s="129">
        <v>40</v>
      </c>
      <c r="D248" s="122" t="s">
        <v>134</v>
      </c>
      <c r="E248" s="130" t="s">
        <v>1009</v>
      </c>
      <c r="F248" s="127" t="s">
        <v>1004</v>
      </c>
      <c r="G248" s="123" t="s">
        <v>896</v>
      </c>
      <c r="I248" s="120" t="s">
        <v>1021</v>
      </c>
      <c r="J248" s="120"/>
      <c r="K248" s="120"/>
      <c r="L248" s="135"/>
      <c r="N248" s="13" t="s">
        <v>564</v>
      </c>
      <c r="O248" s="14" t="s">
        <v>193</v>
      </c>
      <c r="P248" s="14" t="s">
        <v>544</v>
      </c>
      <c r="Q248" s="13">
        <v>1</v>
      </c>
      <c r="R248" s="13" t="s">
        <v>194</v>
      </c>
      <c r="S248" s="14">
        <v>105800</v>
      </c>
      <c r="T248" s="14">
        <v>0</v>
      </c>
      <c r="U248" s="14">
        <v>0</v>
      </c>
      <c r="V248" s="14"/>
    </row>
    <row r="249" spans="1:22" ht="18" customHeight="1" x14ac:dyDescent="0.3">
      <c r="A249" s="123" t="s">
        <v>991</v>
      </c>
      <c r="B249" s="125" t="s">
        <v>745</v>
      </c>
      <c r="C249" s="129">
        <v>50</v>
      </c>
      <c r="D249" s="122" t="s">
        <v>134</v>
      </c>
      <c r="E249" s="130" t="s">
        <v>135</v>
      </c>
      <c r="F249" s="127" t="s">
        <v>1004</v>
      </c>
      <c r="G249" s="123" t="s">
        <v>896</v>
      </c>
      <c r="I249" s="120" t="s">
        <v>1021</v>
      </c>
      <c r="J249" s="120"/>
      <c r="K249" s="120"/>
      <c r="L249" s="135"/>
      <c r="N249" s="13" t="s">
        <v>565</v>
      </c>
      <c r="O249" s="14" t="s">
        <v>193</v>
      </c>
      <c r="P249" s="14" t="s">
        <v>546</v>
      </c>
      <c r="Q249" s="13">
        <v>1</v>
      </c>
      <c r="R249" s="13" t="s">
        <v>194</v>
      </c>
      <c r="S249" s="14">
        <v>114200</v>
      </c>
      <c r="T249" s="14">
        <v>0</v>
      </c>
      <c r="U249" s="14">
        <v>0</v>
      </c>
      <c r="V249" s="14"/>
    </row>
    <row r="250" spans="1:22" ht="18" customHeight="1" x14ac:dyDescent="0.3">
      <c r="A250" s="123" t="s">
        <v>992</v>
      </c>
      <c r="B250" s="125" t="s">
        <v>745</v>
      </c>
      <c r="C250" s="129">
        <v>65</v>
      </c>
      <c r="D250" s="122" t="s">
        <v>134</v>
      </c>
      <c r="E250" s="130" t="s">
        <v>1010</v>
      </c>
      <c r="F250" s="127" t="s">
        <v>1004</v>
      </c>
      <c r="G250" s="123" t="s">
        <v>896</v>
      </c>
      <c r="I250" s="120" t="s">
        <v>1021</v>
      </c>
      <c r="J250" s="120"/>
      <c r="K250" s="120"/>
      <c r="L250" s="135"/>
      <c r="N250" s="13" t="s">
        <v>566</v>
      </c>
      <c r="O250" s="14" t="s">
        <v>193</v>
      </c>
      <c r="P250" s="14" t="s">
        <v>548</v>
      </c>
      <c r="Q250" s="13">
        <v>1</v>
      </c>
      <c r="R250" s="13" t="s">
        <v>194</v>
      </c>
      <c r="S250" s="14">
        <v>122600</v>
      </c>
      <c r="T250" s="14">
        <v>0</v>
      </c>
      <c r="U250" s="14">
        <v>0</v>
      </c>
      <c r="V250" s="14"/>
    </row>
    <row r="251" spans="1:22" ht="18" customHeight="1" x14ac:dyDescent="0.3">
      <c r="A251" s="123" t="s">
        <v>993</v>
      </c>
      <c r="B251" s="125" t="s">
        <v>745</v>
      </c>
      <c r="C251" s="129">
        <v>80</v>
      </c>
      <c r="D251" s="122" t="s">
        <v>134</v>
      </c>
      <c r="E251" s="130" t="s">
        <v>137</v>
      </c>
      <c r="F251" s="127" t="s">
        <v>1004</v>
      </c>
      <c r="G251" s="123" t="s">
        <v>896</v>
      </c>
      <c r="I251" s="120" t="s">
        <v>1022</v>
      </c>
      <c r="J251" s="120"/>
      <c r="K251" s="120"/>
      <c r="L251" s="135"/>
      <c r="N251" s="13" t="s">
        <v>567</v>
      </c>
      <c r="O251" s="14" t="s">
        <v>568</v>
      </c>
      <c r="P251" s="14" t="s">
        <v>378</v>
      </c>
      <c r="Q251" s="13">
        <v>1</v>
      </c>
      <c r="R251" s="13" t="s">
        <v>194</v>
      </c>
      <c r="S251" s="14">
        <v>829.68</v>
      </c>
      <c r="T251" s="14">
        <v>0</v>
      </c>
      <c r="U251" s="14">
        <v>0</v>
      </c>
      <c r="V251" s="14"/>
    </row>
    <row r="252" spans="1:22" ht="18" customHeight="1" x14ac:dyDescent="0.3">
      <c r="A252" s="123" t="s">
        <v>994</v>
      </c>
      <c r="B252" s="125" t="s">
        <v>745</v>
      </c>
      <c r="C252" s="129">
        <v>100</v>
      </c>
      <c r="D252" s="122" t="s">
        <v>134</v>
      </c>
      <c r="E252" s="130" t="s">
        <v>1011</v>
      </c>
      <c r="F252" s="127" t="s">
        <v>1004</v>
      </c>
      <c r="G252" s="123" t="s">
        <v>896</v>
      </c>
      <c r="I252" s="120" t="s">
        <v>1023</v>
      </c>
      <c r="J252" s="120"/>
      <c r="K252" s="120"/>
      <c r="L252" s="135"/>
      <c r="N252" s="13" t="s">
        <v>569</v>
      </c>
      <c r="O252" s="14" t="s">
        <v>568</v>
      </c>
      <c r="P252" s="14" t="s">
        <v>383</v>
      </c>
      <c r="Q252" s="13">
        <v>1</v>
      </c>
      <c r="R252" s="13" t="s">
        <v>194</v>
      </c>
      <c r="S252" s="14">
        <v>1489.48</v>
      </c>
      <c r="T252" s="14">
        <v>0</v>
      </c>
      <c r="U252" s="14">
        <v>0</v>
      </c>
      <c r="V252" s="14"/>
    </row>
    <row r="253" spans="1:22" ht="18" customHeight="1" x14ac:dyDescent="0.3">
      <c r="A253" s="123" t="s">
        <v>995</v>
      </c>
      <c r="B253" s="125" t="s">
        <v>745</v>
      </c>
      <c r="C253" s="129">
        <v>125</v>
      </c>
      <c r="D253" s="122" t="s">
        <v>134</v>
      </c>
      <c r="E253" s="130" t="s">
        <v>1012</v>
      </c>
      <c r="F253" s="127" t="s">
        <v>1004</v>
      </c>
      <c r="G253" s="123" t="s">
        <v>896</v>
      </c>
      <c r="I253" s="120" t="s">
        <v>1024</v>
      </c>
      <c r="J253" s="120"/>
      <c r="K253" s="120"/>
      <c r="L253" s="135"/>
      <c r="N253" s="13" t="s">
        <v>570</v>
      </c>
      <c r="O253" s="14" t="s">
        <v>568</v>
      </c>
      <c r="P253" s="14" t="s">
        <v>384</v>
      </c>
      <c r="Q253" s="13">
        <v>1</v>
      </c>
      <c r="R253" s="13" t="s">
        <v>194</v>
      </c>
      <c r="S253" s="14">
        <v>2652.92</v>
      </c>
      <c r="T253" s="14">
        <v>0</v>
      </c>
      <c r="U253" s="14">
        <v>0</v>
      </c>
      <c r="V253" s="14"/>
    </row>
    <row r="254" spans="1:22" ht="18" customHeight="1" x14ac:dyDescent="0.3">
      <c r="A254" s="123" t="s">
        <v>996</v>
      </c>
      <c r="B254" s="125" t="s">
        <v>745</v>
      </c>
      <c r="C254" s="129">
        <v>150</v>
      </c>
      <c r="D254" s="122" t="s">
        <v>134</v>
      </c>
      <c r="E254" s="130" t="s">
        <v>139</v>
      </c>
      <c r="F254" s="127" t="s">
        <v>1004</v>
      </c>
      <c r="G254" s="123" t="s">
        <v>896</v>
      </c>
      <c r="I254" s="120" t="s">
        <v>205</v>
      </c>
      <c r="J254" s="120"/>
      <c r="K254" s="120"/>
      <c r="L254" s="135"/>
      <c r="N254" s="13" t="s">
        <v>571</v>
      </c>
      <c r="O254" s="14" t="s">
        <v>568</v>
      </c>
      <c r="P254" s="14" t="s">
        <v>387</v>
      </c>
      <c r="Q254" s="13">
        <v>1</v>
      </c>
      <c r="R254" s="13" t="s">
        <v>194</v>
      </c>
      <c r="S254" s="14">
        <v>4797.84</v>
      </c>
      <c r="T254" s="14">
        <v>0</v>
      </c>
      <c r="U254" s="14">
        <v>0</v>
      </c>
      <c r="V254" s="14"/>
    </row>
    <row r="255" spans="1:22" ht="18" customHeight="1" x14ac:dyDescent="0.3">
      <c r="A255" s="123" t="s">
        <v>997</v>
      </c>
      <c r="B255" s="125" t="s">
        <v>745</v>
      </c>
      <c r="C255" s="129">
        <v>200</v>
      </c>
      <c r="D255" s="122" t="s">
        <v>134</v>
      </c>
      <c r="E255" s="130" t="s">
        <v>1013</v>
      </c>
      <c r="F255" s="127" t="s">
        <v>1004</v>
      </c>
      <c r="G255" s="123" t="s">
        <v>896</v>
      </c>
      <c r="I255" s="120" t="s">
        <v>525</v>
      </c>
      <c r="J255" s="120"/>
      <c r="K255" s="120"/>
      <c r="L255" s="135"/>
      <c r="N255" s="13" t="s">
        <v>572</v>
      </c>
      <c r="O255" s="14" t="s">
        <v>568</v>
      </c>
      <c r="P255" s="14" t="s">
        <v>388</v>
      </c>
      <c r="Q255" s="13">
        <v>1</v>
      </c>
      <c r="R255" s="13" t="s">
        <v>194</v>
      </c>
      <c r="S255" s="14">
        <v>4937.84</v>
      </c>
      <c r="T255" s="14">
        <v>0</v>
      </c>
      <c r="U255" s="14">
        <v>0</v>
      </c>
      <c r="V255" s="14"/>
    </row>
    <row r="256" spans="1:22" ht="18" customHeight="1" x14ac:dyDescent="0.3">
      <c r="A256" s="123" t="s">
        <v>998</v>
      </c>
      <c r="B256" s="125" t="s">
        <v>745</v>
      </c>
      <c r="C256" s="129">
        <v>250</v>
      </c>
      <c r="D256" s="122" t="s">
        <v>134</v>
      </c>
      <c r="E256" s="130" t="s">
        <v>1014</v>
      </c>
      <c r="F256" s="127" t="s">
        <v>1004</v>
      </c>
      <c r="G256" s="123" t="s">
        <v>896</v>
      </c>
      <c r="I256" s="120" t="s">
        <v>526</v>
      </c>
      <c r="J256" s="120"/>
      <c r="K256" s="120"/>
      <c r="L256" s="135"/>
      <c r="N256" s="13" t="s">
        <v>573</v>
      </c>
      <c r="O256" s="14" t="s">
        <v>568</v>
      </c>
      <c r="P256" s="14" t="s">
        <v>389</v>
      </c>
      <c r="Q256" s="13">
        <v>1</v>
      </c>
      <c r="R256" s="13" t="s">
        <v>194</v>
      </c>
      <c r="S256" s="14">
        <v>4987.84</v>
      </c>
      <c r="T256" s="14">
        <v>0</v>
      </c>
      <c r="U256" s="14">
        <v>0</v>
      </c>
      <c r="V256" s="14"/>
    </row>
    <row r="257" spans="1:22" ht="18" customHeight="1" x14ac:dyDescent="0.3">
      <c r="A257" s="123" t="s">
        <v>999</v>
      </c>
      <c r="B257" s="125" t="s">
        <v>745</v>
      </c>
      <c r="C257" s="129">
        <v>300</v>
      </c>
      <c r="D257" s="122" t="s">
        <v>134</v>
      </c>
      <c r="E257" s="130" t="s">
        <v>1015</v>
      </c>
      <c r="F257" s="127" t="s">
        <v>1004</v>
      </c>
      <c r="G257" s="123" t="s">
        <v>896</v>
      </c>
      <c r="I257" s="120" t="s">
        <v>527</v>
      </c>
      <c r="J257" s="120"/>
      <c r="K257" s="120"/>
      <c r="L257" s="135"/>
      <c r="N257" s="13" t="s">
        <v>574</v>
      </c>
      <c r="O257" s="14" t="s">
        <v>568</v>
      </c>
      <c r="P257" s="14" t="s">
        <v>392</v>
      </c>
      <c r="Q257" s="13">
        <v>1</v>
      </c>
      <c r="R257" s="13" t="s">
        <v>194</v>
      </c>
      <c r="S257" s="14">
        <v>9221.0400000000009</v>
      </c>
      <c r="T257" s="14">
        <v>0</v>
      </c>
      <c r="U257" s="14">
        <v>0</v>
      </c>
      <c r="V257" s="14"/>
    </row>
    <row r="258" spans="1:22" ht="18" customHeight="1" x14ac:dyDescent="0.3">
      <c r="A258" s="123" t="s">
        <v>1000</v>
      </c>
      <c r="B258" s="125" t="s">
        <v>745</v>
      </c>
      <c r="C258" s="129">
        <v>350</v>
      </c>
      <c r="D258" s="122" t="s">
        <v>134</v>
      </c>
      <c r="E258" s="130" t="s">
        <v>1016</v>
      </c>
      <c r="F258" s="127" t="s">
        <v>1004</v>
      </c>
      <c r="G258" s="123" t="s">
        <v>896</v>
      </c>
      <c r="I258" s="120" t="s">
        <v>528</v>
      </c>
      <c r="J258" s="120"/>
      <c r="K258" s="120"/>
      <c r="L258" s="135"/>
      <c r="N258" s="13" t="s">
        <v>575</v>
      </c>
      <c r="O258" s="14" t="s">
        <v>568</v>
      </c>
      <c r="P258" s="14" t="s">
        <v>396</v>
      </c>
      <c r="Q258" s="13">
        <v>1</v>
      </c>
      <c r="R258" s="13" t="s">
        <v>194</v>
      </c>
      <c r="S258" s="14">
        <v>14545.56</v>
      </c>
      <c r="T258" s="14">
        <v>0</v>
      </c>
      <c r="U258" s="14">
        <v>0</v>
      </c>
      <c r="V258" s="14"/>
    </row>
    <row r="259" spans="1:22" ht="18" customHeight="1" x14ac:dyDescent="0.3">
      <c r="A259" s="123" t="s">
        <v>1001</v>
      </c>
      <c r="B259" s="125" t="s">
        <v>745</v>
      </c>
      <c r="C259" s="129">
        <v>400</v>
      </c>
      <c r="D259" s="122" t="s">
        <v>134</v>
      </c>
      <c r="E259" s="130" t="s">
        <v>1017</v>
      </c>
      <c r="F259" s="127" t="s">
        <v>1004</v>
      </c>
      <c r="G259" s="123" t="s">
        <v>896</v>
      </c>
      <c r="I259" s="120" t="s">
        <v>529</v>
      </c>
      <c r="J259" s="120"/>
      <c r="K259" s="120"/>
      <c r="L259" s="135"/>
      <c r="N259" s="13" t="s">
        <v>576</v>
      </c>
      <c r="O259" s="14" t="s">
        <v>568</v>
      </c>
      <c r="P259" s="14" t="s">
        <v>397</v>
      </c>
      <c r="Q259" s="13">
        <v>1</v>
      </c>
      <c r="R259" s="13" t="s">
        <v>194</v>
      </c>
      <c r="S259" s="14">
        <v>14795.56</v>
      </c>
      <c r="T259" s="14">
        <v>0</v>
      </c>
      <c r="U259" s="14">
        <v>0</v>
      </c>
      <c r="V259" s="14"/>
    </row>
    <row r="260" spans="1:22" ht="18" customHeight="1" x14ac:dyDescent="0.3">
      <c r="A260" s="123" t="s">
        <v>1002</v>
      </c>
      <c r="B260" s="125" t="s">
        <v>745</v>
      </c>
      <c r="C260" s="129">
        <v>450</v>
      </c>
      <c r="D260" s="122" t="s">
        <v>134</v>
      </c>
      <c r="E260" s="130" t="s">
        <v>1018</v>
      </c>
      <c r="F260" s="127" t="s">
        <v>1004</v>
      </c>
      <c r="G260" s="123" t="s">
        <v>896</v>
      </c>
      <c r="I260" s="120" t="s">
        <v>530</v>
      </c>
      <c r="J260" s="120"/>
      <c r="K260" s="120"/>
      <c r="L260" s="135"/>
      <c r="N260" s="13" t="s">
        <v>577</v>
      </c>
      <c r="O260" s="14" t="s">
        <v>568</v>
      </c>
      <c r="P260" s="14" t="s">
        <v>399</v>
      </c>
      <c r="Q260" s="13">
        <v>1</v>
      </c>
      <c r="R260" s="13" t="s">
        <v>194</v>
      </c>
      <c r="S260" s="14">
        <v>17232.639999999996</v>
      </c>
      <c r="T260" s="14">
        <v>0</v>
      </c>
      <c r="U260" s="14">
        <v>0</v>
      </c>
      <c r="V260" s="14"/>
    </row>
    <row r="261" spans="1:22" ht="18" customHeight="1" x14ac:dyDescent="0.3">
      <c r="A261" s="123" t="s">
        <v>1003</v>
      </c>
      <c r="B261" s="125" t="s">
        <v>745</v>
      </c>
      <c r="C261" s="129">
        <v>500</v>
      </c>
      <c r="D261" s="122" t="s">
        <v>134</v>
      </c>
      <c r="E261" s="130" t="s">
        <v>1019</v>
      </c>
      <c r="F261" s="127" t="s">
        <v>1004</v>
      </c>
      <c r="G261" s="123" t="s">
        <v>896</v>
      </c>
      <c r="I261" s="120" t="s">
        <v>531</v>
      </c>
      <c r="J261" s="120"/>
      <c r="K261" s="120"/>
      <c r="L261" s="135"/>
      <c r="N261" s="13" t="s">
        <v>578</v>
      </c>
      <c r="O261" s="14" t="s">
        <v>568</v>
      </c>
      <c r="P261" s="14" t="s">
        <v>401</v>
      </c>
      <c r="Q261" s="13">
        <v>1</v>
      </c>
      <c r="R261" s="13" t="s">
        <v>194</v>
      </c>
      <c r="S261" s="14">
        <v>22673.519999999997</v>
      </c>
      <c r="T261" s="14">
        <v>0</v>
      </c>
      <c r="U261" s="14">
        <v>0</v>
      </c>
      <c r="V261" s="14"/>
    </row>
    <row r="262" spans="1:22" ht="18" customHeight="1" x14ac:dyDescent="0.3">
      <c r="A262" s="123" t="s">
        <v>1025</v>
      </c>
      <c r="B262" s="125" t="s">
        <v>731</v>
      </c>
      <c r="C262" s="129">
        <v>15</v>
      </c>
      <c r="D262" s="122" t="s">
        <v>1097</v>
      </c>
      <c r="E262" s="130" t="s">
        <v>1098</v>
      </c>
      <c r="F262" s="127" t="s">
        <v>1116</v>
      </c>
      <c r="G262" s="123" t="s">
        <v>896</v>
      </c>
      <c r="I262" s="120" t="s">
        <v>1020</v>
      </c>
      <c r="J262" s="120"/>
      <c r="K262" s="120"/>
      <c r="L262" s="135"/>
      <c r="N262" s="13" t="s">
        <v>579</v>
      </c>
      <c r="O262" s="14" t="s">
        <v>568</v>
      </c>
      <c r="P262" s="14" t="s">
        <v>403</v>
      </c>
      <c r="Q262" s="13">
        <v>1</v>
      </c>
      <c r="R262" s="13" t="s">
        <v>194</v>
      </c>
      <c r="S262" s="14">
        <v>24363.519999999997</v>
      </c>
      <c r="T262" s="14">
        <v>0</v>
      </c>
      <c r="U262" s="14">
        <v>0</v>
      </c>
      <c r="V262" s="14"/>
    </row>
    <row r="263" spans="1:22" ht="18" customHeight="1" x14ac:dyDescent="0.3">
      <c r="A263" s="123" t="s">
        <v>1026</v>
      </c>
      <c r="B263" s="125" t="s">
        <v>731</v>
      </c>
      <c r="C263" s="129">
        <v>20</v>
      </c>
      <c r="D263" s="122" t="s">
        <v>1097</v>
      </c>
      <c r="E263" s="130" t="s">
        <v>1099</v>
      </c>
      <c r="F263" s="127" t="s">
        <v>1116</v>
      </c>
      <c r="G263" s="123" t="s">
        <v>896</v>
      </c>
      <c r="I263" s="120" t="s">
        <v>1020</v>
      </c>
      <c r="J263" s="120"/>
      <c r="K263" s="120"/>
      <c r="L263" s="135"/>
      <c r="N263" s="13" t="s">
        <v>580</v>
      </c>
      <c r="O263" s="14" t="s">
        <v>568</v>
      </c>
      <c r="P263" s="14" t="s">
        <v>405</v>
      </c>
      <c r="Q263" s="13">
        <v>1</v>
      </c>
      <c r="R263" s="13" t="s">
        <v>194</v>
      </c>
      <c r="S263" s="14">
        <v>29204.400000000001</v>
      </c>
      <c r="T263" s="14">
        <v>0</v>
      </c>
      <c r="U263" s="14">
        <v>0</v>
      </c>
      <c r="V263" s="14"/>
    </row>
    <row r="264" spans="1:22" ht="18" customHeight="1" x14ac:dyDescent="0.3">
      <c r="A264" s="123" t="s">
        <v>1027</v>
      </c>
      <c r="B264" s="125" t="s">
        <v>731</v>
      </c>
      <c r="C264" s="129">
        <v>25</v>
      </c>
      <c r="D264" s="122" t="s">
        <v>1097</v>
      </c>
      <c r="E264" s="130" t="s">
        <v>1100</v>
      </c>
      <c r="F264" s="127" t="s">
        <v>1116</v>
      </c>
      <c r="G264" s="123" t="s">
        <v>896</v>
      </c>
      <c r="I264" s="120" t="s">
        <v>1020</v>
      </c>
      <c r="J264" s="120"/>
      <c r="K264" s="120"/>
      <c r="L264" s="135"/>
      <c r="N264" s="13" t="s">
        <v>581</v>
      </c>
      <c r="O264" s="14" t="s">
        <v>568</v>
      </c>
      <c r="P264" s="14" t="s">
        <v>409</v>
      </c>
      <c r="Q264" s="13">
        <v>1</v>
      </c>
      <c r="R264" s="13" t="s">
        <v>194</v>
      </c>
      <c r="S264" s="14">
        <v>37811.800000000003</v>
      </c>
      <c r="T264" s="14">
        <v>0</v>
      </c>
      <c r="U264" s="14">
        <v>0</v>
      </c>
      <c r="V264" s="14"/>
    </row>
    <row r="265" spans="1:22" ht="18" customHeight="1" x14ac:dyDescent="0.3">
      <c r="A265" s="123" t="s">
        <v>1028</v>
      </c>
      <c r="B265" s="125" t="s">
        <v>731</v>
      </c>
      <c r="C265" s="129">
        <v>32</v>
      </c>
      <c r="D265" s="122" t="s">
        <v>1097</v>
      </c>
      <c r="E265" s="130" t="s">
        <v>1101</v>
      </c>
      <c r="F265" s="127" t="s">
        <v>1116</v>
      </c>
      <c r="G265" s="123" t="s">
        <v>896</v>
      </c>
      <c r="I265" s="120" t="s">
        <v>1021</v>
      </c>
      <c r="J265" s="120"/>
      <c r="K265" s="120"/>
      <c r="L265" s="135"/>
      <c r="N265" s="13" t="s">
        <v>582</v>
      </c>
      <c r="O265" s="14" t="s">
        <v>568</v>
      </c>
      <c r="P265" s="14" t="s">
        <v>413</v>
      </c>
      <c r="Q265" s="13">
        <v>1</v>
      </c>
      <c r="R265" s="13" t="s">
        <v>194</v>
      </c>
      <c r="S265" s="14">
        <v>44374.16</v>
      </c>
      <c r="T265" s="14">
        <v>0</v>
      </c>
      <c r="U265" s="14">
        <v>0</v>
      </c>
      <c r="V265" s="14"/>
    </row>
    <row r="266" spans="1:22" ht="18" customHeight="1" x14ac:dyDescent="0.3">
      <c r="A266" s="123" t="s">
        <v>1029</v>
      </c>
      <c r="B266" s="125" t="s">
        <v>731</v>
      </c>
      <c r="C266" s="129">
        <v>40</v>
      </c>
      <c r="D266" s="122" t="s">
        <v>1097</v>
      </c>
      <c r="E266" s="130" t="s">
        <v>1102</v>
      </c>
      <c r="F266" s="127" t="s">
        <v>1116</v>
      </c>
      <c r="G266" s="123" t="s">
        <v>896</v>
      </c>
      <c r="I266" s="120" t="s">
        <v>1021</v>
      </c>
      <c r="J266" s="120"/>
      <c r="K266" s="120"/>
      <c r="L266" s="135"/>
      <c r="N266" s="13" t="s">
        <v>583</v>
      </c>
      <c r="O266" s="14" t="s">
        <v>568</v>
      </c>
      <c r="P266" s="14" t="s">
        <v>417</v>
      </c>
      <c r="Q266" s="13">
        <v>1</v>
      </c>
      <c r="R266" s="13" t="s">
        <v>194</v>
      </c>
      <c r="S266" s="14">
        <v>55400</v>
      </c>
      <c r="T266" s="14">
        <v>0</v>
      </c>
      <c r="U266" s="14">
        <v>0</v>
      </c>
      <c r="V266" s="14"/>
    </row>
    <row r="267" spans="1:22" ht="18" customHeight="1" x14ac:dyDescent="0.3">
      <c r="A267" s="123" t="s">
        <v>1030</v>
      </c>
      <c r="B267" s="125" t="s">
        <v>731</v>
      </c>
      <c r="C267" s="129">
        <v>50</v>
      </c>
      <c r="D267" s="122" t="s">
        <v>1097</v>
      </c>
      <c r="E267" s="130" t="s">
        <v>1103</v>
      </c>
      <c r="F267" s="127" t="s">
        <v>1116</v>
      </c>
      <c r="G267" s="123" t="s">
        <v>896</v>
      </c>
      <c r="I267" s="120" t="s">
        <v>1021</v>
      </c>
      <c r="J267" s="120"/>
      <c r="K267" s="120"/>
      <c r="L267" s="135"/>
      <c r="N267" s="13" t="s">
        <v>584</v>
      </c>
      <c r="O267" s="14" t="s">
        <v>568</v>
      </c>
      <c r="P267" s="14" t="s">
        <v>421</v>
      </c>
      <c r="Q267" s="13">
        <v>1</v>
      </c>
      <c r="R267" s="13" t="s">
        <v>194</v>
      </c>
      <c r="S267" s="14">
        <v>55400</v>
      </c>
      <c r="T267" s="14">
        <v>0</v>
      </c>
      <c r="U267" s="14">
        <v>0</v>
      </c>
      <c r="V267" s="14"/>
    </row>
    <row r="268" spans="1:22" ht="18" customHeight="1" x14ac:dyDescent="0.3">
      <c r="A268" s="123" t="s">
        <v>1031</v>
      </c>
      <c r="B268" s="125" t="s">
        <v>731</v>
      </c>
      <c r="C268" s="129">
        <v>65</v>
      </c>
      <c r="D268" s="122" t="s">
        <v>1097</v>
      </c>
      <c r="E268" s="130" t="s">
        <v>1104</v>
      </c>
      <c r="F268" s="127" t="s">
        <v>1116</v>
      </c>
      <c r="G268" s="123" t="s">
        <v>896</v>
      </c>
      <c r="I268" s="120" t="s">
        <v>1021</v>
      </c>
      <c r="J268" s="120"/>
      <c r="K268" s="120"/>
      <c r="L268" s="135"/>
      <c r="N268" s="13" t="s">
        <v>585</v>
      </c>
      <c r="O268" s="14" t="s">
        <v>568</v>
      </c>
      <c r="P268" s="14" t="s">
        <v>423</v>
      </c>
      <c r="Q268" s="13">
        <v>1</v>
      </c>
      <c r="R268" s="13" t="s">
        <v>194</v>
      </c>
      <c r="S268" s="14">
        <v>63800</v>
      </c>
      <c r="T268" s="14">
        <v>0</v>
      </c>
      <c r="U268" s="14">
        <v>0</v>
      </c>
      <c r="V268" s="14"/>
    </row>
    <row r="269" spans="1:22" ht="18" customHeight="1" x14ac:dyDescent="0.3">
      <c r="A269" s="123" t="s">
        <v>1032</v>
      </c>
      <c r="B269" s="125" t="s">
        <v>731</v>
      </c>
      <c r="C269" s="129">
        <v>80</v>
      </c>
      <c r="D269" s="122" t="s">
        <v>1097</v>
      </c>
      <c r="E269" s="130" t="s">
        <v>1105</v>
      </c>
      <c r="F269" s="127" t="s">
        <v>1116</v>
      </c>
      <c r="G269" s="123" t="s">
        <v>896</v>
      </c>
      <c r="I269" s="120" t="s">
        <v>1022</v>
      </c>
      <c r="J269" s="120"/>
      <c r="K269" s="120"/>
      <c r="L269" s="135"/>
      <c r="N269" s="13" t="s">
        <v>586</v>
      </c>
      <c r="O269" s="14" t="s">
        <v>568</v>
      </c>
      <c r="P269" s="14" t="s">
        <v>427</v>
      </c>
      <c r="Q269" s="13">
        <v>1</v>
      </c>
      <c r="R269" s="13" t="s">
        <v>194</v>
      </c>
      <c r="S269" s="14">
        <v>72200</v>
      </c>
      <c r="T269" s="14">
        <v>0</v>
      </c>
      <c r="U269" s="14">
        <v>0</v>
      </c>
      <c r="V269" s="14"/>
    </row>
    <row r="270" spans="1:22" ht="18" customHeight="1" x14ac:dyDescent="0.3">
      <c r="A270" s="123" t="s">
        <v>1033</v>
      </c>
      <c r="B270" s="125" t="s">
        <v>731</v>
      </c>
      <c r="C270" s="129">
        <v>100</v>
      </c>
      <c r="D270" s="122" t="s">
        <v>1097</v>
      </c>
      <c r="E270" s="130" t="s">
        <v>1106</v>
      </c>
      <c r="F270" s="127" t="s">
        <v>1116</v>
      </c>
      <c r="G270" s="123" t="s">
        <v>896</v>
      </c>
      <c r="I270" s="120" t="s">
        <v>1023</v>
      </c>
      <c r="J270" s="120"/>
      <c r="K270" s="120"/>
      <c r="L270" s="135"/>
      <c r="N270" s="13" t="s">
        <v>587</v>
      </c>
      <c r="O270" s="14" t="s">
        <v>568</v>
      </c>
      <c r="P270" s="14" t="s">
        <v>429</v>
      </c>
      <c r="Q270" s="13">
        <v>1</v>
      </c>
      <c r="R270" s="13" t="s">
        <v>194</v>
      </c>
      <c r="S270" s="14">
        <v>72200</v>
      </c>
      <c r="T270" s="14">
        <v>0</v>
      </c>
      <c r="U270" s="14">
        <v>0</v>
      </c>
      <c r="V270" s="14"/>
    </row>
    <row r="271" spans="1:22" ht="18" customHeight="1" x14ac:dyDescent="0.3">
      <c r="A271" s="123" t="s">
        <v>1034</v>
      </c>
      <c r="B271" s="125" t="s">
        <v>731</v>
      </c>
      <c r="C271" s="129">
        <v>125</v>
      </c>
      <c r="D271" s="122" t="s">
        <v>1097</v>
      </c>
      <c r="E271" s="130" t="s">
        <v>1107</v>
      </c>
      <c r="F271" s="127" t="s">
        <v>1116</v>
      </c>
      <c r="G271" s="123" t="s">
        <v>896</v>
      </c>
      <c r="I271" s="120" t="s">
        <v>1024</v>
      </c>
      <c r="J271" s="120"/>
      <c r="K271" s="120"/>
      <c r="L271" s="135"/>
      <c r="N271" s="13" t="s">
        <v>588</v>
      </c>
      <c r="O271" s="14" t="s">
        <v>568</v>
      </c>
      <c r="P271" s="14" t="s">
        <v>431</v>
      </c>
      <c r="Q271" s="13">
        <v>1</v>
      </c>
      <c r="R271" s="13" t="s">
        <v>194</v>
      </c>
      <c r="S271" s="14">
        <v>80600</v>
      </c>
      <c r="T271" s="14">
        <v>0</v>
      </c>
      <c r="U271" s="14">
        <v>0</v>
      </c>
      <c r="V271" s="14"/>
    </row>
    <row r="272" spans="1:22" ht="18" customHeight="1" x14ac:dyDescent="0.3">
      <c r="A272" s="123" t="s">
        <v>1035</v>
      </c>
      <c r="B272" s="125" t="s">
        <v>731</v>
      </c>
      <c r="C272" s="129">
        <v>150</v>
      </c>
      <c r="D272" s="122" t="s">
        <v>1097</v>
      </c>
      <c r="E272" s="130" t="s">
        <v>1108</v>
      </c>
      <c r="F272" s="127" t="s">
        <v>1116</v>
      </c>
      <c r="G272" s="123" t="s">
        <v>896</v>
      </c>
      <c r="I272" s="120" t="s">
        <v>205</v>
      </c>
      <c r="J272" s="120"/>
      <c r="K272" s="120"/>
      <c r="L272" s="135"/>
      <c r="N272" s="13" t="s">
        <v>589</v>
      </c>
      <c r="O272" s="14" t="s">
        <v>568</v>
      </c>
      <c r="P272" s="14" t="s">
        <v>501</v>
      </c>
      <c r="Q272" s="13">
        <v>1</v>
      </c>
      <c r="R272" s="13" t="s">
        <v>194</v>
      </c>
      <c r="S272" s="14">
        <v>89000</v>
      </c>
      <c r="T272" s="14">
        <v>0</v>
      </c>
      <c r="U272" s="14">
        <v>0</v>
      </c>
      <c r="V272" s="14"/>
    </row>
    <row r="273" spans="1:22" ht="18" customHeight="1" x14ac:dyDescent="0.3">
      <c r="A273" s="123" t="s">
        <v>1036</v>
      </c>
      <c r="B273" s="125" t="s">
        <v>731</v>
      </c>
      <c r="C273" s="129">
        <v>200</v>
      </c>
      <c r="D273" s="122" t="s">
        <v>1097</v>
      </c>
      <c r="E273" s="130" t="s">
        <v>1109</v>
      </c>
      <c r="F273" s="127" t="s">
        <v>1116</v>
      </c>
      <c r="G273" s="123" t="s">
        <v>896</v>
      </c>
      <c r="I273" s="120" t="s">
        <v>525</v>
      </c>
      <c r="J273" s="120"/>
      <c r="K273" s="120"/>
      <c r="L273" s="135"/>
      <c r="N273" s="13" t="s">
        <v>590</v>
      </c>
      <c r="O273" s="14" t="s">
        <v>568</v>
      </c>
      <c r="P273" s="14" t="s">
        <v>542</v>
      </c>
      <c r="Q273" s="13">
        <v>1</v>
      </c>
      <c r="R273" s="13" t="s">
        <v>194</v>
      </c>
      <c r="S273" s="14">
        <v>97400</v>
      </c>
      <c r="T273" s="14">
        <v>0</v>
      </c>
      <c r="U273" s="14">
        <v>0</v>
      </c>
      <c r="V273" s="14"/>
    </row>
    <row r="274" spans="1:22" ht="18" customHeight="1" x14ac:dyDescent="0.3">
      <c r="A274" s="123" t="s">
        <v>1037</v>
      </c>
      <c r="B274" s="125" t="s">
        <v>731</v>
      </c>
      <c r="C274" s="129">
        <v>250</v>
      </c>
      <c r="D274" s="122" t="s">
        <v>1097</v>
      </c>
      <c r="E274" s="130" t="s">
        <v>1110</v>
      </c>
      <c r="F274" s="127" t="s">
        <v>1116</v>
      </c>
      <c r="G274" s="123" t="s">
        <v>896</v>
      </c>
      <c r="I274" s="120" t="s">
        <v>526</v>
      </c>
      <c r="J274" s="120"/>
      <c r="K274" s="120"/>
      <c r="L274" s="135"/>
      <c r="N274" s="13" t="s">
        <v>591</v>
      </c>
      <c r="O274" s="14" t="s">
        <v>568</v>
      </c>
      <c r="P274" s="14" t="s">
        <v>544</v>
      </c>
      <c r="Q274" s="13">
        <v>1</v>
      </c>
      <c r="R274" s="13" t="s">
        <v>194</v>
      </c>
      <c r="S274" s="14">
        <v>105800</v>
      </c>
      <c r="T274" s="14">
        <v>0</v>
      </c>
      <c r="U274" s="14">
        <v>0</v>
      </c>
      <c r="V274" s="14"/>
    </row>
    <row r="275" spans="1:22" ht="18" customHeight="1" x14ac:dyDescent="0.3">
      <c r="A275" s="123" t="s">
        <v>1038</v>
      </c>
      <c r="B275" s="125" t="s">
        <v>731</v>
      </c>
      <c r="C275" s="129">
        <v>300</v>
      </c>
      <c r="D275" s="122" t="s">
        <v>1097</v>
      </c>
      <c r="E275" s="130" t="s">
        <v>1111</v>
      </c>
      <c r="F275" s="127" t="s">
        <v>1116</v>
      </c>
      <c r="G275" s="123" t="s">
        <v>896</v>
      </c>
      <c r="I275" s="120" t="s">
        <v>527</v>
      </c>
      <c r="J275" s="120"/>
      <c r="K275" s="120"/>
      <c r="L275" s="135"/>
      <c r="N275" s="13" t="s">
        <v>592</v>
      </c>
      <c r="O275" s="14" t="s">
        <v>568</v>
      </c>
      <c r="P275" s="14" t="s">
        <v>546</v>
      </c>
      <c r="Q275" s="13">
        <v>1</v>
      </c>
      <c r="R275" s="13" t="s">
        <v>194</v>
      </c>
      <c r="S275" s="14">
        <v>114200</v>
      </c>
      <c r="T275" s="14">
        <v>0</v>
      </c>
      <c r="U275" s="14">
        <v>0</v>
      </c>
      <c r="V275" s="14"/>
    </row>
    <row r="276" spans="1:22" ht="18" customHeight="1" x14ac:dyDescent="0.3">
      <c r="A276" s="123" t="s">
        <v>1039</v>
      </c>
      <c r="B276" s="125" t="s">
        <v>731</v>
      </c>
      <c r="C276" s="129">
        <v>350</v>
      </c>
      <c r="D276" s="122" t="s">
        <v>1097</v>
      </c>
      <c r="E276" s="130" t="s">
        <v>1112</v>
      </c>
      <c r="F276" s="127" t="s">
        <v>1116</v>
      </c>
      <c r="G276" s="123" t="s">
        <v>896</v>
      </c>
      <c r="I276" s="120" t="s">
        <v>528</v>
      </c>
      <c r="J276" s="120"/>
      <c r="K276" s="120"/>
      <c r="L276" s="135"/>
      <c r="N276" s="13" t="s">
        <v>593</v>
      </c>
      <c r="O276" s="14" t="s">
        <v>568</v>
      </c>
      <c r="P276" s="14" t="s">
        <v>548</v>
      </c>
      <c r="Q276" s="13">
        <v>1</v>
      </c>
      <c r="R276" s="13" t="s">
        <v>194</v>
      </c>
      <c r="S276" s="14">
        <v>122600</v>
      </c>
      <c r="T276" s="14">
        <v>0</v>
      </c>
      <c r="U276" s="14">
        <v>0</v>
      </c>
      <c r="V276" s="14"/>
    </row>
    <row r="277" spans="1:22" ht="18" customHeight="1" x14ac:dyDescent="0.3">
      <c r="A277" s="123" t="s">
        <v>1040</v>
      </c>
      <c r="B277" s="125" t="s">
        <v>731</v>
      </c>
      <c r="C277" s="129">
        <v>400</v>
      </c>
      <c r="D277" s="122" t="s">
        <v>1097</v>
      </c>
      <c r="E277" s="130" t="s">
        <v>1113</v>
      </c>
      <c r="F277" s="127" t="s">
        <v>1116</v>
      </c>
      <c r="G277" s="123" t="s">
        <v>896</v>
      </c>
      <c r="I277" s="120" t="s">
        <v>529</v>
      </c>
      <c r="J277" s="120"/>
      <c r="K277" s="120"/>
      <c r="L277" s="135"/>
      <c r="N277" s="13" t="s">
        <v>594</v>
      </c>
      <c r="O277" s="14" t="s">
        <v>595</v>
      </c>
      <c r="P277" s="14" t="s">
        <v>378</v>
      </c>
      <c r="Q277" s="13">
        <v>1</v>
      </c>
      <c r="R277" s="13" t="s">
        <v>194</v>
      </c>
      <c r="S277" s="14">
        <v>829.68</v>
      </c>
      <c r="T277" s="14">
        <v>0</v>
      </c>
      <c r="U277" s="14">
        <v>0</v>
      </c>
      <c r="V277" s="14"/>
    </row>
    <row r="278" spans="1:22" ht="18" customHeight="1" x14ac:dyDescent="0.3">
      <c r="A278" s="123" t="s">
        <v>1041</v>
      </c>
      <c r="B278" s="125" t="s">
        <v>731</v>
      </c>
      <c r="C278" s="129">
        <v>450</v>
      </c>
      <c r="D278" s="122" t="s">
        <v>1097</v>
      </c>
      <c r="E278" s="130" t="s">
        <v>1114</v>
      </c>
      <c r="F278" s="127" t="s">
        <v>1116</v>
      </c>
      <c r="G278" s="123" t="s">
        <v>896</v>
      </c>
      <c r="I278" s="120" t="s">
        <v>530</v>
      </c>
      <c r="J278" s="120"/>
      <c r="K278" s="120"/>
      <c r="L278" s="135"/>
      <c r="N278" s="13" t="s">
        <v>596</v>
      </c>
      <c r="O278" s="14" t="s">
        <v>595</v>
      </c>
      <c r="P278" s="14" t="s">
        <v>383</v>
      </c>
      <c r="Q278" s="13">
        <v>1</v>
      </c>
      <c r="R278" s="13" t="s">
        <v>194</v>
      </c>
      <c r="S278" s="14">
        <v>1489.48</v>
      </c>
      <c r="T278" s="14">
        <v>0</v>
      </c>
      <c r="U278" s="14">
        <v>0</v>
      </c>
      <c r="V278" s="14"/>
    </row>
    <row r="279" spans="1:22" ht="18" customHeight="1" x14ac:dyDescent="0.3">
      <c r="A279" s="123" t="s">
        <v>1042</v>
      </c>
      <c r="B279" s="125" t="s">
        <v>731</v>
      </c>
      <c r="C279" s="129">
        <v>500</v>
      </c>
      <c r="D279" s="122" t="s">
        <v>1097</v>
      </c>
      <c r="E279" s="130" t="s">
        <v>1115</v>
      </c>
      <c r="F279" s="127" t="s">
        <v>1116</v>
      </c>
      <c r="G279" s="123" t="s">
        <v>896</v>
      </c>
      <c r="I279" s="120" t="s">
        <v>531</v>
      </c>
      <c r="J279" s="120"/>
      <c r="K279" s="120"/>
      <c r="L279" s="135"/>
      <c r="N279" s="13" t="s">
        <v>597</v>
      </c>
      <c r="O279" s="14" t="s">
        <v>595</v>
      </c>
      <c r="P279" s="14" t="s">
        <v>384</v>
      </c>
      <c r="Q279" s="13">
        <v>1</v>
      </c>
      <c r="R279" s="13" t="s">
        <v>194</v>
      </c>
      <c r="S279" s="14">
        <v>2652.92</v>
      </c>
      <c r="T279" s="14">
        <v>0</v>
      </c>
      <c r="U279" s="14">
        <v>0</v>
      </c>
      <c r="V279" s="14"/>
    </row>
    <row r="280" spans="1:22" ht="18" customHeight="1" x14ac:dyDescent="0.3">
      <c r="A280" s="123" t="s">
        <v>1043</v>
      </c>
      <c r="B280" s="125" t="s">
        <v>735</v>
      </c>
      <c r="C280" s="129">
        <v>15</v>
      </c>
      <c r="D280" s="122" t="s">
        <v>1097</v>
      </c>
      <c r="E280" s="130" t="s">
        <v>1098</v>
      </c>
      <c r="F280" s="127" t="s">
        <v>1116</v>
      </c>
      <c r="G280" s="123" t="s">
        <v>896</v>
      </c>
      <c r="I280" s="120" t="s">
        <v>1020</v>
      </c>
      <c r="J280" s="120"/>
      <c r="K280" s="120"/>
      <c r="L280" s="135"/>
      <c r="N280" s="13" t="s">
        <v>598</v>
      </c>
      <c r="O280" s="14" t="s">
        <v>595</v>
      </c>
      <c r="P280" s="14" t="s">
        <v>387</v>
      </c>
      <c r="Q280" s="13">
        <v>1</v>
      </c>
      <c r="R280" s="13" t="s">
        <v>194</v>
      </c>
      <c r="S280" s="14">
        <v>4797.84</v>
      </c>
      <c r="T280" s="14">
        <v>0</v>
      </c>
      <c r="U280" s="14">
        <v>0</v>
      </c>
      <c r="V280" s="14"/>
    </row>
    <row r="281" spans="1:22" ht="18" customHeight="1" x14ac:dyDescent="0.3">
      <c r="A281" s="123" t="s">
        <v>1044</v>
      </c>
      <c r="B281" s="125" t="s">
        <v>735</v>
      </c>
      <c r="C281" s="129">
        <v>20</v>
      </c>
      <c r="D281" s="122" t="s">
        <v>1097</v>
      </c>
      <c r="E281" s="130" t="s">
        <v>1099</v>
      </c>
      <c r="F281" s="127" t="s">
        <v>1116</v>
      </c>
      <c r="G281" s="123" t="s">
        <v>896</v>
      </c>
      <c r="I281" s="120" t="s">
        <v>1020</v>
      </c>
      <c r="J281" s="120"/>
      <c r="K281" s="120"/>
      <c r="L281" s="135"/>
      <c r="N281" s="13" t="s">
        <v>599</v>
      </c>
      <c r="O281" s="14" t="s">
        <v>595</v>
      </c>
      <c r="P281" s="14" t="s">
        <v>388</v>
      </c>
      <c r="Q281" s="13">
        <v>1</v>
      </c>
      <c r="R281" s="13" t="s">
        <v>194</v>
      </c>
      <c r="S281" s="14">
        <v>4937.84</v>
      </c>
      <c r="T281" s="14">
        <v>0</v>
      </c>
      <c r="U281" s="14">
        <v>0</v>
      </c>
      <c r="V281" s="14"/>
    </row>
    <row r="282" spans="1:22" ht="18" customHeight="1" x14ac:dyDescent="0.3">
      <c r="A282" s="123" t="s">
        <v>1045</v>
      </c>
      <c r="B282" s="125" t="s">
        <v>735</v>
      </c>
      <c r="C282" s="129">
        <v>25</v>
      </c>
      <c r="D282" s="122" t="s">
        <v>1097</v>
      </c>
      <c r="E282" s="130" t="s">
        <v>1100</v>
      </c>
      <c r="F282" s="127" t="s">
        <v>1116</v>
      </c>
      <c r="G282" s="123" t="s">
        <v>896</v>
      </c>
      <c r="I282" s="120" t="s">
        <v>1020</v>
      </c>
      <c r="J282" s="120"/>
      <c r="K282" s="120"/>
      <c r="L282" s="135"/>
      <c r="N282" s="13" t="s">
        <v>600</v>
      </c>
      <c r="O282" s="14" t="s">
        <v>595</v>
      </c>
      <c r="P282" s="14" t="s">
        <v>389</v>
      </c>
      <c r="Q282" s="13">
        <v>1</v>
      </c>
      <c r="R282" s="13" t="s">
        <v>194</v>
      </c>
      <c r="S282" s="14">
        <v>4987.84</v>
      </c>
      <c r="T282" s="14">
        <v>0</v>
      </c>
      <c r="U282" s="14">
        <v>0</v>
      </c>
      <c r="V282" s="14"/>
    </row>
    <row r="283" spans="1:22" ht="18" customHeight="1" x14ac:dyDescent="0.3">
      <c r="A283" s="123" t="s">
        <v>1046</v>
      </c>
      <c r="B283" s="125" t="s">
        <v>735</v>
      </c>
      <c r="C283" s="129">
        <v>32</v>
      </c>
      <c r="D283" s="122" t="s">
        <v>1097</v>
      </c>
      <c r="E283" s="130" t="s">
        <v>1101</v>
      </c>
      <c r="F283" s="127" t="s">
        <v>1116</v>
      </c>
      <c r="G283" s="123" t="s">
        <v>896</v>
      </c>
      <c r="I283" s="120" t="s">
        <v>1021</v>
      </c>
      <c r="J283" s="120"/>
      <c r="K283" s="120"/>
      <c r="L283" s="135"/>
      <c r="N283" s="13" t="s">
        <v>601</v>
      </c>
      <c r="O283" s="14" t="s">
        <v>595</v>
      </c>
      <c r="P283" s="14" t="s">
        <v>392</v>
      </c>
      <c r="Q283" s="13">
        <v>1</v>
      </c>
      <c r="R283" s="13" t="s">
        <v>194</v>
      </c>
      <c r="S283" s="14">
        <v>9221.0400000000009</v>
      </c>
      <c r="T283" s="14">
        <v>0</v>
      </c>
      <c r="U283" s="14">
        <v>0</v>
      </c>
      <c r="V283" s="14"/>
    </row>
    <row r="284" spans="1:22" ht="18" customHeight="1" x14ac:dyDescent="0.3">
      <c r="A284" s="123" t="s">
        <v>1047</v>
      </c>
      <c r="B284" s="125" t="s">
        <v>735</v>
      </c>
      <c r="C284" s="129">
        <v>40</v>
      </c>
      <c r="D284" s="122" t="s">
        <v>1097</v>
      </c>
      <c r="E284" s="130" t="s">
        <v>1102</v>
      </c>
      <c r="F284" s="127" t="s">
        <v>1116</v>
      </c>
      <c r="G284" s="123" t="s">
        <v>896</v>
      </c>
      <c r="I284" s="120" t="s">
        <v>1021</v>
      </c>
      <c r="J284" s="120"/>
      <c r="K284" s="120"/>
      <c r="L284" s="135"/>
      <c r="N284" s="13" t="s">
        <v>602</v>
      </c>
      <c r="O284" s="14" t="s">
        <v>595</v>
      </c>
      <c r="P284" s="14" t="s">
        <v>396</v>
      </c>
      <c r="Q284" s="13">
        <v>1</v>
      </c>
      <c r="R284" s="13" t="s">
        <v>194</v>
      </c>
      <c r="S284" s="14">
        <v>14545.56</v>
      </c>
      <c r="T284" s="14">
        <v>0</v>
      </c>
      <c r="U284" s="14">
        <v>0</v>
      </c>
      <c r="V284" s="14"/>
    </row>
    <row r="285" spans="1:22" ht="18" customHeight="1" x14ac:dyDescent="0.3">
      <c r="A285" s="123" t="s">
        <v>1048</v>
      </c>
      <c r="B285" s="125" t="s">
        <v>735</v>
      </c>
      <c r="C285" s="129">
        <v>50</v>
      </c>
      <c r="D285" s="122" t="s">
        <v>1097</v>
      </c>
      <c r="E285" s="130" t="s">
        <v>1103</v>
      </c>
      <c r="F285" s="127" t="s">
        <v>1116</v>
      </c>
      <c r="G285" s="123" t="s">
        <v>896</v>
      </c>
      <c r="I285" s="120" t="s">
        <v>1021</v>
      </c>
      <c r="J285" s="120"/>
      <c r="K285" s="120"/>
      <c r="L285" s="135"/>
      <c r="N285" s="13" t="s">
        <v>603</v>
      </c>
      <c r="O285" s="14" t="s">
        <v>595</v>
      </c>
      <c r="P285" s="14" t="s">
        <v>397</v>
      </c>
      <c r="Q285" s="13">
        <v>1</v>
      </c>
      <c r="R285" s="13" t="s">
        <v>194</v>
      </c>
      <c r="S285" s="14">
        <v>14795.56</v>
      </c>
      <c r="T285" s="14">
        <v>0</v>
      </c>
      <c r="U285" s="14">
        <v>0</v>
      </c>
      <c r="V285" s="14"/>
    </row>
    <row r="286" spans="1:22" ht="18" customHeight="1" x14ac:dyDescent="0.3">
      <c r="A286" s="123" t="s">
        <v>1049</v>
      </c>
      <c r="B286" s="125" t="s">
        <v>735</v>
      </c>
      <c r="C286" s="129">
        <v>65</v>
      </c>
      <c r="D286" s="122" t="s">
        <v>1097</v>
      </c>
      <c r="E286" s="130" t="s">
        <v>1104</v>
      </c>
      <c r="F286" s="127" t="s">
        <v>1116</v>
      </c>
      <c r="G286" s="123" t="s">
        <v>896</v>
      </c>
      <c r="I286" s="120" t="s">
        <v>1021</v>
      </c>
      <c r="J286" s="120"/>
      <c r="K286" s="120"/>
      <c r="L286" s="135"/>
      <c r="N286" s="13" t="s">
        <v>604</v>
      </c>
      <c r="O286" s="14" t="s">
        <v>595</v>
      </c>
      <c r="P286" s="14" t="s">
        <v>399</v>
      </c>
      <c r="Q286" s="13">
        <v>1</v>
      </c>
      <c r="R286" s="13" t="s">
        <v>194</v>
      </c>
      <c r="S286" s="14">
        <v>17232.639999999996</v>
      </c>
      <c r="T286" s="14">
        <v>0</v>
      </c>
      <c r="U286" s="14">
        <v>0</v>
      </c>
      <c r="V286" s="14"/>
    </row>
    <row r="287" spans="1:22" ht="18" customHeight="1" x14ac:dyDescent="0.3">
      <c r="A287" s="123" t="s">
        <v>1050</v>
      </c>
      <c r="B287" s="125" t="s">
        <v>735</v>
      </c>
      <c r="C287" s="129">
        <v>80</v>
      </c>
      <c r="D287" s="122" t="s">
        <v>1097</v>
      </c>
      <c r="E287" s="130" t="s">
        <v>1105</v>
      </c>
      <c r="F287" s="127" t="s">
        <v>1116</v>
      </c>
      <c r="G287" s="123" t="s">
        <v>896</v>
      </c>
      <c r="I287" s="120" t="s">
        <v>1022</v>
      </c>
      <c r="J287" s="120"/>
      <c r="K287" s="120"/>
      <c r="L287" s="135"/>
      <c r="N287" s="13" t="s">
        <v>605</v>
      </c>
      <c r="O287" s="14" t="s">
        <v>595</v>
      </c>
      <c r="P287" s="14" t="s">
        <v>401</v>
      </c>
      <c r="Q287" s="13">
        <v>1</v>
      </c>
      <c r="R287" s="13" t="s">
        <v>194</v>
      </c>
      <c r="S287" s="14">
        <v>22673.519999999997</v>
      </c>
      <c r="T287" s="14">
        <v>0</v>
      </c>
      <c r="U287" s="14">
        <v>0</v>
      </c>
      <c r="V287" s="14"/>
    </row>
    <row r="288" spans="1:22" ht="18" customHeight="1" x14ac:dyDescent="0.3">
      <c r="A288" s="123" t="s">
        <v>1051</v>
      </c>
      <c r="B288" s="125" t="s">
        <v>735</v>
      </c>
      <c r="C288" s="129">
        <v>100</v>
      </c>
      <c r="D288" s="122" t="s">
        <v>1097</v>
      </c>
      <c r="E288" s="130" t="s">
        <v>1106</v>
      </c>
      <c r="F288" s="127" t="s">
        <v>1116</v>
      </c>
      <c r="G288" s="123" t="s">
        <v>896</v>
      </c>
      <c r="I288" s="120" t="s">
        <v>1023</v>
      </c>
      <c r="J288" s="120"/>
      <c r="K288" s="120"/>
      <c r="L288" s="135"/>
      <c r="N288" s="13" t="s">
        <v>606</v>
      </c>
      <c r="O288" s="14" t="s">
        <v>595</v>
      </c>
      <c r="P288" s="14" t="s">
        <v>403</v>
      </c>
      <c r="Q288" s="13">
        <v>1</v>
      </c>
      <c r="R288" s="13" t="s">
        <v>194</v>
      </c>
      <c r="S288" s="14">
        <v>24363.519999999997</v>
      </c>
      <c r="T288" s="14">
        <v>0</v>
      </c>
      <c r="U288" s="14">
        <v>0</v>
      </c>
      <c r="V288" s="14"/>
    </row>
    <row r="289" spans="1:22" ht="18" customHeight="1" x14ac:dyDescent="0.3">
      <c r="A289" s="123" t="s">
        <v>1052</v>
      </c>
      <c r="B289" s="125" t="s">
        <v>735</v>
      </c>
      <c r="C289" s="129">
        <v>125</v>
      </c>
      <c r="D289" s="122" t="s">
        <v>1097</v>
      </c>
      <c r="E289" s="130" t="s">
        <v>1107</v>
      </c>
      <c r="F289" s="127" t="s">
        <v>1116</v>
      </c>
      <c r="G289" s="123" t="s">
        <v>896</v>
      </c>
      <c r="I289" s="120" t="s">
        <v>1024</v>
      </c>
      <c r="J289" s="120"/>
      <c r="K289" s="120"/>
      <c r="L289" s="135"/>
      <c r="N289" s="13" t="s">
        <v>607</v>
      </c>
      <c r="O289" s="14" t="s">
        <v>595</v>
      </c>
      <c r="P289" s="14" t="s">
        <v>405</v>
      </c>
      <c r="Q289" s="13">
        <v>1</v>
      </c>
      <c r="R289" s="13" t="s">
        <v>194</v>
      </c>
      <c r="S289" s="14">
        <v>29204.400000000001</v>
      </c>
      <c r="T289" s="14">
        <v>0</v>
      </c>
      <c r="U289" s="14">
        <v>0</v>
      </c>
      <c r="V289" s="14"/>
    </row>
    <row r="290" spans="1:22" ht="18" customHeight="1" x14ac:dyDescent="0.3">
      <c r="A290" s="123" t="s">
        <v>1053</v>
      </c>
      <c r="B290" s="125" t="s">
        <v>735</v>
      </c>
      <c r="C290" s="129">
        <v>150</v>
      </c>
      <c r="D290" s="122" t="s">
        <v>1097</v>
      </c>
      <c r="E290" s="130" t="s">
        <v>1108</v>
      </c>
      <c r="F290" s="127" t="s">
        <v>1116</v>
      </c>
      <c r="G290" s="123" t="s">
        <v>896</v>
      </c>
      <c r="I290" s="120" t="s">
        <v>205</v>
      </c>
      <c r="J290" s="120"/>
      <c r="K290" s="120"/>
      <c r="L290" s="135"/>
      <c r="N290" s="13" t="s">
        <v>608</v>
      </c>
      <c r="O290" s="14" t="s">
        <v>595</v>
      </c>
      <c r="P290" s="14" t="s">
        <v>409</v>
      </c>
      <c r="Q290" s="13">
        <v>1</v>
      </c>
      <c r="R290" s="13" t="s">
        <v>194</v>
      </c>
      <c r="S290" s="14">
        <v>37811.800000000003</v>
      </c>
      <c r="T290" s="14">
        <v>0</v>
      </c>
      <c r="U290" s="14">
        <v>0</v>
      </c>
      <c r="V290" s="14"/>
    </row>
    <row r="291" spans="1:22" ht="18" customHeight="1" x14ac:dyDescent="0.3">
      <c r="A291" s="123" t="s">
        <v>1054</v>
      </c>
      <c r="B291" s="125" t="s">
        <v>735</v>
      </c>
      <c r="C291" s="129">
        <v>200</v>
      </c>
      <c r="D291" s="122" t="s">
        <v>1097</v>
      </c>
      <c r="E291" s="130" t="s">
        <v>1109</v>
      </c>
      <c r="F291" s="127" t="s">
        <v>1116</v>
      </c>
      <c r="G291" s="123" t="s">
        <v>896</v>
      </c>
      <c r="I291" s="120" t="s">
        <v>525</v>
      </c>
      <c r="J291" s="120"/>
      <c r="K291" s="120"/>
      <c r="L291" s="135"/>
      <c r="N291" s="13" t="s">
        <v>609</v>
      </c>
      <c r="O291" s="14" t="s">
        <v>595</v>
      </c>
      <c r="P291" s="14" t="s">
        <v>413</v>
      </c>
      <c r="Q291" s="13">
        <v>1</v>
      </c>
      <c r="R291" s="13" t="s">
        <v>194</v>
      </c>
      <c r="S291" s="14">
        <v>44374.16</v>
      </c>
      <c r="T291" s="14">
        <v>0</v>
      </c>
      <c r="U291" s="14">
        <v>0</v>
      </c>
      <c r="V291" s="14"/>
    </row>
    <row r="292" spans="1:22" ht="18" customHeight="1" x14ac:dyDescent="0.3">
      <c r="A292" s="123" t="s">
        <v>1055</v>
      </c>
      <c r="B292" s="125" t="s">
        <v>735</v>
      </c>
      <c r="C292" s="129">
        <v>250</v>
      </c>
      <c r="D292" s="122" t="s">
        <v>1097</v>
      </c>
      <c r="E292" s="130" t="s">
        <v>1110</v>
      </c>
      <c r="F292" s="127" t="s">
        <v>1116</v>
      </c>
      <c r="G292" s="123" t="s">
        <v>896</v>
      </c>
      <c r="I292" s="120" t="s">
        <v>526</v>
      </c>
      <c r="J292" s="120"/>
      <c r="K292" s="120"/>
      <c r="L292" s="135"/>
      <c r="N292" s="13" t="s">
        <v>610</v>
      </c>
      <c r="O292" s="14" t="s">
        <v>595</v>
      </c>
      <c r="P292" s="14" t="s">
        <v>417</v>
      </c>
      <c r="Q292" s="13">
        <v>1</v>
      </c>
      <c r="R292" s="13" t="s">
        <v>194</v>
      </c>
      <c r="S292" s="14">
        <v>55400</v>
      </c>
      <c r="T292" s="14">
        <v>0</v>
      </c>
      <c r="U292" s="14">
        <v>0</v>
      </c>
      <c r="V292" s="14"/>
    </row>
    <row r="293" spans="1:22" ht="18" customHeight="1" x14ac:dyDescent="0.3">
      <c r="A293" s="123" t="s">
        <v>1056</v>
      </c>
      <c r="B293" s="125" t="s">
        <v>735</v>
      </c>
      <c r="C293" s="129">
        <v>300</v>
      </c>
      <c r="D293" s="122" t="s">
        <v>1097</v>
      </c>
      <c r="E293" s="130" t="s">
        <v>1111</v>
      </c>
      <c r="F293" s="127" t="s">
        <v>1116</v>
      </c>
      <c r="G293" s="123" t="s">
        <v>896</v>
      </c>
      <c r="I293" s="120" t="s">
        <v>527</v>
      </c>
      <c r="J293" s="120"/>
      <c r="K293" s="120"/>
      <c r="L293" s="135"/>
      <c r="N293" s="13" t="s">
        <v>611</v>
      </c>
      <c r="O293" s="14" t="s">
        <v>595</v>
      </c>
      <c r="P293" s="14" t="s">
        <v>421</v>
      </c>
      <c r="Q293" s="13">
        <v>1</v>
      </c>
      <c r="R293" s="13" t="s">
        <v>194</v>
      </c>
      <c r="S293" s="14">
        <v>55400</v>
      </c>
      <c r="T293" s="14">
        <v>0</v>
      </c>
      <c r="U293" s="14">
        <v>0</v>
      </c>
      <c r="V293" s="14"/>
    </row>
    <row r="294" spans="1:22" ht="18" customHeight="1" x14ac:dyDescent="0.3">
      <c r="A294" s="123" t="s">
        <v>1057</v>
      </c>
      <c r="B294" s="125" t="s">
        <v>735</v>
      </c>
      <c r="C294" s="129">
        <v>350</v>
      </c>
      <c r="D294" s="122" t="s">
        <v>1097</v>
      </c>
      <c r="E294" s="130" t="s">
        <v>1112</v>
      </c>
      <c r="F294" s="127" t="s">
        <v>1116</v>
      </c>
      <c r="G294" s="123" t="s">
        <v>896</v>
      </c>
      <c r="I294" s="120" t="s">
        <v>528</v>
      </c>
      <c r="J294" s="120"/>
      <c r="K294" s="120"/>
      <c r="L294" s="135"/>
      <c r="N294" s="13" t="s">
        <v>612</v>
      </c>
      <c r="O294" s="14" t="s">
        <v>595</v>
      </c>
      <c r="P294" s="14" t="s">
        <v>423</v>
      </c>
      <c r="Q294" s="13">
        <v>1</v>
      </c>
      <c r="R294" s="13" t="s">
        <v>194</v>
      </c>
      <c r="S294" s="14">
        <v>63800</v>
      </c>
      <c r="T294" s="14">
        <v>0</v>
      </c>
      <c r="U294" s="14">
        <v>0</v>
      </c>
      <c r="V294" s="14"/>
    </row>
    <row r="295" spans="1:22" ht="18" customHeight="1" x14ac:dyDescent="0.3">
      <c r="A295" s="123" t="s">
        <v>1058</v>
      </c>
      <c r="B295" s="125" t="s">
        <v>735</v>
      </c>
      <c r="C295" s="129">
        <v>400</v>
      </c>
      <c r="D295" s="122" t="s">
        <v>1097</v>
      </c>
      <c r="E295" s="130" t="s">
        <v>1113</v>
      </c>
      <c r="F295" s="127" t="s">
        <v>1116</v>
      </c>
      <c r="G295" s="123" t="s">
        <v>896</v>
      </c>
      <c r="I295" s="120" t="s">
        <v>529</v>
      </c>
      <c r="J295" s="120"/>
      <c r="K295" s="120"/>
      <c r="L295" s="135"/>
      <c r="N295" s="13" t="s">
        <v>613</v>
      </c>
      <c r="O295" s="14" t="s">
        <v>595</v>
      </c>
      <c r="P295" s="14" t="s">
        <v>427</v>
      </c>
      <c r="Q295" s="13">
        <v>1</v>
      </c>
      <c r="R295" s="13" t="s">
        <v>194</v>
      </c>
      <c r="S295" s="14">
        <v>72200</v>
      </c>
      <c r="T295" s="14">
        <v>0</v>
      </c>
      <c r="U295" s="14">
        <v>0</v>
      </c>
      <c r="V295" s="14"/>
    </row>
    <row r="296" spans="1:22" ht="18" customHeight="1" x14ac:dyDescent="0.3">
      <c r="A296" s="123" t="s">
        <v>1059</v>
      </c>
      <c r="B296" s="125" t="s">
        <v>735</v>
      </c>
      <c r="C296" s="129">
        <v>450</v>
      </c>
      <c r="D296" s="122" t="s">
        <v>1097</v>
      </c>
      <c r="E296" s="130" t="s">
        <v>1114</v>
      </c>
      <c r="F296" s="127" t="s">
        <v>1116</v>
      </c>
      <c r="G296" s="123" t="s">
        <v>896</v>
      </c>
      <c r="I296" s="120" t="s">
        <v>530</v>
      </c>
      <c r="J296" s="120"/>
      <c r="K296" s="120"/>
      <c r="L296" s="135"/>
      <c r="N296" s="13" t="s">
        <v>614</v>
      </c>
      <c r="O296" s="14" t="s">
        <v>595</v>
      </c>
      <c r="P296" s="14" t="s">
        <v>429</v>
      </c>
      <c r="Q296" s="13">
        <v>1</v>
      </c>
      <c r="R296" s="13" t="s">
        <v>194</v>
      </c>
      <c r="S296" s="14">
        <v>72200</v>
      </c>
      <c r="T296" s="14">
        <v>0</v>
      </c>
      <c r="U296" s="14">
        <v>0</v>
      </c>
      <c r="V296" s="14"/>
    </row>
    <row r="297" spans="1:22" ht="18" customHeight="1" x14ac:dyDescent="0.3">
      <c r="A297" s="123" t="s">
        <v>1060</v>
      </c>
      <c r="B297" s="125" t="s">
        <v>735</v>
      </c>
      <c r="C297" s="129">
        <v>500</v>
      </c>
      <c r="D297" s="122" t="s">
        <v>1097</v>
      </c>
      <c r="E297" s="130" t="s">
        <v>1115</v>
      </c>
      <c r="F297" s="127" t="s">
        <v>1116</v>
      </c>
      <c r="G297" s="123" t="s">
        <v>896</v>
      </c>
      <c r="I297" s="120" t="s">
        <v>531</v>
      </c>
      <c r="J297" s="120"/>
      <c r="K297" s="120"/>
      <c r="L297" s="135"/>
      <c r="N297" s="13" t="s">
        <v>615</v>
      </c>
      <c r="O297" s="14" t="s">
        <v>595</v>
      </c>
      <c r="P297" s="14" t="s">
        <v>431</v>
      </c>
      <c r="Q297" s="13">
        <v>1</v>
      </c>
      <c r="R297" s="13" t="s">
        <v>194</v>
      </c>
      <c r="S297" s="14">
        <v>80600</v>
      </c>
      <c r="T297" s="14">
        <v>0</v>
      </c>
      <c r="U297" s="14">
        <v>0</v>
      </c>
      <c r="V297" s="14"/>
    </row>
    <row r="298" spans="1:22" ht="18" customHeight="1" x14ac:dyDescent="0.3">
      <c r="A298" s="123" t="s">
        <v>1061</v>
      </c>
      <c r="B298" s="125" t="s">
        <v>738</v>
      </c>
      <c r="C298" s="129">
        <v>15</v>
      </c>
      <c r="D298" s="122" t="s">
        <v>1097</v>
      </c>
      <c r="E298" s="130" t="s">
        <v>1098</v>
      </c>
      <c r="F298" s="127" t="s">
        <v>1116</v>
      </c>
      <c r="G298" s="123" t="s">
        <v>896</v>
      </c>
      <c r="I298" s="120" t="s">
        <v>1020</v>
      </c>
      <c r="J298" s="120"/>
      <c r="K298" s="120"/>
      <c r="L298" s="135"/>
      <c r="N298" s="13" t="s">
        <v>616</v>
      </c>
      <c r="O298" s="14" t="s">
        <v>595</v>
      </c>
      <c r="P298" s="14" t="s">
        <v>501</v>
      </c>
      <c r="Q298" s="13">
        <v>1</v>
      </c>
      <c r="R298" s="13" t="s">
        <v>194</v>
      </c>
      <c r="S298" s="14">
        <v>89000</v>
      </c>
      <c r="T298" s="14">
        <v>0</v>
      </c>
      <c r="U298" s="14">
        <v>0</v>
      </c>
      <c r="V298" s="14"/>
    </row>
    <row r="299" spans="1:22" ht="18" customHeight="1" x14ac:dyDescent="0.3">
      <c r="A299" s="123" t="s">
        <v>1062</v>
      </c>
      <c r="B299" s="125" t="s">
        <v>738</v>
      </c>
      <c r="C299" s="129">
        <v>20</v>
      </c>
      <c r="D299" s="122" t="s">
        <v>1097</v>
      </c>
      <c r="E299" s="130" t="s">
        <v>1099</v>
      </c>
      <c r="F299" s="127" t="s">
        <v>1116</v>
      </c>
      <c r="G299" s="123" t="s">
        <v>896</v>
      </c>
      <c r="I299" s="120" t="s">
        <v>1020</v>
      </c>
      <c r="J299" s="120"/>
      <c r="K299" s="120"/>
      <c r="L299" s="135"/>
      <c r="N299" s="13" t="s">
        <v>617</v>
      </c>
      <c r="O299" s="14" t="s">
        <v>595</v>
      </c>
      <c r="P299" s="14" t="s">
        <v>542</v>
      </c>
      <c r="Q299" s="13">
        <v>1</v>
      </c>
      <c r="R299" s="13" t="s">
        <v>194</v>
      </c>
      <c r="S299" s="14">
        <v>97400</v>
      </c>
      <c r="T299" s="14">
        <v>0</v>
      </c>
      <c r="U299" s="14">
        <v>0</v>
      </c>
      <c r="V299" s="14"/>
    </row>
    <row r="300" spans="1:22" ht="18" customHeight="1" x14ac:dyDescent="0.3">
      <c r="A300" s="123" t="s">
        <v>1063</v>
      </c>
      <c r="B300" s="125" t="s">
        <v>738</v>
      </c>
      <c r="C300" s="129">
        <v>25</v>
      </c>
      <c r="D300" s="122" t="s">
        <v>1097</v>
      </c>
      <c r="E300" s="130" t="s">
        <v>1100</v>
      </c>
      <c r="F300" s="127" t="s">
        <v>1116</v>
      </c>
      <c r="G300" s="123" t="s">
        <v>896</v>
      </c>
      <c r="I300" s="120" t="s">
        <v>1020</v>
      </c>
      <c r="J300" s="120"/>
      <c r="K300" s="120"/>
      <c r="L300" s="135"/>
      <c r="N300" s="13" t="s">
        <v>618</v>
      </c>
      <c r="O300" s="14" t="s">
        <v>595</v>
      </c>
      <c r="P300" s="14" t="s">
        <v>544</v>
      </c>
      <c r="Q300" s="13">
        <v>1</v>
      </c>
      <c r="R300" s="13" t="s">
        <v>194</v>
      </c>
      <c r="S300" s="14">
        <v>105800</v>
      </c>
      <c r="T300" s="14">
        <v>0</v>
      </c>
      <c r="U300" s="14">
        <v>0</v>
      </c>
      <c r="V300" s="14"/>
    </row>
    <row r="301" spans="1:22" ht="18" customHeight="1" x14ac:dyDescent="0.3">
      <c r="A301" s="123" t="s">
        <v>1064</v>
      </c>
      <c r="B301" s="125" t="s">
        <v>738</v>
      </c>
      <c r="C301" s="129">
        <v>32</v>
      </c>
      <c r="D301" s="122" t="s">
        <v>1097</v>
      </c>
      <c r="E301" s="130" t="s">
        <v>1101</v>
      </c>
      <c r="F301" s="127" t="s">
        <v>1116</v>
      </c>
      <c r="G301" s="123" t="s">
        <v>896</v>
      </c>
      <c r="I301" s="120" t="s">
        <v>1021</v>
      </c>
      <c r="J301" s="120"/>
      <c r="K301" s="120"/>
      <c r="L301" s="135"/>
      <c r="N301" s="13" t="s">
        <v>619</v>
      </c>
      <c r="O301" s="14" t="s">
        <v>595</v>
      </c>
      <c r="P301" s="14" t="s">
        <v>546</v>
      </c>
      <c r="Q301" s="13">
        <v>1</v>
      </c>
      <c r="R301" s="13" t="s">
        <v>194</v>
      </c>
      <c r="S301" s="14">
        <v>114200</v>
      </c>
      <c r="T301" s="14">
        <v>0</v>
      </c>
      <c r="U301" s="14">
        <v>0</v>
      </c>
      <c r="V301" s="14"/>
    </row>
    <row r="302" spans="1:22" ht="18" customHeight="1" x14ac:dyDescent="0.3">
      <c r="A302" s="123" t="s">
        <v>1065</v>
      </c>
      <c r="B302" s="125" t="s">
        <v>738</v>
      </c>
      <c r="C302" s="129">
        <v>40</v>
      </c>
      <c r="D302" s="122" t="s">
        <v>1097</v>
      </c>
      <c r="E302" s="130" t="s">
        <v>1102</v>
      </c>
      <c r="F302" s="127" t="s">
        <v>1116</v>
      </c>
      <c r="G302" s="123" t="s">
        <v>896</v>
      </c>
      <c r="I302" s="120" t="s">
        <v>1021</v>
      </c>
      <c r="J302" s="120"/>
      <c r="K302" s="120"/>
      <c r="L302" s="135"/>
      <c r="N302" s="13" t="s">
        <v>620</v>
      </c>
      <c r="O302" s="14" t="s">
        <v>595</v>
      </c>
      <c r="P302" s="14" t="s">
        <v>548</v>
      </c>
      <c r="Q302" s="13">
        <v>1</v>
      </c>
      <c r="R302" s="13" t="s">
        <v>194</v>
      </c>
      <c r="S302" s="14">
        <v>122600</v>
      </c>
      <c r="T302" s="14">
        <v>0</v>
      </c>
      <c r="U302" s="14">
        <v>0</v>
      </c>
      <c r="V302" s="14"/>
    </row>
    <row r="303" spans="1:22" ht="18" customHeight="1" x14ac:dyDescent="0.3">
      <c r="A303" s="123" t="s">
        <v>1066</v>
      </c>
      <c r="B303" s="125" t="s">
        <v>738</v>
      </c>
      <c r="C303" s="129">
        <v>50</v>
      </c>
      <c r="D303" s="122" t="s">
        <v>1097</v>
      </c>
      <c r="E303" s="130" t="s">
        <v>1103</v>
      </c>
      <c r="F303" s="127" t="s">
        <v>1116</v>
      </c>
      <c r="G303" s="123" t="s">
        <v>896</v>
      </c>
      <c r="I303" s="120" t="s">
        <v>1021</v>
      </c>
      <c r="J303" s="120"/>
      <c r="K303" s="120"/>
      <c r="L303" s="135"/>
      <c r="N303" s="13" t="s">
        <v>621</v>
      </c>
      <c r="O303" s="14" t="s">
        <v>622</v>
      </c>
      <c r="P303" s="14" t="s">
        <v>378</v>
      </c>
      <c r="Q303" s="13">
        <v>1</v>
      </c>
      <c r="R303" s="13" t="s">
        <v>194</v>
      </c>
      <c r="S303" s="14">
        <v>829.68</v>
      </c>
      <c r="T303" s="14">
        <v>0</v>
      </c>
      <c r="U303" s="14">
        <v>0</v>
      </c>
      <c r="V303" s="14"/>
    </row>
    <row r="304" spans="1:22" ht="18" customHeight="1" x14ac:dyDescent="0.3">
      <c r="A304" s="123" t="s">
        <v>1067</v>
      </c>
      <c r="B304" s="125" t="s">
        <v>738</v>
      </c>
      <c r="C304" s="129">
        <v>65</v>
      </c>
      <c r="D304" s="122" t="s">
        <v>1097</v>
      </c>
      <c r="E304" s="130" t="s">
        <v>1104</v>
      </c>
      <c r="F304" s="127" t="s">
        <v>1116</v>
      </c>
      <c r="G304" s="123" t="s">
        <v>896</v>
      </c>
      <c r="I304" s="120" t="s">
        <v>1021</v>
      </c>
      <c r="J304" s="120"/>
      <c r="K304" s="120"/>
      <c r="L304" s="135"/>
      <c r="N304" s="13" t="s">
        <v>623</v>
      </c>
      <c r="O304" s="14" t="s">
        <v>622</v>
      </c>
      <c r="P304" s="14" t="s">
        <v>383</v>
      </c>
      <c r="Q304" s="13">
        <v>2</v>
      </c>
      <c r="R304" s="13" t="s">
        <v>194</v>
      </c>
      <c r="S304" s="14">
        <v>2069.48</v>
      </c>
      <c r="T304" s="14">
        <v>0</v>
      </c>
      <c r="U304" s="14">
        <v>0</v>
      </c>
      <c r="V304" s="14"/>
    </row>
    <row r="305" spans="1:22" ht="18" customHeight="1" x14ac:dyDescent="0.3">
      <c r="A305" s="123" t="s">
        <v>1068</v>
      </c>
      <c r="B305" s="125" t="s">
        <v>738</v>
      </c>
      <c r="C305" s="129">
        <v>80</v>
      </c>
      <c r="D305" s="122" t="s">
        <v>1097</v>
      </c>
      <c r="E305" s="130" t="s">
        <v>1105</v>
      </c>
      <c r="F305" s="127" t="s">
        <v>1116</v>
      </c>
      <c r="G305" s="123" t="s">
        <v>896</v>
      </c>
      <c r="I305" s="120" t="s">
        <v>1022</v>
      </c>
      <c r="J305" s="120"/>
      <c r="K305" s="120"/>
      <c r="L305" s="135"/>
      <c r="N305" s="13" t="s">
        <v>624</v>
      </c>
      <c r="O305" s="14" t="s">
        <v>622</v>
      </c>
      <c r="P305" s="14" t="s">
        <v>384</v>
      </c>
      <c r="Q305" s="13">
        <v>3</v>
      </c>
      <c r="R305" s="13" t="s">
        <v>194</v>
      </c>
      <c r="S305" s="14">
        <v>4032.92</v>
      </c>
      <c r="T305" s="14">
        <v>0</v>
      </c>
      <c r="U305" s="14">
        <v>0</v>
      </c>
      <c r="V305" s="14"/>
    </row>
    <row r="306" spans="1:22" ht="18" customHeight="1" x14ac:dyDescent="0.3">
      <c r="A306" s="123" t="s">
        <v>1069</v>
      </c>
      <c r="B306" s="125" t="s">
        <v>738</v>
      </c>
      <c r="C306" s="129">
        <v>100</v>
      </c>
      <c r="D306" s="122" t="s">
        <v>1097</v>
      </c>
      <c r="E306" s="130" t="s">
        <v>1106</v>
      </c>
      <c r="F306" s="127" t="s">
        <v>1116</v>
      </c>
      <c r="G306" s="123" t="s">
        <v>896</v>
      </c>
      <c r="I306" s="120" t="s">
        <v>1023</v>
      </c>
      <c r="J306" s="120"/>
      <c r="K306" s="120"/>
      <c r="L306" s="135"/>
      <c r="N306" s="13" t="s">
        <v>625</v>
      </c>
      <c r="O306" s="14" t="s">
        <v>622</v>
      </c>
      <c r="P306" s="14" t="s">
        <v>387</v>
      </c>
      <c r="Q306" s="13">
        <v>4</v>
      </c>
      <c r="R306" s="13" t="s">
        <v>194</v>
      </c>
      <c r="S306" s="14">
        <v>7197.84</v>
      </c>
      <c r="T306" s="14">
        <v>0</v>
      </c>
      <c r="U306" s="14">
        <v>0</v>
      </c>
      <c r="V306" s="14"/>
    </row>
    <row r="307" spans="1:22" ht="18" customHeight="1" x14ac:dyDescent="0.3">
      <c r="A307" s="123" t="s">
        <v>1070</v>
      </c>
      <c r="B307" s="125" t="s">
        <v>738</v>
      </c>
      <c r="C307" s="129">
        <v>125</v>
      </c>
      <c r="D307" s="122" t="s">
        <v>1097</v>
      </c>
      <c r="E307" s="130" t="s">
        <v>1107</v>
      </c>
      <c r="F307" s="127" t="s">
        <v>1116</v>
      </c>
      <c r="G307" s="123" t="s">
        <v>896</v>
      </c>
      <c r="I307" s="120" t="s">
        <v>1024</v>
      </c>
      <c r="J307" s="120"/>
      <c r="K307" s="120"/>
      <c r="L307" s="135"/>
      <c r="N307" s="13" t="s">
        <v>626</v>
      </c>
      <c r="O307" s="14" t="s">
        <v>622</v>
      </c>
      <c r="P307" s="14" t="s">
        <v>388</v>
      </c>
      <c r="Q307" s="13">
        <v>5</v>
      </c>
      <c r="R307" s="13" t="s">
        <v>194</v>
      </c>
      <c r="S307" s="14">
        <v>8697.84</v>
      </c>
      <c r="T307" s="14">
        <v>0</v>
      </c>
      <c r="U307" s="14">
        <v>0</v>
      </c>
      <c r="V307" s="14"/>
    </row>
    <row r="308" spans="1:22" ht="18" customHeight="1" x14ac:dyDescent="0.3">
      <c r="A308" s="123" t="s">
        <v>1071</v>
      </c>
      <c r="B308" s="125" t="s">
        <v>738</v>
      </c>
      <c r="C308" s="129">
        <v>150</v>
      </c>
      <c r="D308" s="122" t="s">
        <v>1097</v>
      </c>
      <c r="E308" s="130" t="s">
        <v>1108</v>
      </c>
      <c r="F308" s="127" t="s">
        <v>1116</v>
      </c>
      <c r="G308" s="123" t="s">
        <v>896</v>
      </c>
      <c r="I308" s="120" t="s">
        <v>205</v>
      </c>
      <c r="J308" s="120"/>
      <c r="K308" s="120"/>
      <c r="L308" s="135"/>
      <c r="N308" s="13" t="s">
        <v>627</v>
      </c>
      <c r="O308" s="14" t="s">
        <v>622</v>
      </c>
      <c r="P308" s="14" t="s">
        <v>389</v>
      </c>
      <c r="Q308" s="13">
        <v>6</v>
      </c>
      <c r="R308" s="13" t="s">
        <v>194</v>
      </c>
      <c r="S308" s="14">
        <v>9937.84</v>
      </c>
      <c r="T308" s="14">
        <v>0</v>
      </c>
      <c r="U308" s="14">
        <v>0</v>
      </c>
      <c r="V308" s="14"/>
    </row>
    <row r="309" spans="1:22" ht="18" customHeight="1" x14ac:dyDescent="0.3">
      <c r="A309" s="123" t="s">
        <v>1072</v>
      </c>
      <c r="B309" s="125" t="s">
        <v>738</v>
      </c>
      <c r="C309" s="129">
        <v>200</v>
      </c>
      <c r="D309" s="122" t="s">
        <v>1097</v>
      </c>
      <c r="E309" s="130" t="s">
        <v>1109</v>
      </c>
      <c r="F309" s="127" t="s">
        <v>1116</v>
      </c>
      <c r="G309" s="123" t="s">
        <v>896</v>
      </c>
      <c r="I309" s="120" t="s">
        <v>525</v>
      </c>
      <c r="J309" s="120"/>
      <c r="K309" s="120"/>
      <c r="L309" s="135"/>
      <c r="N309" s="13" t="s">
        <v>628</v>
      </c>
      <c r="O309" s="14" t="s">
        <v>622</v>
      </c>
      <c r="P309" s="14" t="s">
        <v>392</v>
      </c>
      <c r="Q309" s="13">
        <v>7</v>
      </c>
      <c r="R309" s="13" t="s">
        <v>194</v>
      </c>
      <c r="S309" s="14">
        <v>16661.04</v>
      </c>
      <c r="T309" s="14">
        <v>0</v>
      </c>
      <c r="U309" s="14">
        <v>0</v>
      </c>
      <c r="V309" s="14"/>
    </row>
    <row r="310" spans="1:22" ht="18" customHeight="1" x14ac:dyDescent="0.3">
      <c r="A310" s="123" t="s">
        <v>1073</v>
      </c>
      <c r="B310" s="125" t="s">
        <v>738</v>
      </c>
      <c r="C310" s="129">
        <v>250</v>
      </c>
      <c r="D310" s="122" t="s">
        <v>1097</v>
      </c>
      <c r="E310" s="130" t="s">
        <v>1110</v>
      </c>
      <c r="F310" s="127" t="s">
        <v>1116</v>
      </c>
      <c r="G310" s="123" t="s">
        <v>896</v>
      </c>
      <c r="I310" s="120" t="s">
        <v>526</v>
      </c>
      <c r="J310" s="120"/>
      <c r="K310" s="120"/>
      <c r="L310" s="135"/>
      <c r="N310" s="13" t="s">
        <v>629</v>
      </c>
      <c r="O310" s="14" t="s">
        <v>622</v>
      </c>
      <c r="P310" s="14" t="s">
        <v>396</v>
      </c>
      <c r="Q310" s="13">
        <v>8</v>
      </c>
      <c r="R310" s="13" t="s">
        <v>194</v>
      </c>
      <c r="S310" s="14">
        <v>27775.56</v>
      </c>
      <c r="T310" s="14">
        <v>0</v>
      </c>
      <c r="U310" s="14">
        <v>0</v>
      </c>
      <c r="V310" s="14"/>
    </row>
    <row r="311" spans="1:22" ht="18" customHeight="1" x14ac:dyDescent="0.3">
      <c r="A311" s="123" t="s">
        <v>1074</v>
      </c>
      <c r="B311" s="125" t="s">
        <v>738</v>
      </c>
      <c r="C311" s="129">
        <v>300</v>
      </c>
      <c r="D311" s="122" t="s">
        <v>1097</v>
      </c>
      <c r="E311" s="130" t="s">
        <v>1111</v>
      </c>
      <c r="F311" s="127" t="s">
        <v>1116</v>
      </c>
      <c r="G311" s="123" t="s">
        <v>896</v>
      </c>
      <c r="I311" s="120" t="s">
        <v>527</v>
      </c>
      <c r="J311" s="120"/>
      <c r="K311" s="120"/>
      <c r="L311" s="135"/>
      <c r="N311" s="13" t="s">
        <v>630</v>
      </c>
      <c r="O311" s="14" t="s">
        <v>622</v>
      </c>
      <c r="P311" s="14" t="s">
        <v>397</v>
      </c>
      <c r="Q311" s="13">
        <v>9</v>
      </c>
      <c r="R311" s="13" t="s">
        <v>194</v>
      </c>
      <c r="S311" s="14">
        <v>31915.56</v>
      </c>
      <c r="T311" s="14">
        <v>0</v>
      </c>
      <c r="U311" s="14">
        <v>0</v>
      </c>
      <c r="V311" s="14"/>
    </row>
    <row r="312" spans="1:22" ht="18" customHeight="1" x14ac:dyDescent="0.3">
      <c r="A312" s="123" t="s">
        <v>1075</v>
      </c>
      <c r="B312" s="125" t="s">
        <v>738</v>
      </c>
      <c r="C312" s="129">
        <v>350</v>
      </c>
      <c r="D312" s="122" t="s">
        <v>1097</v>
      </c>
      <c r="E312" s="130" t="s">
        <v>1112</v>
      </c>
      <c r="F312" s="127" t="s">
        <v>1116</v>
      </c>
      <c r="G312" s="123" t="s">
        <v>896</v>
      </c>
      <c r="I312" s="120" t="s">
        <v>528</v>
      </c>
      <c r="J312" s="120"/>
      <c r="K312" s="120"/>
      <c r="L312" s="135"/>
      <c r="N312" s="13" t="s">
        <v>631</v>
      </c>
      <c r="O312" s="14" t="s">
        <v>622</v>
      </c>
      <c r="P312" s="14" t="s">
        <v>399</v>
      </c>
      <c r="Q312" s="13">
        <v>10</v>
      </c>
      <c r="R312" s="13" t="s">
        <v>194</v>
      </c>
      <c r="S312" s="14">
        <v>41622.639999999999</v>
      </c>
      <c r="T312" s="14">
        <v>0</v>
      </c>
      <c r="U312" s="14">
        <v>0</v>
      </c>
      <c r="V312" s="14"/>
    </row>
    <row r="313" spans="1:22" ht="18" customHeight="1" x14ac:dyDescent="0.3">
      <c r="A313" s="123" t="s">
        <v>1076</v>
      </c>
      <c r="B313" s="125" t="s">
        <v>738</v>
      </c>
      <c r="C313" s="129">
        <v>400</v>
      </c>
      <c r="D313" s="122" t="s">
        <v>1097</v>
      </c>
      <c r="E313" s="130" t="s">
        <v>1113</v>
      </c>
      <c r="F313" s="127" t="s">
        <v>1116</v>
      </c>
      <c r="G313" s="123" t="s">
        <v>896</v>
      </c>
      <c r="I313" s="120" t="s">
        <v>529</v>
      </c>
      <c r="J313" s="120"/>
      <c r="K313" s="120"/>
      <c r="L313" s="135"/>
      <c r="N313" s="13" t="s">
        <v>632</v>
      </c>
      <c r="O313" s="14" t="s">
        <v>622</v>
      </c>
      <c r="P313" s="14" t="s">
        <v>401</v>
      </c>
      <c r="Q313" s="13">
        <v>11</v>
      </c>
      <c r="R313" s="13" t="s">
        <v>194</v>
      </c>
      <c r="S313" s="14">
        <v>55773.52</v>
      </c>
      <c r="T313" s="14">
        <v>0</v>
      </c>
      <c r="U313" s="14">
        <v>0</v>
      </c>
      <c r="V313" s="14"/>
    </row>
    <row r="314" spans="1:22" ht="18" customHeight="1" x14ac:dyDescent="0.3">
      <c r="A314" s="123" t="s">
        <v>1077</v>
      </c>
      <c r="B314" s="125" t="s">
        <v>738</v>
      </c>
      <c r="C314" s="129">
        <v>450</v>
      </c>
      <c r="D314" s="122" t="s">
        <v>1097</v>
      </c>
      <c r="E314" s="130" t="s">
        <v>1114</v>
      </c>
      <c r="F314" s="127" t="s">
        <v>1116</v>
      </c>
      <c r="G314" s="123" t="s">
        <v>896</v>
      </c>
      <c r="I314" s="120" t="s">
        <v>530</v>
      </c>
      <c r="J314" s="120"/>
      <c r="K314" s="120"/>
      <c r="L314" s="135"/>
      <c r="N314" s="13" t="s">
        <v>633</v>
      </c>
      <c r="O314" s="14" t="s">
        <v>622</v>
      </c>
      <c r="P314" s="14" t="s">
        <v>403</v>
      </c>
      <c r="Q314" s="13">
        <v>12</v>
      </c>
      <c r="R314" s="13" t="s">
        <v>194</v>
      </c>
      <c r="S314" s="14">
        <v>79363.520000000004</v>
      </c>
      <c r="T314" s="14">
        <v>0</v>
      </c>
      <c r="U314" s="14">
        <v>0</v>
      </c>
      <c r="V314" s="14"/>
    </row>
    <row r="315" spans="1:22" ht="18" customHeight="1" x14ac:dyDescent="0.3">
      <c r="A315" s="123" t="s">
        <v>1078</v>
      </c>
      <c r="B315" s="125" t="s">
        <v>738</v>
      </c>
      <c r="C315" s="129">
        <v>500</v>
      </c>
      <c r="D315" s="122" t="s">
        <v>1097</v>
      </c>
      <c r="E315" s="130" t="s">
        <v>1115</v>
      </c>
      <c r="F315" s="127" t="s">
        <v>1116</v>
      </c>
      <c r="G315" s="123" t="s">
        <v>896</v>
      </c>
      <c r="I315" s="120" t="s">
        <v>531</v>
      </c>
      <c r="J315" s="120"/>
      <c r="K315" s="120"/>
      <c r="L315" s="135"/>
      <c r="N315" s="13" t="s">
        <v>634</v>
      </c>
      <c r="O315" s="14" t="s">
        <v>622</v>
      </c>
      <c r="P315" s="14" t="s">
        <v>405</v>
      </c>
      <c r="Q315" s="13">
        <v>13</v>
      </c>
      <c r="R315" s="13" t="s">
        <v>194</v>
      </c>
      <c r="S315" s="14">
        <v>89204.4</v>
      </c>
      <c r="T315" s="14">
        <v>0</v>
      </c>
      <c r="U315" s="14">
        <v>0</v>
      </c>
      <c r="V315" s="14"/>
    </row>
    <row r="316" spans="1:22" ht="18" customHeight="1" x14ac:dyDescent="0.3">
      <c r="A316" s="123" t="s">
        <v>1079</v>
      </c>
      <c r="B316" s="125" t="s">
        <v>745</v>
      </c>
      <c r="C316" s="129">
        <v>15</v>
      </c>
      <c r="D316" s="122" t="s">
        <v>1097</v>
      </c>
      <c r="E316" s="130" t="s">
        <v>1098</v>
      </c>
      <c r="F316" s="127" t="s">
        <v>1116</v>
      </c>
      <c r="G316" s="123" t="s">
        <v>896</v>
      </c>
      <c r="I316" s="120" t="s">
        <v>1020</v>
      </c>
      <c r="J316" s="120"/>
      <c r="K316" s="120"/>
      <c r="L316" s="135"/>
      <c r="N316" s="13" t="s">
        <v>635</v>
      </c>
      <c r="O316" s="14" t="s">
        <v>622</v>
      </c>
      <c r="P316" s="14" t="s">
        <v>409</v>
      </c>
      <c r="Q316" s="13">
        <v>14</v>
      </c>
      <c r="R316" s="13" t="s">
        <v>194</v>
      </c>
      <c r="S316" s="14">
        <v>102811.8</v>
      </c>
      <c r="T316" s="14">
        <v>0</v>
      </c>
      <c r="U316" s="14">
        <v>0</v>
      </c>
      <c r="V316" s="14"/>
    </row>
    <row r="317" spans="1:22" ht="18" customHeight="1" x14ac:dyDescent="0.3">
      <c r="A317" s="123" t="s">
        <v>1080</v>
      </c>
      <c r="B317" s="125" t="s">
        <v>745</v>
      </c>
      <c r="C317" s="129">
        <v>20</v>
      </c>
      <c r="D317" s="122" t="s">
        <v>1097</v>
      </c>
      <c r="E317" s="130" t="s">
        <v>1099</v>
      </c>
      <c r="F317" s="127" t="s">
        <v>1116</v>
      </c>
      <c r="G317" s="123" t="s">
        <v>896</v>
      </c>
      <c r="I317" s="120" t="s">
        <v>1020</v>
      </c>
      <c r="J317" s="120"/>
      <c r="K317" s="120"/>
      <c r="L317" s="135"/>
      <c r="N317" s="13" t="s">
        <v>636</v>
      </c>
      <c r="O317" s="14" t="s">
        <v>622</v>
      </c>
      <c r="P317" s="14" t="s">
        <v>413</v>
      </c>
      <c r="Q317" s="13">
        <v>15</v>
      </c>
      <c r="R317" s="13" t="s">
        <v>194</v>
      </c>
      <c r="S317" s="14">
        <v>114374.16</v>
      </c>
      <c r="T317" s="14">
        <v>0</v>
      </c>
      <c r="U317" s="14">
        <v>0</v>
      </c>
      <c r="V317" s="14"/>
    </row>
    <row r="318" spans="1:22" ht="18" customHeight="1" x14ac:dyDescent="0.3">
      <c r="A318" s="123" t="s">
        <v>1081</v>
      </c>
      <c r="B318" s="125" t="s">
        <v>745</v>
      </c>
      <c r="C318" s="129">
        <v>25</v>
      </c>
      <c r="D318" s="122" t="s">
        <v>1097</v>
      </c>
      <c r="E318" s="130" t="s">
        <v>1100</v>
      </c>
      <c r="F318" s="127" t="s">
        <v>1116</v>
      </c>
      <c r="G318" s="123" t="s">
        <v>896</v>
      </c>
      <c r="I318" s="120" t="s">
        <v>1020</v>
      </c>
      <c r="J318" s="120"/>
      <c r="K318" s="120"/>
      <c r="L318" s="135"/>
      <c r="N318" s="13" t="s">
        <v>637</v>
      </c>
      <c r="O318" s="14" t="s">
        <v>622</v>
      </c>
      <c r="P318" s="14" t="s">
        <v>417</v>
      </c>
      <c r="Q318" s="13">
        <v>16</v>
      </c>
      <c r="R318" s="13" t="s">
        <v>194</v>
      </c>
      <c r="S318" s="14">
        <v>130400</v>
      </c>
      <c r="T318" s="14">
        <v>0</v>
      </c>
      <c r="U318" s="14">
        <v>0</v>
      </c>
      <c r="V318" s="14"/>
    </row>
    <row r="319" spans="1:22" ht="18" customHeight="1" x14ac:dyDescent="0.3">
      <c r="A319" s="123" t="s">
        <v>1082</v>
      </c>
      <c r="B319" s="125" t="s">
        <v>745</v>
      </c>
      <c r="C319" s="129">
        <v>32</v>
      </c>
      <c r="D319" s="122" t="s">
        <v>1097</v>
      </c>
      <c r="E319" s="130" t="s">
        <v>1101</v>
      </c>
      <c r="F319" s="127" t="s">
        <v>1116</v>
      </c>
      <c r="G319" s="123" t="s">
        <v>896</v>
      </c>
      <c r="I319" s="120" t="s">
        <v>1021</v>
      </c>
      <c r="J319" s="120"/>
      <c r="K319" s="120"/>
      <c r="L319" s="135"/>
      <c r="N319" s="13" t="s">
        <v>638</v>
      </c>
      <c r="O319" s="14" t="s">
        <v>622</v>
      </c>
      <c r="P319" s="14" t="s">
        <v>421</v>
      </c>
      <c r="Q319" s="13">
        <v>17</v>
      </c>
      <c r="R319" s="13" t="s">
        <v>194</v>
      </c>
      <c r="S319" s="14">
        <v>135400</v>
      </c>
      <c r="T319" s="14">
        <v>0</v>
      </c>
      <c r="U319" s="14">
        <v>0</v>
      </c>
      <c r="V319" s="14"/>
    </row>
    <row r="320" spans="1:22" ht="18" customHeight="1" x14ac:dyDescent="0.3">
      <c r="A320" s="123" t="s">
        <v>1083</v>
      </c>
      <c r="B320" s="125" t="s">
        <v>745</v>
      </c>
      <c r="C320" s="129">
        <v>40</v>
      </c>
      <c r="D320" s="122" t="s">
        <v>1097</v>
      </c>
      <c r="E320" s="130" t="s">
        <v>1102</v>
      </c>
      <c r="F320" s="127" t="s">
        <v>1116</v>
      </c>
      <c r="G320" s="123" t="s">
        <v>896</v>
      </c>
      <c r="I320" s="120" t="s">
        <v>1021</v>
      </c>
      <c r="J320" s="120"/>
      <c r="K320" s="120"/>
      <c r="L320" s="135"/>
      <c r="N320" s="13" t="s">
        <v>639</v>
      </c>
      <c r="O320" s="14" t="s">
        <v>622</v>
      </c>
      <c r="P320" s="14" t="s">
        <v>423</v>
      </c>
      <c r="Q320" s="13">
        <v>18</v>
      </c>
      <c r="R320" s="13" t="s">
        <v>194</v>
      </c>
      <c r="S320" s="14">
        <v>148800</v>
      </c>
      <c r="T320" s="14">
        <v>0</v>
      </c>
      <c r="U320" s="14">
        <v>0</v>
      </c>
      <c r="V320" s="14"/>
    </row>
    <row r="321" spans="1:22" ht="18" customHeight="1" x14ac:dyDescent="0.3">
      <c r="A321" s="123" t="s">
        <v>1084</v>
      </c>
      <c r="B321" s="125" t="s">
        <v>745</v>
      </c>
      <c r="C321" s="129">
        <v>50</v>
      </c>
      <c r="D321" s="122" t="s">
        <v>1097</v>
      </c>
      <c r="E321" s="130" t="s">
        <v>1103</v>
      </c>
      <c r="F321" s="127" t="s">
        <v>1116</v>
      </c>
      <c r="G321" s="123" t="s">
        <v>896</v>
      </c>
      <c r="I321" s="120" t="s">
        <v>1021</v>
      </c>
      <c r="J321" s="120"/>
      <c r="K321" s="120"/>
      <c r="L321" s="135"/>
      <c r="N321" s="13" t="s">
        <v>640</v>
      </c>
      <c r="O321" s="14" t="s">
        <v>622</v>
      </c>
      <c r="P321" s="14" t="s">
        <v>427</v>
      </c>
      <c r="Q321" s="13">
        <v>19</v>
      </c>
      <c r="R321" s="13" t="s">
        <v>194</v>
      </c>
      <c r="S321" s="14">
        <v>162200</v>
      </c>
      <c r="T321" s="14">
        <v>0</v>
      </c>
      <c r="U321" s="14">
        <v>0</v>
      </c>
      <c r="V321" s="14"/>
    </row>
    <row r="322" spans="1:22" ht="18" customHeight="1" x14ac:dyDescent="0.3">
      <c r="A322" s="123" t="s">
        <v>1085</v>
      </c>
      <c r="B322" s="125" t="s">
        <v>745</v>
      </c>
      <c r="C322" s="129">
        <v>65</v>
      </c>
      <c r="D322" s="122" t="s">
        <v>1097</v>
      </c>
      <c r="E322" s="130" t="s">
        <v>1104</v>
      </c>
      <c r="F322" s="127" t="s">
        <v>1116</v>
      </c>
      <c r="G322" s="123" t="s">
        <v>896</v>
      </c>
      <c r="I322" s="120" t="s">
        <v>1021</v>
      </c>
      <c r="J322" s="120"/>
      <c r="K322" s="120"/>
      <c r="L322" s="135"/>
      <c r="N322" s="13" t="s">
        <v>641</v>
      </c>
      <c r="O322" s="14" t="s">
        <v>622</v>
      </c>
      <c r="P322" s="14" t="s">
        <v>429</v>
      </c>
      <c r="Q322" s="13">
        <v>20</v>
      </c>
      <c r="R322" s="13" t="s">
        <v>194</v>
      </c>
      <c r="S322" s="14">
        <v>167200</v>
      </c>
      <c r="T322" s="14">
        <v>0</v>
      </c>
      <c r="U322" s="14">
        <v>0</v>
      </c>
      <c r="V322" s="14"/>
    </row>
    <row r="323" spans="1:22" ht="18" customHeight="1" x14ac:dyDescent="0.3">
      <c r="A323" s="123" t="s">
        <v>1086</v>
      </c>
      <c r="B323" s="125" t="s">
        <v>745</v>
      </c>
      <c r="C323" s="129">
        <v>80</v>
      </c>
      <c r="D323" s="122" t="s">
        <v>1097</v>
      </c>
      <c r="E323" s="130" t="s">
        <v>1105</v>
      </c>
      <c r="F323" s="127" t="s">
        <v>1116</v>
      </c>
      <c r="G323" s="123" t="s">
        <v>896</v>
      </c>
      <c r="I323" s="120" t="s">
        <v>1022</v>
      </c>
      <c r="J323" s="120"/>
      <c r="K323" s="120"/>
      <c r="L323" s="135"/>
      <c r="N323" s="13" t="s">
        <v>642</v>
      </c>
      <c r="O323" s="14" t="s">
        <v>622</v>
      </c>
      <c r="P323" s="14" t="s">
        <v>431</v>
      </c>
      <c r="Q323" s="13">
        <v>21</v>
      </c>
      <c r="R323" s="13" t="s">
        <v>194</v>
      </c>
      <c r="S323" s="14">
        <v>180600</v>
      </c>
      <c r="T323" s="14">
        <v>0</v>
      </c>
      <c r="U323" s="14">
        <v>0</v>
      </c>
      <c r="V323" s="14"/>
    </row>
    <row r="324" spans="1:22" ht="18" customHeight="1" x14ac:dyDescent="0.3">
      <c r="A324" s="123" t="s">
        <v>1087</v>
      </c>
      <c r="B324" s="125" t="s">
        <v>745</v>
      </c>
      <c r="C324" s="129">
        <v>100</v>
      </c>
      <c r="D324" s="122" t="s">
        <v>1097</v>
      </c>
      <c r="E324" s="130" t="s">
        <v>1106</v>
      </c>
      <c r="F324" s="127" t="s">
        <v>1116</v>
      </c>
      <c r="G324" s="123" t="s">
        <v>896</v>
      </c>
      <c r="I324" s="120" t="s">
        <v>1023</v>
      </c>
      <c r="J324" s="120"/>
      <c r="K324" s="120"/>
      <c r="L324" s="135"/>
      <c r="N324" s="13" t="s">
        <v>643</v>
      </c>
      <c r="O324" s="14" t="s">
        <v>622</v>
      </c>
      <c r="P324" s="14" t="s">
        <v>501</v>
      </c>
      <c r="Q324" s="13">
        <v>22</v>
      </c>
      <c r="R324" s="13" t="s">
        <v>194</v>
      </c>
      <c r="S324" s="14">
        <v>194000</v>
      </c>
      <c r="T324" s="14">
        <v>0</v>
      </c>
      <c r="U324" s="14">
        <v>0</v>
      </c>
      <c r="V324" s="14"/>
    </row>
    <row r="325" spans="1:22" ht="18" customHeight="1" x14ac:dyDescent="0.3">
      <c r="A325" s="123" t="s">
        <v>1088</v>
      </c>
      <c r="B325" s="125" t="s">
        <v>745</v>
      </c>
      <c r="C325" s="129">
        <v>125</v>
      </c>
      <c r="D325" s="122" t="s">
        <v>1097</v>
      </c>
      <c r="E325" s="130" t="s">
        <v>1107</v>
      </c>
      <c r="F325" s="127" t="s">
        <v>1116</v>
      </c>
      <c r="G325" s="123" t="s">
        <v>896</v>
      </c>
      <c r="I325" s="120" t="s">
        <v>1024</v>
      </c>
      <c r="J325" s="120"/>
      <c r="K325" s="120"/>
      <c r="L325" s="135"/>
      <c r="N325" s="13" t="s">
        <v>644</v>
      </c>
      <c r="O325" s="14" t="s">
        <v>622</v>
      </c>
      <c r="P325" s="14" t="s">
        <v>542</v>
      </c>
      <c r="Q325" s="13">
        <v>23</v>
      </c>
      <c r="R325" s="13" t="s">
        <v>194</v>
      </c>
      <c r="S325" s="14">
        <v>207400</v>
      </c>
      <c r="T325" s="14">
        <v>0</v>
      </c>
      <c r="U325" s="14">
        <v>0</v>
      </c>
      <c r="V325" s="14"/>
    </row>
    <row r="326" spans="1:22" ht="18" customHeight="1" x14ac:dyDescent="0.3">
      <c r="A326" s="123" t="s">
        <v>1089</v>
      </c>
      <c r="B326" s="125" t="s">
        <v>745</v>
      </c>
      <c r="C326" s="129">
        <v>150</v>
      </c>
      <c r="D326" s="122" t="s">
        <v>1097</v>
      </c>
      <c r="E326" s="130" t="s">
        <v>1108</v>
      </c>
      <c r="F326" s="127" t="s">
        <v>1116</v>
      </c>
      <c r="G326" s="123" t="s">
        <v>896</v>
      </c>
      <c r="I326" s="120" t="s">
        <v>205</v>
      </c>
      <c r="J326" s="120"/>
      <c r="K326" s="120"/>
      <c r="L326" s="135"/>
      <c r="N326" s="13" t="s">
        <v>645</v>
      </c>
      <c r="O326" s="14" t="s">
        <v>622</v>
      </c>
      <c r="P326" s="14" t="s">
        <v>544</v>
      </c>
      <c r="Q326" s="13">
        <v>24</v>
      </c>
      <c r="R326" s="13" t="s">
        <v>194</v>
      </c>
      <c r="S326" s="14">
        <v>220800</v>
      </c>
      <c r="T326" s="14">
        <v>0</v>
      </c>
      <c r="U326" s="14">
        <v>0</v>
      </c>
      <c r="V326" s="14"/>
    </row>
    <row r="327" spans="1:22" ht="18" customHeight="1" x14ac:dyDescent="0.3">
      <c r="A327" s="123" t="s">
        <v>1090</v>
      </c>
      <c r="B327" s="125" t="s">
        <v>745</v>
      </c>
      <c r="C327" s="129">
        <v>200</v>
      </c>
      <c r="D327" s="122" t="s">
        <v>1097</v>
      </c>
      <c r="E327" s="130" t="s">
        <v>1109</v>
      </c>
      <c r="F327" s="127" t="s">
        <v>1116</v>
      </c>
      <c r="G327" s="123" t="s">
        <v>896</v>
      </c>
      <c r="I327" s="120" t="s">
        <v>525</v>
      </c>
      <c r="J327" s="120"/>
      <c r="K327" s="120"/>
      <c r="L327" s="135"/>
      <c r="N327" s="13" t="s">
        <v>646</v>
      </c>
      <c r="O327" s="14" t="s">
        <v>622</v>
      </c>
      <c r="P327" s="14" t="s">
        <v>546</v>
      </c>
      <c r="Q327" s="13">
        <v>25</v>
      </c>
      <c r="R327" s="13" t="s">
        <v>194</v>
      </c>
      <c r="S327" s="14">
        <v>234200</v>
      </c>
      <c r="T327" s="14">
        <v>0</v>
      </c>
      <c r="U327" s="14">
        <v>0</v>
      </c>
      <c r="V327" s="14"/>
    </row>
    <row r="328" spans="1:22" ht="18" customHeight="1" x14ac:dyDescent="0.3">
      <c r="A328" s="123" t="s">
        <v>1091</v>
      </c>
      <c r="B328" s="125" t="s">
        <v>745</v>
      </c>
      <c r="C328" s="129">
        <v>250</v>
      </c>
      <c r="D328" s="122" t="s">
        <v>1097</v>
      </c>
      <c r="E328" s="130" t="s">
        <v>1110</v>
      </c>
      <c r="F328" s="127" t="s">
        <v>1116</v>
      </c>
      <c r="G328" s="123" t="s">
        <v>896</v>
      </c>
      <c r="I328" s="120" t="s">
        <v>526</v>
      </c>
      <c r="J328" s="120"/>
      <c r="K328" s="120"/>
      <c r="L328" s="135"/>
      <c r="N328" s="13" t="s">
        <v>647</v>
      </c>
      <c r="O328" s="14" t="s">
        <v>622</v>
      </c>
      <c r="P328" s="14" t="s">
        <v>548</v>
      </c>
      <c r="Q328" s="13">
        <v>26</v>
      </c>
      <c r="R328" s="13" t="s">
        <v>194</v>
      </c>
      <c r="S328" s="14">
        <v>247600</v>
      </c>
      <c r="T328" s="14">
        <v>0</v>
      </c>
      <c r="U328" s="14">
        <v>0</v>
      </c>
      <c r="V328" s="14"/>
    </row>
    <row r="329" spans="1:22" ht="18" customHeight="1" x14ac:dyDescent="0.3">
      <c r="A329" s="123" t="s">
        <v>1092</v>
      </c>
      <c r="B329" s="125" t="s">
        <v>745</v>
      </c>
      <c r="C329" s="129">
        <v>300</v>
      </c>
      <c r="D329" s="122" t="s">
        <v>1097</v>
      </c>
      <c r="E329" s="130" t="s">
        <v>1111</v>
      </c>
      <c r="F329" s="127" t="s">
        <v>1116</v>
      </c>
      <c r="G329" s="123" t="s">
        <v>896</v>
      </c>
      <c r="I329" s="120" t="s">
        <v>527</v>
      </c>
      <c r="J329" s="120"/>
      <c r="K329" s="120"/>
      <c r="L329" s="135"/>
      <c r="N329" s="13" t="s">
        <v>244</v>
      </c>
      <c r="O329" s="14" t="s">
        <v>243</v>
      </c>
      <c r="P329" s="14" t="s">
        <v>392</v>
      </c>
      <c r="Q329" s="13">
        <v>1</v>
      </c>
      <c r="R329" s="13" t="s">
        <v>194</v>
      </c>
      <c r="S329" s="14">
        <v>9221.0400000000009</v>
      </c>
      <c r="T329" s="14">
        <v>62227.950000000004</v>
      </c>
      <c r="U329" s="14">
        <v>1866.8385000000001</v>
      </c>
      <c r="V329" s="14"/>
    </row>
    <row r="330" spans="1:22" ht="18" customHeight="1" x14ac:dyDescent="0.3">
      <c r="A330" s="123" t="s">
        <v>1093</v>
      </c>
      <c r="B330" s="125" t="s">
        <v>745</v>
      </c>
      <c r="C330" s="129">
        <v>350</v>
      </c>
      <c r="D330" s="122" t="s">
        <v>1097</v>
      </c>
      <c r="E330" s="130" t="s">
        <v>1112</v>
      </c>
      <c r="F330" s="127" t="s">
        <v>1116</v>
      </c>
      <c r="G330" s="123" t="s">
        <v>896</v>
      </c>
      <c r="I330" s="120" t="s">
        <v>528</v>
      </c>
      <c r="J330" s="120"/>
      <c r="K330" s="120"/>
      <c r="L330" s="135"/>
      <c r="N330" s="13" t="s">
        <v>648</v>
      </c>
      <c r="O330" s="14" t="s">
        <v>243</v>
      </c>
      <c r="P330" s="14" t="s">
        <v>396</v>
      </c>
      <c r="Q330" s="13">
        <v>1</v>
      </c>
      <c r="R330" s="13" t="s">
        <v>194</v>
      </c>
      <c r="S330" s="14">
        <v>14545.56</v>
      </c>
      <c r="T330" s="14">
        <v>68688.89</v>
      </c>
      <c r="U330" s="14">
        <v>2060.6666999999998</v>
      </c>
      <c r="V330" s="14"/>
    </row>
    <row r="331" spans="1:22" ht="18" customHeight="1" x14ac:dyDescent="0.3">
      <c r="A331" s="123" t="s">
        <v>1094</v>
      </c>
      <c r="B331" s="125" t="s">
        <v>745</v>
      </c>
      <c r="C331" s="129">
        <v>400</v>
      </c>
      <c r="D331" s="122" t="s">
        <v>1097</v>
      </c>
      <c r="E331" s="130" t="s">
        <v>1113</v>
      </c>
      <c r="F331" s="127" t="s">
        <v>1116</v>
      </c>
      <c r="G331" s="123" t="s">
        <v>896</v>
      </c>
      <c r="I331" s="120" t="s">
        <v>529</v>
      </c>
      <c r="J331" s="120"/>
      <c r="K331" s="120"/>
      <c r="L331" s="135"/>
      <c r="N331" s="13" t="s">
        <v>649</v>
      </c>
      <c r="O331" s="14" t="s">
        <v>243</v>
      </c>
      <c r="P331" s="14" t="s">
        <v>397</v>
      </c>
      <c r="Q331" s="13">
        <v>1</v>
      </c>
      <c r="R331" s="13" t="s">
        <v>194</v>
      </c>
      <c r="S331" s="14">
        <v>14795.56</v>
      </c>
      <c r="T331" s="14">
        <v>75149.83</v>
      </c>
      <c r="U331" s="14">
        <v>2254.4949000000001</v>
      </c>
      <c r="V331" s="14"/>
    </row>
    <row r="332" spans="1:22" ht="18" customHeight="1" x14ac:dyDescent="0.3">
      <c r="A332" s="123" t="s">
        <v>1095</v>
      </c>
      <c r="B332" s="125" t="s">
        <v>745</v>
      </c>
      <c r="C332" s="129">
        <v>450</v>
      </c>
      <c r="D332" s="122" t="s">
        <v>1097</v>
      </c>
      <c r="E332" s="130" t="s">
        <v>1114</v>
      </c>
      <c r="F332" s="127" t="s">
        <v>1116</v>
      </c>
      <c r="G332" s="123" t="s">
        <v>896</v>
      </c>
      <c r="I332" s="120" t="s">
        <v>530</v>
      </c>
      <c r="J332" s="120"/>
      <c r="K332" s="120"/>
      <c r="L332" s="135"/>
      <c r="N332" s="13" t="s">
        <v>650</v>
      </c>
      <c r="O332" s="14" t="s">
        <v>243</v>
      </c>
      <c r="P332" s="14" t="s">
        <v>399</v>
      </c>
      <c r="Q332" s="13">
        <v>1</v>
      </c>
      <c r="R332" s="13" t="s">
        <v>194</v>
      </c>
      <c r="S332" s="14">
        <v>17232.639999999996</v>
      </c>
      <c r="T332" s="14">
        <v>126837.35</v>
      </c>
      <c r="U332" s="14">
        <v>3805.1205</v>
      </c>
      <c r="V332" s="14"/>
    </row>
    <row r="333" spans="1:22" ht="18" customHeight="1" x14ac:dyDescent="0.3">
      <c r="A333" s="123" t="s">
        <v>1096</v>
      </c>
      <c r="B333" s="125" t="s">
        <v>745</v>
      </c>
      <c r="C333" s="129">
        <v>500</v>
      </c>
      <c r="D333" s="122" t="s">
        <v>1097</v>
      </c>
      <c r="E333" s="130" t="s">
        <v>1115</v>
      </c>
      <c r="F333" s="127" t="s">
        <v>1116</v>
      </c>
      <c r="G333" s="123" t="s">
        <v>896</v>
      </c>
      <c r="I333" s="120" t="s">
        <v>531</v>
      </c>
      <c r="J333" s="120"/>
      <c r="K333" s="120"/>
      <c r="L333" s="135"/>
      <c r="N333" s="13" t="s">
        <v>651</v>
      </c>
      <c r="O333" s="14" t="s">
        <v>243</v>
      </c>
      <c r="P333" s="14" t="s">
        <v>401</v>
      </c>
      <c r="Q333" s="13">
        <v>1</v>
      </c>
      <c r="R333" s="13" t="s">
        <v>194</v>
      </c>
      <c r="S333" s="14">
        <v>22673.519999999997</v>
      </c>
      <c r="T333" s="14">
        <v>169682.48</v>
      </c>
      <c r="U333" s="14">
        <v>5090.4744000000001</v>
      </c>
      <c r="V333" s="14"/>
    </row>
    <row r="334" spans="1:22" ht="18" customHeight="1" x14ac:dyDescent="0.3">
      <c r="A334" s="123" t="s">
        <v>1117</v>
      </c>
      <c r="B334" s="125" t="s">
        <v>1139</v>
      </c>
      <c r="C334" s="131">
        <v>15</v>
      </c>
      <c r="D334" s="122" t="s">
        <v>1141</v>
      </c>
      <c r="E334" s="130" t="s">
        <v>1142</v>
      </c>
      <c r="F334" s="127" t="s">
        <v>1004</v>
      </c>
      <c r="G334" s="123" t="s">
        <v>896</v>
      </c>
      <c r="I334" s="120" t="s">
        <v>195</v>
      </c>
      <c r="J334" s="120"/>
      <c r="K334" s="120"/>
      <c r="L334" s="135"/>
      <c r="N334" s="13" t="s">
        <v>652</v>
      </c>
      <c r="O334" s="14" t="s">
        <v>243</v>
      </c>
      <c r="P334" s="14" t="s">
        <v>403</v>
      </c>
      <c r="Q334" s="13">
        <v>1</v>
      </c>
      <c r="R334" s="13" t="s">
        <v>194</v>
      </c>
      <c r="S334" s="14">
        <v>24363.519999999997</v>
      </c>
      <c r="T334" s="14">
        <v>208448.12000000002</v>
      </c>
      <c r="U334" s="14">
        <v>6253.4436000000005</v>
      </c>
      <c r="V334" s="14"/>
    </row>
    <row r="335" spans="1:22" ht="18" customHeight="1" x14ac:dyDescent="0.3">
      <c r="A335" s="123" t="s">
        <v>83</v>
      </c>
      <c r="B335" s="125" t="s">
        <v>1139</v>
      </c>
      <c r="C335" s="131">
        <v>20</v>
      </c>
      <c r="D335" s="122" t="s">
        <v>1141</v>
      </c>
      <c r="E335" s="130" t="s">
        <v>82</v>
      </c>
      <c r="F335" s="127" t="s">
        <v>1004</v>
      </c>
      <c r="G335" s="123" t="s">
        <v>896</v>
      </c>
      <c r="I335" s="120" t="s">
        <v>195</v>
      </c>
      <c r="J335" s="120"/>
      <c r="K335" s="120"/>
      <c r="L335" s="135"/>
      <c r="N335" s="13" t="s">
        <v>653</v>
      </c>
      <c r="O335" s="14" t="s">
        <v>243</v>
      </c>
      <c r="P335" s="14" t="s">
        <v>405</v>
      </c>
      <c r="Q335" s="13">
        <v>1</v>
      </c>
      <c r="R335" s="13" t="s">
        <v>194</v>
      </c>
      <c r="S335" s="14">
        <v>29204.400000000001</v>
      </c>
      <c r="T335" s="14">
        <v>242450.86</v>
      </c>
      <c r="U335" s="14">
        <v>7273.5257999999994</v>
      </c>
      <c r="V335" s="14"/>
    </row>
    <row r="336" spans="1:22" ht="18" customHeight="1" x14ac:dyDescent="0.3">
      <c r="A336" s="123" t="s">
        <v>1118</v>
      </c>
      <c r="B336" s="125" t="s">
        <v>1139</v>
      </c>
      <c r="C336" s="131">
        <v>25</v>
      </c>
      <c r="D336" s="122" t="s">
        <v>1141</v>
      </c>
      <c r="E336" s="130" t="s">
        <v>1143</v>
      </c>
      <c r="F336" s="127" t="s">
        <v>1004</v>
      </c>
      <c r="G336" s="123" t="s">
        <v>896</v>
      </c>
      <c r="I336" s="120" t="s">
        <v>195</v>
      </c>
      <c r="J336" s="120"/>
      <c r="K336" s="120"/>
      <c r="L336" s="135"/>
      <c r="N336" s="13" t="s">
        <v>654</v>
      </c>
      <c r="O336" s="14" t="s">
        <v>243</v>
      </c>
      <c r="P336" s="14" t="s">
        <v>409</v>
      </c>
      <c r="Q336" s="13">
        <v>1</v>
      </c>
      <c r="R336" s="13" t="s">
        <v>194</v>
      </c>
      <c r="S336" s="14">
        <v>37811.800000000003</v>
      </c>
      <c r="T336" s="14">
        <v>304678.81</v>
      </c>
      <c r="U336" s="14">
        <v>9140.3642999999993</v>
      </c>
      <c r="V336" s="14"/>
    </row>
    <row r="337" spans="1:22" ht="18" customHeight="1" x14ac:dyDescent="0.3">
      <c r="A337" s="123" t="s">
        <v>85</v>
      </c>
      <c r="B337" s="125" t="s">
        <v>1139</v>
      </c>
      <c r="C337" s="131">
        <v>32</v>
      </c>
      <c r="D337" s="122" t="s">
        <v>1141</v>
      </c>
      <c r="E337" s="130" t="s">
        <v>84</v>
      </c>
      <c r="F337" s="127" t="s">
        <v>1004</v>
      </c>
      <c r="G337" s="123" t="s">
        <v>896</v>
      </c>
      <c r="I337" s="120" t="s">
        <v>196</v>
      </c>
      <c r="J337" s="120"/>
      <c r="K337" s="120"/>
      <c r="L337" s="135"/>
      <c r="N337" s="13" t="s">
        <v>655</v>
      </c>
      <c r="O337" s="14" t="s">
        <v>243</v>
      </c>
      <c r="P337" s="14" t="s">
        <v>413</v>
      </c>
      <c r="Q337" s="13">
        <v>1</v>
      </c>
      <c r="R337" s="13" t="s">
        <v>194</v>
      </c>
      <c r="S337" s="14">
        <v>44374.16</v>
      </c>
      <c r="T337" s="14">
        <v>352286.84</v>
      </c>
      <c r="U337" s="14">
        <v>10568.6052</v>
      </c>
      <c r="V337" s="14"/>
    </row>
    <row r="338" spans="1:22" ht="18" customHeight="1" x14ac:dyDescent="0.3">
      <c r="A338" s="123" t="s">
        <v>1119</v>
      </c>
      <c r="B338" s="125" t="s">
        <v>1139</v>
      </c>
      <c r="C338" s="131">
        <v>40</v>
      </c>
      <c r="D338" s="122" t="s">
        <v>1141</v>
      </c>
      <c r="E338" s="130" t="s">
        <v>1144</v>
      </c>
      <c r="F338" s="127" t="s">
        <v>1004</v>
      </c>
      <c r="G338" s="123" t="s">
        <v>896</v>
      </c>
      <c r="I338" s="120" t="s">
        <v>196</v>
      </c>
      <c r="J338" s="120"/>
      <c r="K338" s="120"/>
      <c r="L338" s="135"/>
      <c r="N338" s="13" t="s">
        <v>656</v>
      </c>
      <c r="O338" s="14" t="s">
        <v>243</v>
      </c>
      <c r="P338" s="14" t="s">
        <v>417</v>
      </c>
      <c r="Q338" s="13">
        <v>1</v>
      </c>
      <c r="R338" s="13" t="s">
        <v>194</v>
      </c>
      <c r="S338" s="14">
        <v>55400</v>
      </c>
      <c r="T338" s="14">
        <v>389023.22</v>
      </c>
      <c r="U338" s="14">
        <v>11670.696599999999</v>
      </c>
      <c r="V338" s="14"/>
    </row>
    <row r="339" spans="1:22" ht="18" customHeight="1" x14ac:dyDescent="0.3">
      <c r="A339" s="123" t="s">
        <v>87</v>
      </c>
      <c r="B339" s="125" t="s">
        <v>1139</v>
      </c>
      <c r="C339" s="131">
        <v>50</v>
      </c>
      <c r="D339" s="122" t="s">
        <v>1141</v>
      </c>
      <c r="E339" s="130" t="s">
        <v>86</v>
      </c>
      <c r="F339" s="127" t="s">
        <v>1004</v>
      </c>
      <c r="G339" s="123" t="s">
        <v>896</v>
      </c>
      <c r="I339" s="120" t="s">
        <v>196</v>
      </c>
      <c r="J339" s="120"/>
      <c r="K339" s="120"/>
      <c r="L339" s="135"/>
      <c r="N339" s="13" t="s">
        <v>657</v>
      </c>
      <c r="O339" s="14" t="s">
        <v>243</v>
      </c>
      <c r="P339" s="14" t="s">
        <v>421</v>
      </c>
      <c r="Q339" s="13">
        <v>1</v>
      </c>
      <c r="R339" s="13" t="s">
        <v>194</v>
      </c>
      <c r="S339" s="14">
        <v>55400</v>
      </c>
      <c r="T339" s="14">
        <v>426090.82000000007</v>
      </c>
      <c r="U339" s="14">
        <v>12782.724600000001</v>
      </c>
      <c r="V339" s="14"/>
    </row>
    <row r="340" spans="1:22" ht="18" customHeight="1" x14ac:dyDescent="0.3">
      <c r="A340" s="123" t="s">
        <v>89</v>
      </c>
      <c r="B340" s="125" t="s">
        <v>1139</v>
      </c>
      <c r="C340" s="131">
        <v>65</v>
      </c>
      <c r="D340" s="122" t="s">
        <v>1141</v>
      </c>
      <c r="E340" s="130" t="s">
        <v>88</v>
      </c>
      <c r="F340" s="127" t="s">
        <v>1004</v>
      </c>
      <c r="G340" s="123" t="s">
        <v>896</v>
      </c>
      <c r="I340" s="120" t="s">
        <v>196</v>
      </c>
      <c r="J340" s="120"/>
      <c r="K340" s="120"/>
      <c r="L340" s="135"/>
      <c r="N340" s="13" t="s">
        <v>658</v>
      </c>
      <c r="O340" s="14" t="s">
        <v>243</v>
      </c>
      <c r="P340" s="14" t="s">
        <v>423</v>
      </c>
      <c r="Q340" s="13">
        <v>1</v>
      </c>
      <c r="R340" s="13" t="s">
        <v>194</v>
      </c>
      <c r="S340" s="14">
        <v>63800</v>
      </c>
      <c r="T340" s="14">
        <v>458395.52</v>
      </c>
      <c r="U340" s="14">
        <v>13751.865599999999</v>
      </c>
      <c r="V340" s="14"/>
    </row>
    <row r="341" spans="1:22" ht="18" customHeight="1" x14ac:dyDescent="0.3">
      <c r="A341" s="123" t="s">
        <v>91</v>
      </c>
      <c r="B341" s="125" t="s">
        <v>1139</v>
      </c>
      <c r="C341" s="131">
        <v>80</v>
      </c>
      <c r="D341" s="122" t="s">
        <v>1141</v>
      </c>
      <c r="E341" s="130" t="s">
        <v>90</v>
      </c>
      <c r="F341" s="127" t="s">
        <v>1004</v>
      </c>
      <c r="G341" s="123" t="s">
        <v>896</v>
      </c>
      <c r="I341" s="120" t="s">
        <v>197</v>
      </c>
      <c r="J341" s="120"/>
      <c r="K341" s="120"/>
      <c r="L341" s="135"/>
      <c r="N341" s="13" t="s">
        <v>659</v>
      </c>
      <c r="O341" s="14" t="s">
        <v>243</v>
      </c>
      <c r="P341" s="14" t="s">
        <v>425</v>
      </c>
      <c r="Q341" s="13">
        <v>1</v>
      </c>
      <c r="R341" s="13" t="s">
        <v>194</v>
      </c>
      <c r="S341" s="14" t="s">
        <v>660</v>
      </c>
      <c r="T341" s="14">
        <v>494096.3</v>
      </c>
      <c r="U341" s="14">
        <v>14822.888999999999</v>
      </c>
      <c r="V341" s="14"/>
    </row>
    <row r="342" spans="1:22" ht="18" customHeight="1" x14ac:dyDescent="0.3">
      <c r="A342" s="123" t="s">
        <v>93</v>
      </c>
      <c r="B342" s="125" t="s">
        <v>1139</v>
      </c>
      <c r="C342" s="131">
        <v>100</v>
      </c>
      <c r="D342" s="122" t="s">
        <v>1141</v>
      </c>
      <c r="E342" s="130" t="s">
        <v>92</v>
      </c>
      <c r="F342" s="127" t="s">
        <v>1004</v>
      </c>
      <c r="G342" s="123" t="s">
        <v>896</v>
      </c>
      <c r="I342" s="120" t="s">
        <v>198</v>
      </c>
      <c r="J342" s="120"/>
      <c r="K342" s="120"/>
      <c r="L342" s="135"/>
      <c r="N342" s="13" t="s">
        <v>661</v>
      </c>
      <c r="O342" s="14" t="s">
        <v>243</v>
      </c>
      <c r="P342" s="14" t="s">
        <v>427</v>
      </c>
      <c r="Q342" s="13">
        <v>1</v>
      </c>
      <c r="R342" s="13" t="s">
        <v>194</v>
      </c>
      <c r="S342" s="14">
        <v>72200</v>
      </c>
      <c r="T342" s="14">
        <v>534207.79</v>
      </c>
      <c r="U342" s="14">
        <v>16026.233700000001</v>
      </c>
      <c r="V342" s="14"/>
    </row>
    <row r="343" spans="1:22" ht="18" customHeight="1" x14ac:dyDescent="0.3">
      <c r="A343" s="123" t="s">
        <v>95</v>
      </c>
      <c r="B343" s="125" t="s">
        <v>1139</v>
      </c>
      <c r="C343" s="131">
        <v>125</v>
      </c>
      <c r="D343" s="122" t="s">
        <v>1141</v>
      </c>
      <c r="E343" s="130" t="s">
        <v>94</v>
      </c>
      <c r="F343" s="127" t="s">
        <v>1004</v>
      </c>
      <c r="G343" s="123" t="s">
        <v>896</v>
      </c>
      <c r="I343" s="120" t="s">
        <v>199</v>
      </c>
      <c r="J343" s="120"/>
      <c r="K343" s="120"/>
      <c r="L343" s="135"/>
      <c r="N343" s="13" t="s">
        <v>662</v>
      </c>
      <c r="O343" s="14" t="s">
        <v>243</v>
      </c>
      <c r="P343" s="14" t="s">
        <v>429</v>
      </c>
      <c r="Q343" s="13">
        <v>1</v>
      </c>
      <c r="R343" s="13" t="s">
        <v>194</v>
      </c>
      <c r="S343" s="14">
        <v>72200</v>
      </c>
      <c r="T343" s="14">
        <v>582478.26</v>
      </c>
      <c r="U343" s="14">
        <v>17474.3478</v>
      </c>
      <c r="V343" s="14"/>
    </row>
    <row r="344" spans="1:22" ht="18" customHeight="1" x14ac:dyDescent="0.3">
      <c r="A344" s="123" t="s">
        <v>97</v>
      </c>
      <c r="B344" s="125" t="s">
        <v>1139</v>
      </c>
      <c r="C344" s="131">
        <v>150</v>
      </c>
      <c r="D344" s="122" t="s">
        <v>1141</v>
      </c>
      <c r="E344" s="130" t="s">
        <v>96</v>
      </c>
      <c r="F344" s="127" t="s">
        <v>1004</v>
      </c>
      <c r="G344" s="123" t="s">
        <v>896</v>
      </c>
      <c r="I344" s="120" t="s">
        <v>200</v>
      </c>
      <c r="J344" s="120"/>
      <c r="K344" s="120"/>
      <c r="L344" s="135"/>
      <c r="N344" s="13" t="s">
        <v>663</v>
      </c>
      <c r="O344" s="14" t="s">
        <v>243</v>
      </c>
      <c r="P344" s="14" t="s">
        <v>431</v>
      </c>
      <c r="Q344" s="13">
        <v>1</v>
      </c>
      <c r="R344" s="13" t="s">
        <v>194</v>
      </c>
      <c r="S344" s="14">
        <v>80600</v>
      </c>
      <c r="T344" s="14">
        <v>640936.97</v>
      </c>
      <c r="U344" s="14">
        <v>19228.109099999998</v>
      </c>
      <c r="V344" s="14"/>
    </row>
    <row r="345" spans="1:22" ht="18" customHeight="1" x14ac:dyDescent="0.3">
      <c r="A345" s="123" t="s">
        <v>99</v>
      </c>
      <c r="B345" s="125" t="s">
        <v>1139</v>
      </c>
      <c r="C345" s="131">
        <v>200</v>
      </c>
      <c r="D345" s="122" t="s">
        <v>1141</v>
      </c>
      <c r="E345" s="130" t="s">
        <v>98</v>
      </c>
      <c r="F345" s="127" t="s">
        <v>1004</v>
      </c>
      <c r="G345" s="123" t="s">
        <v>896</v>
      </c>
      <c r="I345" s="120" t="s">
        <v>201</v>
      </c>
      <c r="J345" s="120"/>
      <c r="K345" s="120"/>
      <c r="L345" s="135"/>
      <c r="N345" s="13" t="s">
        <v>664</v>
      </c>
      <c r="O345" s="14" t="s">
        <v>243</v>
      </c>
      <c r="P345" s="14" t="s">
        <v>665</v>
      </c>
      <c r="Q345" s="13">
        <v>1</v>
      </c>
      <c r="R345" s="13" t="s">
        <v>194</v>
      </c>
      <c r="S345" s="14" t="s">
        <v>660</v>
      </c>
      <c r="T345" s="14">
        <v>666097.31999999995</v>
      </c>
      <c r="U345" s="14">
        <v>19982.919599999997</v>
      </c>
      <c r="V345" s="14"/>
    </row>
    <row r="346" spans="1:22" ht="18" customHeight="1" x14ac:dyDescent="0.3">
      <c r="A346" s="123" t="s">
        <v>1120</v>
      </c>
      <c r="B346" s="125" t="s">
        <v>1139</v>
      </c>
      <c r="C346" s="131">
        <v>250</v>
      </c>
      <c r="D346" s="122" t="s">
        <v>1141</v>
      </c>
      <c r="E346" s="130" t="s">
        <v>1145</v>
      </c>
      <c r="F346" s="127" t="s">
        <v>1004</v>
      </c>
      <c r="G346" s="123" t="s">
        <v>896</v>
      </c>
      <c r="I346" s="120" t="s">
        <v>549</v>
      </c>
      <c r="J346" s="120"/>
      <c r="K346" s="120"/>
      <c r="L346" s="135"/>
      <c r="N346" s="13" t="s">
        <v>666</v>
      </c>
      <c r="O346" s="14" t="s">
        <v>243</v>
      </c>
      <c r="P346" s="14" t="s">
        <v>501</v>
      </c>
      <c r="Q346" s="13">
        <v>1</v>
      </c>
      <c r="R346" s="13" t="s">
        <v>194</v>
      </c>
      <c r="S346" s="14">
        <v>89000</v>
      </c>
      <c r="T346" s="14">
        <v>678335.79</v>
      </c>
      <c r="U346" s="14">
        <v>20350.073700000001</v>
      </c>
      <c r="V346" s="14"/>
    </row>
    <row r="347" spans="1:22" ht="18" customHeight="1" x14ac:dyDescent="0.3">
      <c r="A347" s="123" t="s">
        <v>101</v>
      </c>
      <c r="B347" s="125" t="s">
        <v>1139</v>
      </c>
      <c r="C347" s="131">
        <v>300</v>
      </c>
      <c r="D347" s="122" t="s">
        <v>1141</v>
      </c>
      <c r="E347" s="130" t="s">
        <v>100</v>
      </c>
      <c r="F347" s="127" t="s">
        <v>1004</v>
      </c>
      <c r="G347" s="123" t="s">
        <v>896</v>
      </c>
      <c r="I347" s="120" t="s">
        <v>202</v>
      </c>
      <c r="J347" s="120"/>
      <c r="K347" s="120"/>
      <c r="L347" s="135"/>
      <c r="N347" s="13" t="s">
        <v>667</v>
      </c>
      <c r="O347" s="14" t="s">
        <v>243</v>
      </c>
      <c r="P347" s="14" t="s">
        <v>542</v>
      </c>
      <c r="Q347" s="13">
        <v>1</v>
      </c>
      <c r="R347" s="13" t="s">
        <v>194</v>
      </c>
      <c r="S347" s="14">
        <v>97400</v>
      </c>
      <c r="T347" s="14">
        <v>716065.83</v>
      </c>
      <c r="U347" s="14">
        <v>21481.974899999997</v>
      </c>
      <c r="V347" s="14"/>
    </row>
    <row r="348" spans="1:22" ht="18" customHeight="1" x14ac:dyDescent="0.3">
      <c r="A348" s="123" t="s">
        <v>1121</v>
      </c>
      <c r="B348" s="125" t="s">
        <v>1139</v>
      </c>
      <c r="C348" s="131">
        <v>350</v>
      </c>
      <c r="D348" s="122" t="s">
        <v>1141</v>
      </c>
      <c r="E348" s="130" t="s">
        <v>1146</v>
      </c>
      <c r="F348" s="127" t="s">
        <v>1004</v>
      </c>
      <c r="G348" s="123" t="s">
        <v>896</v>
      </c>
      <c r="I348" s="120" t="s">
        <v>550</v>
      </c>
      <c r="J348" s="120"/>
      <c r="K348" s="120"/>
      <c r="L348" s="135"/>
      <c r="N348" s="13" t="s">
        <v>668</v>
      </c>
      <c r="O348" s="14" t="s">
        <v>243</v>
      </c>
      <c r="P348" s="14" t="s">
        <v>544</v>
      </c>
      <c r="Q348" s="13">
        <v>1</v>
      </c>
      <c r="R348" s="13" t="s">
        <v>194</v>
      </c>
      <c r="S348" s="14">
        <v>105800</v>
      </c>
      <c r="T348" s="14">
        <v>764336.3</v>
      </c>
      <c r="U348" s="14">
        <v>22930.089</v>
      </c>
      <c r="V348" s="14"/>
    </row>
    <row r="349" spans="1:22" ht="18" customHeight="1" x14ac:dyDescent="0.3">
      <c r="A349" s="123" t="s">
        <v>1122</v>
      </c>
      <c r="B349" s="125" t="s">
        <v>1139</v>
      </c>
      <c r="C349" s="131">
        <v>400</v>
      </c>
      <c r="D349" s="122" t="s">
        <v>1141</v>
      </c>
      <c r="E349" s="130" t="s">
        <v>1147</v>
      </c>
      <c r="F349" s="127" t="s">
        <v>1004</v>
      </c>
      <c r="G349" s="123" t="s">
        <v>896</v>
      </c>
      <c r="I349" s="120" t="s">
        <v>551</v>
      </c>
      <c r="J349" s="120"/>
      <c r="K349" s="120"/>
      <c r="L349" s="135"/>
      <c r="N349" s="13" t="s">
        <v>669</v>
      </c>
      <c r="O349" s="14" t="s">
        <v>243</v>
      </c>
      <c r="P349" s="14" t="s">
        <v>670</v>
      </c>
      <c r="Q349" s="13">
        <v>1</v>
      </c>
      <c r="R349" s="13" t="s">
        <v>194</v>
      </c>
      <c r="S349" s="14" t="s">
        <v>660</v>
      </c>
      <c r="T349" s="14">
        <v>786431.79</v>
      </c>
      <c r="U349" s="14">
        <v>23592.953700000002</v>
      </c>
      <c r="V349" s="14"/>
    </row>
    <row r="350" spans="1:22" ht="18" customHeight="1" x14ac:dyDescent="0.3">
      <c r="A350" s="123" t="s">
        <v>1123</v>
      </c>
      <c r="B350" s="125" t="s">
        <v>1140</v>
      </c>
      <c r="C350" s="131">
        <v>15</v>
      </c>
      <c r="D350" s="122" t="s">
        <v>1141</v>
      </c>
      <c r="E350" s="130" t="s">
        <v>1142</v>
      </c>
      <c r="F350" s="127" t="s">
        <v>1004</v>
      </c>
      <c r="G350" s="123" t="s">
        <v>896</v>
      </c>
      <c r="I350" s="120" t="s">
        <v>195</v>
      </c>
      <c r="J350" s="120"/>
      <c r="K350" s="120"/>
      <c r="L350" s="135"/>
      <c r="N350" s="13" t="s">
        <v>671</v>
      </c>
      <c r="O350" s="14" t="s">
        <v>243</v>
      </c>
      <c r="P350" s="14" t="s">
        <v>546</v>
      </c>
      <c r="Q350" s="13">
        <v>1</v>
      </c>
      <c r="R350" s="13" t="s">
        <v>194</v>
      </c>
      <c r="S350" s="14">
        <v>114200</v>
      </c>
      <c r="T350" s="14">
        <v>806829.24</v>
      </c>
      <c r="U350" s="14">
        <v>24204.877199999999</v>
      </c>
      <c r="V350" s="14"/>
    </row>
    <row r="351" spans="1:22" ht="18" customHeight="1" x14ac:dyDescent="0.3">
      <c r="A351" s="123" t="s">
        <v>1124</v>
      </c>
      <c r="B351" s="125" t="s">
        <v>1140</v>
      </c>
      <c r="C351" s="131">
        <v>20</v>
      </c>
      <c r="D351" s="122" t="s">
        <v>1141</v>
      </c>
      <c r="E351" s="130" t="s">
        <v>82</v>
      </c>
      <c r="F351" s="127" t="s">
        <v>1004</v>
      </c>
      <c r="G351" s="123" t="s">
        <v>896</v>
      </c>
      <c r="I351" s="120" t="s">
        <v>195</v>
      </c>
      <c r="J351" s="120"/>
      <c r="K351" s="120"/>
      <c r="L351" s="135"/>
      <c r="N351" s="13" t="s">
        <v>672</v>
      </c>
      <c r="O351" s="14" t="s">
        <v>243</v>
      </c>
      <c r="P351" s="14" t="s">
        <v>548</v>
      </c>
      <c r="Q351" s="13">
        <v>1</v>
      </c>
      <c r="R351" s="13" t="s">
        <v>194</v>
      </c>
      <c r="S351" s="14">
        <v>122600</v>
      </c>
      <c r="T351" s="14">
        <v>844559.27999999991</v>
      </c>
      <c r="U351" s="14">
        <v>25336.778399999996</v>
      </c>
      <c r="V351" s="14"/>
    </row>
    <row r="352" spans="1:22" ht="18" customHeight="1" x14ac:dyDescent="0.3">
      <c r="A352" s="123" t="s">
        <v>1125</v>
      </c>
      <c r="B352" s="125" t="s">
        <v>1140</v>
      </c>
      <c r="C352" s="131">
        <v>25</v>
      </c>
      <c r="D352" s="122" t="s">
        <v>1141</v>
      </c>
      <c r="E352" s="130" t="s">
        <v>1143</v>
      </c>
      <c r="F352" s="127" t="s">
        <v>1004</v>
      </c>
      <c r="G352" s="123" t="s">
        <v>896</v>
      </c>
      <c r="I352" s="120" t="s">
        <v>195</v>
      </c>
      <c r="J352" s="120"/>
      <c r="K352" s="120"/>
      <c r="L352" s="135"/>
      <c r="N352" s="13" t="s">
        <v>236</v>
      </c>
      <c r="O352" s="14" t="s">
        <v>235</v>
      </c>
      <c r="P352" s="14" t="s">
        <v>673</v>
      </c>
      <c r="Q352" s="13">
        <v>1</v>
      </c>
      <c r="R352" s="13" t="s">
        <v>674</v>
      </c>
      <c r="S352" s="14">
        <v>0</v>
      </c>
      <c r="T352" s="14">
        <v>43488.3</v>
      </c>
      <c r="U352" s="14">
        <v>1304.6490000000001</v>
      </c>
      <c r="V352" s="14"/>
    </row>
    <row r="353" spans="1:22" ht="18" customHeight="1" x14ac:dyDescent="0.3">
      <c r="A353" s="123" t="s">
        <v>1126</v>
      </c>
      <c r="B353" s="125" t="s">
        <v>1140</v>
      </c>
      <c r="C353" s="131">
        <v>32</v>
      </c>
      <c r="D353" s="122" t="s">
        <v>1141</v>
      </c>
      <c r="E353" s="130" t="s">
        <v>84</v>
      </c>
      <c r="F353" s="127" t="s">
        <v>1004</v>
      </c>
      <c r="G353" s="123" t="s">
        <v>896</v>
      </c>
      <c r="I353" s="120" t="s">
        <v>196</v>
      </c>
      <c r="J353" s="120"/>
      <c r="K353" s="120"/>
      <c r="L353" s="135"/>
      <c r="N353" s="13" t="s">
        <v>237</v>
      </c>
      <c r="O353" s="14" t="s">
        <v>235</v>
      </c>
      <c r="P353" s="14" t="s">
        <v>675</v>
      </c>
      <c r="Q353" s="13">
        <v>1</v>
      </c>
      <c r="R353" s="13" t="s">
        <v>674</v>
      </c>
      <c r="S353" s="14">
        <v>0</v>
      </c>
      <c r="T353" s="14">
        <v>57728.686000000002</v>
      </c>
      <c r="U353" s="14">
        <v>1731.86058</v>
      </c>
      <c r="V353" s="14"/>
    </row>
    <row r="354" spans="1:22" ht="18" customHeight="1" x14ac:dyDescent="0.3">
      <c r="A354" s="123" t="s">
        <v>1127</v>
      </c>
      <c r="B354" s="125" t="s">
        <v>1140</v>
      </c>
      <c r="C354" s="131">
        <v>40</v>
      </c>
      <c r="D354" s="122" t="s">
        <v>1141</v>
      </c>
      <c r="E354" s="130" t="s">
        <v>1144</v>
      </c>
      <c r="F354" s="127" t="s">
        <v>1004</v>
      </c>
      <c r="G354" s="123" t="s">
        <v>896</v>
      </c>
      <c r="I354" s="120" t="s">
        <v>196</v>
      </c>
      <c r="J354" s="120"/>
      <c r="K354" s="120"/>
      <c r="L354" s="135"/>
      <c r="N354" s="13" t="s">
        <v>238</v>
      </c>
      <c r="O354" s="14" t="s">
        <v>235</v>
      </c>
      <c r="P354" s="14" t="s">
        <v>676</v>
      </c>
      <c r="Q354" s="13">
        <v>1</v>
      </c>
      <c r="R354" s="13" t="s">
        <v>674</v>
      </c>
      <c r="S354" s="14">
        <v>0</v>
      </c>
      <c r="T354" s="14">
        <v>72190.578000000009</v>
      </c>
      <c r="U354" s="14">
        <v>2165.7173400000001</v>
      </c>
      <c r="V354" s="14"/>
    </row>
    <row r="355" spans="1:22" ht="18" customHeight="1" x14ac:dyDescent="0.3">
      <c r="A355" s="123" t="s">
        <v>1128</v>
      </c>
      <c r="B355" s="125" t="s">
        <v>1140</v>
      </c>
      <c r="C355" s="131">
        <v>50</v>
      </c>
      <c r="D355" s="122" t="s">
        <v>1141</v>
      </c>
      <c r="E355" s="130" t="s">
        <v>86</v>
      </c>
      <c r="F355" s="127" t="s">
        <v>1004</v>
      </c>
      <c r="G355" s="123" t="s">
        <v>896</v>
      </c>
      <c r="I355" s="120" t="s">
        <v>196</v>
      </c>
      <c r="J355" s="120"/>
      <c r="K355" s="120"/>
      <c r="L355" s="135"/>
      <c r="N355" s="13" t="s">
        <v>677</v>
      </c>
      <c r="O355" s="14" t="s">
        <v>235</v>
      </c>
      <c r="P355" s="14" t="s">
        <v>678</v>
      </c>
      <c r="Q355" s="13">
        <v>1</v>
      </c>
      <c r="R355" s="13" t="s">
        <v>674</v>
      </c>
      <c r="S355" s="14">
        <v>0</v>
      </c>
      <c r="T355" s="14">
        <v>95674.260000000009</v>
      </c>
      <c r="U355" s="14">
        <v>2870.2278000000001</v>
      </c>
      <c r="V355" s="14"/>
    </row>
    <row r="356" spans="1:22" ht="18" customHeight="1" x14ac:dyDescent="0.3">
      <c r="A356" s="123" t="s">
        <v>1129</v>
      </c>
      <c r="B356" s="125" t="s">
        <v>1140</v>
      </c>
      <c r="C356" s="131">
        <v>65</v>
      </c>
      <c r="D356" s="122" t="s">
        <v>1141</v>
      </c>
      <c r="E356" s="130" t="s">
        <v>88</v>
      </c>
      <c r="F356" s="127" t="s">
        <v>1004</v>
      </c>
      <c r="G356" s="123" t="s">
        <v>896</v>
      </c>
      <c r="I356" s="120" t="s">
        <v>196</v>
      </c>
      <c r="J356" s="120"/>
      <c r="K356" s="120"/>
      <c r="L356" s="135"/>
      <c r="N356" s="13" t="s">
        <v>239</v>
      </c>
      <c r="O356" s="14" t="s">
        <v>235</v>
      </c>
      <c r="P356" s="14" t="s">
        <v>679</v>
      </c>
      <c r="Q356" s="13">
        <v>1</v>
      </c>
      <c r="R356" s="13" t="s">
        <v>674</v>
      </c>
      <c r="S356" s="14">
        <v>0</v>
      </c>
      <c r="T356" s="14">
        <v>104371.92</v>
      </c>
      <c r="U356" s="14">
        <v>3131.1576</v>
      </c>
      <c r="V356" s="14"/>
    </row>
    <row r="357" spans="1:22" ht="18" customHeight="1" x14ac:dyDescent="0.3">
      <c r="A357" s="123" t="s">
        <v>1130</v>
      </c>
      <c r="B357" s="125" t="s">
        <v>1140</v>
      </c>
      <c r="C357" s="131">
        <v>80</v>
      </c>
      <c r="D357" s="122" t="s">
        <v>1141</v>
      </c>
      <c r="E357" s="130" t="s">
        <v>90</v>
      </c>
      <c r="F357" s="127" t="s">
        <v>1004</v>
      </c>
      <c r="G357" s="123" t="s">
        <v>896</v>
      </c>
      <c r="I357" s="120" t="s">
        <v>197</v>
      </c>
      <c r="J357" s="120"/>
      <c r="K357" s="120"/>
      <c r="L357" s="135"/>
      <c r="N357" s="13" t="s">
        <v>240</v>
      </c>
      <c r="O357" s="14" t="s">
        <v>235</v>
      </c>
      <c r="P357" s="14" t="s">
        <v>680</v>
      </c>
      <c r="Q357" s="13">
        <v>1</v>
      </c>
      <c r="R357" s="13" t="s">
        <v>674</v>
      </c>
      <c r="S357" s="14">
        <v>0</v>
      </c>
      <c r="T357" s="14">
        <v>124376.53799999999</v>
      </c>
      <c r="U357" s="14">
        <v>3731.2961399999995</v>
      </c>
      <c r="V357" s="14"/>
    </row>
    <row r="358" spans="1:22" ht="18" customHeight="1" x14ac:dyDescent="0.3">
      <c r="A358" s="123" t="s">
        <v>1131</v>
      </c>
      <c r="B358" s="125" t="s">
        <v>1140</v>
      </c>
      <c r="C358" s="131">
        <v>100</v>
      </c>
      <c r="D358" s="122" t="s">
        <v>1141</v>
      </c>
      <c r="E358" s="130" t="s">
        <v>92</v>
      </c>
      <c r="F358" s="127" t="s">
        <v>1004</v>
      </c>
      <c r="G358" s="123" t="s">
        <v>896</v>
      </c>
      <c r="I358" s="120" t="s">
        <v>198</v>
      </c>
      <c r="J358" s="120"/>
      <c r="K358" s="120"/>
      <c r="L358" s="135"/>
      <c r="N358" s="13" t="s">
        <v>241</v>
      </c>
      <c r="O358" s="14" t="s">
        <v>235</v>
      </c>
      <c r="P358" s="14" t="s">
        <v>681</v>
      </c>
      <c r="Q358" s="13">
        <v>1</v>
      </c>
      <c r="R358" s="13" t="s">
        <v>674</v>
      </c>
      <c r="S358" s="14">
        <v>0</v>
      </c>
      <c r="T358" s="14">
        <v>136007.62599999999</v>
      </c>
      <c r="U358" s="14">
        <v>4080.2287799999995</v>
      </c>
      <c r="V358" s="14"/>
    </row>
    <row r="359" spans="1:22" ht="18" customHeight="1" x14ac:dyDescent="0.3">
      <c r="A359" s="123" t="s">
        <v>1132</v>
      </c>
      <c r="B359" s="125" t="s">
        <v>1140</v>
      </c>
      <c r="C359" s="131">
        <v>125</v>
      </c>
      <c r="D359" s="122" t="s">
        <v>1141</v>
      </c>
      <c r="E359" s="130" t="s">
        <v>94</v>
      </c>
      <c r="F359" s="127" t="s">
        <v>1004</v>
      </c>
      <c r="G359" s="123" t="s">
        <v>896</v>
      </c>
      <c r="I359" s="120" t="s">
        <v>199</v>
      </c>
      <c r="J359" s="120"/>
      <c r="K359" s="120"/>
      <c r="L359" s="135"/>
      <c r="N359" s="13" t="s">
        <v>242</v>
      </c>
      <c r="O359" s="14" t="s">
        <v>235</v>
      </c>
      <c r="P359" s="14" t="s">
        <v>682</v>
      </c>
      <c r="Q359" s="13">
        <v>1</v>
      </c>
      <c r="R359" s="13" t="s">
        <v>674</v>
      </c>
      <c r="S359" s="14">
        <v>0</v>
      </c>
      <c r="T359" s="14">
        <v>176886.628</v>
      </c>
      <c r="U359" s="14">
        <v>5306.5988399999997</v>
      </c>
      <c r="V359" s="14"/>
    </row>
    <row r="360" spans="1:22" ht="18" customHeight="1" x14ac:dyDescent="0.3">
      <c r="A360" s="123" t="s">
        <v>1133</v>
      </c>
      <c r="B360" s="125" t="s">
        <v>1140</v>
      </c>
      <c r="C360" s="131">
        <v>150</v>
      </c>
      <c r="D360" s="122" t="s">
        <v>1141</v>
      </c>
      <c r="E360" s="130" t="s">
        <v>96</v>
      </c>
      <c r="F360" s="127" t="s">
        <v>1004</v>
      </c>
      <c r="G360" s="123" t="s">
        <v>896</v>
      </c>
      <c r="I360" s="120" t="s">
        <v>200</v>
      </c>
      <c r="J360" s="120"/>
      <c r="K360" s="120"/>
      <c r="L360" s="135"/>
      <c r="N360" s="13" t="s">
        <v>683</v>
      </c>
      <c r="O360" s="14" t="s">
        <v>235</v>
      </c>
      <c r="P360" s="14" t="s">
        <v>684</v>
      </c>
      <c r="Q360" s="13">
        <v>1</v>
      </c>
      <c r="R360" s="13" t="s">
        <v>674</v>
      </c>
      <c r="S360" s="14">
        <v>0</v>
      </c>
      <c r="T360" s="14">
        <v>226139.16</v>
      </c>
      <c r="U360" s="14">
        <v>6784.1747999999998</v>
      </c>
      <c r="V360" s="14"/>
    </row>
    <row r="361" spans="1:22" ht="18" customHeight="1" x14ac:dyDescent="0.3">
      <c r="A361" s="123" t="s">
        <v>1134</v>
      </c>
      <c r="B361" s="125" t="s">
        <v>1140</v>
      </c>
      <c r="C361" s="131">
        <v>200</v>
      </c>
      <c r="D361" s="122" t="s">
        <v>1141</v>
      </c>
      <c r="E361" s="130" t="s">
        <v>98</v>
      </c>
      <c r="F361" s="127" t="s">
        <v>1004</v>
      </c>
      <c r="G361" s="123" t="s">
        <v>896</v>
      </c>
      <c r="I361" s="120" t="s">
        <v>201</v>
      </c>
      <c r="J361" s="120"/>
      <c r="K361" s="120"/>
      <c r="L361" s="135"/>
      <c r="N361" s="13" t="s">
        <v>685</v>
      </c>
      <c r="O361" s="14" t="s">
        <v>235</v>
      </c>
      <c r="P361" s="14" t="s">
        <v>686</v>
      </c>
      <c r="Q361" s="13">
        <v>1</v>
      </c>
      <c r="R361" s="13" t="s">
        <v>674</v>
      </c>
      <c r="S361" s="14">
        <v>0</v>
      </c>
      <c r="T361" s="14">
        <v>280934.41800000001</v>
      </c>
      <c r="U361" s="14">
        <v>8428.0325400000002</v>
      </c>
      <c r="V361" s="14"/>
    </row>
    <row r="362" spans="1:22" ht="18" customHeight="1" x14ac:dyDescent="0.3">
      <c r="A362" s="123" t="s">
        <v>1135</v>
      </c>
      <c r="B362" s="125" t="s">
        <v>1140</v>
      </c>
      <c r="C362" s="131">
        <v>250</v>
      </c>
      <c r="D362" s="122" t="s">
        <v>1141</v>
      </c>
      <c r="E362" s="130" t="s">
        <v>1145</v>
      </c>
      <c r="F362" s="127" t="s">
        <v>1004</v>
      </c>
      <c r="G362" s="123" t="s">
        <v>896</v>
      </c>
      <c r="I362" s="120" t="s">
        <v>549</v>
      </c>
      <c r="J362" s="120"/>
      <c r="K362" s="120"/>
      <c r="L362" s="135"/>
      <c r="N362" s="13" t="s">
        <v>687</v>
      </c>
      <c r="O362" s="14" t="s">
        <v>235</v>
      </c>
      <c r="P362" s="14" t="s">
        <v>688</v>
      </c>
      <c r="Q362" s="13">
        <v>1</v>
      </c>
      <c r="R362" s="13" t="s">
        <v>674</v>
      </c>
      <c r="S362" s="14">
        <v>0</v>
      </c>
      <c r="T362" s="14">
        <v>324422.71799999999</v>
      </c>
      <c r="U362" s="14">
        <v>9732.6815399999996</v>
      </c>
      <c r="V362" s="14"/>
    </row>
    <row r="363" spans="1:22" ht="18" customHeight="1" x14ac:dyDescent="0.3">
      <c r="A363" s="123" t="s">
        <v>1136</v>
      </c>
      <c r="B363" s="125" t="s">
        <v>1140</v>
      </c>
      <c r="C363" s="131">
        <v>300</v>
      </c>
      <c r="D363" s="122" t="s">
        <v>1141</v>
      </c>
      <c r="E363" s="130" t="s">
        <v>100</v>
      </c>
      <c r="F363" s="127" t="s">
        <v>1004</v>
      </c>
      <c r="G363" s="123" t="s">
        <v>896</v>
      </c>
      <c r="I363" s="120" t="s">
        <v>202</v>
      </c>
      <c r="J363" s="120"/>
      <c r="K363" s="120"/>
      <c r="L363" s="135"/>
      <c r="N363" s="13" t="s">
        <v>689</v>
      </c>
      <c r="O363" s="14" t="s">
        <v>235</v>
      </c>
      <c r="P363" s="14" t="s">
        <v>690</v>
      </c>
      <c r="Q363" s="13">
        <v>1</v>
      </c>
      <c r="R363" s="13" t="s">
        <v>674</v>
      </c>
      <c r="S363" s="14">
        <v>0</v>
      </c>
      <c r="T363" s="14">
        <v>373999.38</v>
      </c>
      <c r="U363" s="14">
        <v>11219.981400000001</v>
      </c>
      <c r="V363" s="14"/>
    </row>
    <row r="364" spans="1:22" ht="18" customHeight="1" x14ac:dyDescent="0.3">
      <c r="A364" s="123" t="s">
        <v>1137</v>
      </c>
      <c r="B364" s="125" t="s">
        <v>1140</v>
      </c>
      <c r="C364" s="131">
        <v>350</v>
      </c>
      <c r="D364" s="122" t="s">
        <v>1141</v>
      </c>
      <c r="E364" s="130" t="s">
        <v>1146</v>
      </c>
      <c r="F364" s="127" t="s">
        <v>1004</v>
      </c>
      <c r="G364" s="123" t="s">
        <v>896</v>
      </c>
      <c r="I364" s="120" t="s">
        <v>550</v>
      </c>
      <c r="J364" s="120"/>
      <c r="K364" s="120"/>
      <c r="L364" s="135"/>
      <c r="N364" s="13" t="s">
        <v>691</v>
      </c>
      <c r="O364" s="14" t="s">
        <v>235</v>
      </c>
      <c r="P364" s="14" t="s">
        <v>692</v>
      </c>
      <c r="Q364" s="13">
        <v>1</v>
      </c>
      <c r="R364" s="13" t="s">
        <v>674</v>
      </c>
      <c r="S364" s="14">
        <v>0</v>
      </c>
      <c r="T364" s="14">
        <v>417487.68</v>
      </c>
      <c r="U364" s="14">
        <v>12524.6304</v>
      </c>
      <c r="V364" s="14"/>
    </row>
    <row r="365" spans="1:22" ht="18" customHeight="1" x14ac:dyDescent="0.3">
      <c r="A365" s="123" t="s">
        <v>1138</v>
      </c>
      <c r="B365" s="125" t="s">
        <v>1140</v>
      </c>
      <c r="C365" s="131">
        <v>400</v>
      </c>
      <c r="D365" s="122" t="s">
        <v>1141</v>
      </c>
      <c r="E365" s="130" t="s">
        <v>1147</v>
      </c>
      <c r="F365" s="127" t="s">
        <v>1004</v>
      </c>
      <c r="G365" s="123" t="s">
        <v>896</v>
      </c>
      <c r="I365" s="120" t="s">
        <v>551</v>
      </c>
      <c r="J365" s="120"/>
      <c r="K365" s="120"/>
      <c r="L365" s="135"/>
      <c r="N365" s="13" t="s">
        <v>693</v>
      </c>
      <c r="O365" s="14" t="s">
        <v>235</v>
      </c>
      <c r="P365" s="14" t="s">
        <v>694</v>
      </c>
      <c r="Q365" s="13">
        <v>1</v>
      </c>
      <c r="R365" s="13" t="s">
        <v>674</v>
      </c>
      <c r="S365" s="14">
        <v>0</v>
      </c>
      <c r="T365" s="14">
        <v>478371.3</v>
      </c>
      <c r="U365" s="14">
        <v>14351.138999999999</v>
      </c>
      <c r="V365" s="14"/>
    </row>
    <row r="366" spans="1:22" ht="18" customHeight="1" x14ac:dyDescent="0.3">
      <c r="A366" s="123" t="s">
        <v>1492</v>
      </c>
      <c r="B366" s="125" t="s">
        <v>1139</v>
      </c>
      <c r="C366" s="131">
        <v>15</v>
      </c>
      <c r="D366" s="122" t="s">
        <v>1517</v>
      </c>
      <c r="E366" s="130" t="s">
        <v>1518</v>
      </c>
      <c r="F366" s="127" t="s">
        <v>1527</v>
      </c>
      <c r="G366" s="123" t="s">
        <v>896</v>
      </c>
      <c r="I366" s="120" t="s">
        <v>195</v>
      </c>
      <c r="J366" s="120"/>
      <c r="K366" s="120"/>
      <c r="L366" s="135"/>
      <c r="N366" s="13" t="s">
        <v>695</v>
      </c>
      <c r="O366" s="14" t="s">
        <v>235</v>
      </c>
      <c r="P366" s="14" t="s">
        <v>696</v>
      </c>
      <c r="Q366" s="13">
        <v>1</v>
      </c>
      <c r="R366" s="13" t="s">
        <v>674</v>
      </c>
      <c r="S366" s="14">
        <v>0</v>
      </c>
      <c r="T366" s="14">
        <v>547952.57999999996</v>
      </c>
      <c r="U366" s="14">
        <v>16438.577399999998</v>
      </c>
      <c r="V366" s="14"/>
    </row>
    <row r="367" spans="1:22" ht="18" customHeight="1" x14ac:dyDescent="0.3">
      <c r="A367" s="123" t="s">
        <v>104</v>
      </c>
      <c r="B367" s="125" t="s">
        <v>1139</v>
      </c>
      <c r="C367" s="131">
        <v>20</v>
      </c>
      <c r="D367" s="122" t="s">
        <v>1517</v>
      </c>
      <c r="E367" s="130" t="s">
        <v>103</v>
      </c>
      <c r="F367" s="127" t="s">
        <v>1116</v>
      </c>
      <c r="G367" s="123" t="s">
        <v>896</v>
      </c>
      <c r="I367" s="120" t="s">
        <v>195</v>
      </c>
      <c r="J367" s="120"/>
      <c r="K367" s="120"/>
      <c r="L367" s="135"/>
      <c r="N367" s="13" t="s">
        <v>234</v>
      </c>
      <c r="O367" s="14" t="s">
        <v>233</v>
      </c>
      <c r="P367" s="14" t="s">
        <v>697</v>
      </c>
      <c r="Q367" s="13">
        <v>1</v>
      </c>
      <c r="R367" s="13" t="s">
        <v>674</v>
      </c>
      <c r="S367" s="14">
        <v>0</v>
      </c>
      <c r="T367" s="14">
        <v>28702.278000000002</v>
      </c>
      <c r="U367" s="14">
        <v>861.06834000000003</v>
      </c>
      <c r="V367" s="14"/>
    </row>
    <row r="368" spans="1:22" ht="18" customHeight="1" x14ac:dyDescent="0.3">
      <c r="A368" s="123" t="s">
        <v>1493</v>
      </c>
      <c r="B368" s="125" t="s">
        <v>1139</v>
      </c>
      <c r="C368" s="131">
        <v>25</v>
      </c>
      <c r="D368" s="122" t="s">
        <v>1517</v>
      </c>
      <c r="E368" s="130" t="s">
        <v>1519</v>
      </c>
      <c r="F368" s="127" t="s">
        <v>1116</v>
      </c>
      <c r="G368" s="123" t="s">
        <v>896</v>
      </c>
      <c r="I368" s="120" t="s">
        <v>195</v>
      </c>
      <c r="J368" s="120"/>
      <c r="K368" s="120"/>
      <c r="L368" s="135"/>
      <c r="N368" s="13" t="s">
        <v>698</v>
      </c>
      <c r="O368" s="14" t="s">
        <v>233</v>
      </c>
      <c r="P368" s="14" t="s">
        <v>699</v>
      </c>
      <c r="Q368" s="13">
        <v>1</v>
      </c>
      <c r="R368" s="13" t="s">
        <v>674</v>
      </c>
      <c r="S368" s="14">
        <v>0</v>
      </c>
      <c r="T368" s="14">
        <v>28702.278000000002</v>
      </c>
      <c r="U368" s="14">
        <v>861.06834000000003</v>
      </c>
      <c r="V368" s="14"/>
    </row>
    <row r="369" spans="1:22" ht="18" customHeight="1" x14ac:dyDescent="0.3">
      <c r="A369" s="123" t="s">
        <v>106</v>
      </c>
      <c r="B369" s="125" t="s">
        <v>1139</v>
      </c>
      <c r="C369" s="131">
        <v>32</v>
      </c>
      <c r="D369" s="122" t="s">
        <v>1517</v>
      </c>
      <c r="E369" s="130" t="s">
        <v>105</v>
      </c>
      <c r="F369" s="127" t="s">
        <v>1116</v>
      </c>
      <c r="G369" s="123" t="s">
        <v>896</v>
      </c>
      <c r="I369" s="120" t="s">
        <v>196</v>
      </c>
      <c r="J369" s="120"/>
      <c r="K369" s="120"/>
      <c r="L369" s="135"/>
      <c r="N369" s="13" t="s">
        <v>700</v>
      </c>
      <c r="O369" s="14" t="s">
        <v>233</v>
      </c>
      <c r="P369" s="14" t="s">
        <v>701</v>
      </c>
      <c r="Q369" s="13">
        <v>1</v>
      </c>
      <c r="R369" s="13" t="s">
        <v>674</v>
      </c>
      <c r="S369" s="14">
        <v>0</v>
      </c>
      <c r="T369" s="14">
        <v>37399.937999999995</v>
      </c>
      <c r="U369" s="14">
        <v>1121.9981399999997</v>
      </c>
      <c r="V369" s="14"/>
    </row>
    <row r="370" spans="1:22" ht="18" customHeight="1" x14ac:dyDescent="0.3">
      <c r="A370" s="123" t="s">
        <v>1494</v>
      </c>
      <c r="B370" s="125" t="s">
        <v>1139</v>
      </c>
      <c r="C370" s="131">
        <v>40</v>
      </c>
      <c r="D370" s="122" t="s">
        <v>1517</v>
      </c>
      <c r="E370" s="130" t="s">
        <v>1520</v>
      </c>
      <c r="F370" s="127" t="s">
        <v>1116</v>
      </c>
      <c r="G370" s="123" t="s">
        <v>896</v>
      </c>
      <c r="I370" s="120" t="s">
        <v>196</v>
      </c>
      <c r="J370" s="120"/>
      <c r="K370" s="120"/>
      <c r="L370" s="135"/>
      <c r="N370" s="13" t="s">
        <v>702</v>
      </c>
      <c r="O370" s="14" t="s">
        <v>233</v>
      </c>
      <c r="P370" s="14" t="s">
        <v>703</v>
      </c>
      <c r="Q370" s="13">
        <v>1</v>
      </c>
      <c r="R370" s="13" t="s">
        <v>674</v>
      </c>
      <c r="S370" s="14">
        <v>0</v>
      </c>
      <c r="T370" s="14">
        <v>40333.366000000002</v>
      </c>
      <c r="U370" s="14">
        <v>1210.00098</v>
      </c>
      <c r="V370" s="14"/>
    </row>
    <row r="371" spans="1:22" ht="18" customHeight="1" x14ac:dyDescent="0.3">
      <c r="A371" s="123" t="s">
        <v>108</v>
      </c>
      <c r="B371" s="125" t="s">
        <v>1139</v>
      </c>
      <c r="C371" s="131">
        <v>50</v>
      </c>
      <c r="D371" s="122" t="s">
        <v>1517</v>
      </c>
      <c r="E371" s="130" t="s">
        <v>107</v>
      </c>
      <c r="F371" s="127" t="s">
        <v>1116</v>
      </c>
      <c r="G371" s="123" t="s">
        <v>896</v>
      </c>
      <c r="I371" s="120" t="s">
        <v>196</v>
      </c>
      <c r="J371" s="120"/>
      <c r="K371" s="120"/>
      <c r="L371" s="135"/>
      <c r="N371" s="13" t="s">
        <v>704</v>
      </c>
      <c r="O371" s="14" t="s">
        <v>233</v>
      </c>
      <c r="P371" s="14" t="s">
        <v>675</v>
      </c>
      <c r="Q371" s="13">
        <v>1</v>
      </c>
      <c r="R371" s="13" t="s">
        <v>674</v>
      </c>
      <c r="S371" s="14">
        <v>0</v>
      </c>
      <c r="T371" s="14">
        <v>57728.686000000002</v>
      </c>
      <c r="U371" s="14">
        <v>1731.86058</v>
      </c>
      <c r="V371" s="14"/>
    </row>
    <row r="372" spans="1:22" ht="18" customHeight="1" x14ac:dyDescent="0.3">
      <c r="A372" s="123" t="s">
        <v>1495</v>
      </c>
      <c r="B372" s="125" t="s">
        <v>1139</v>
      </c>
      <c r="C372" s="131">
        <v>65</v>
      </c>
      <c r="D372" s="122" t="s">
        <v>1517</v>
      </c>
      <c r="E372" s="130" t="s">
        <v>1521</v>
      </c>
      <c r="F372" s="127" t="s">
        <v>1116</v>
      </c>
      <c r="G372" s="123" t="s">
        <v>896</v>
      </c>
      <c r="I372" s="120" t="s">
        <v>196</v>
      </c>
      <c r="J372" s="120"/>
      <c r="K372" s="120"/>
      <c r="L372" s="135"/>
      <c r="N372" s="13" t="s">
        <v>705</v>
      </c>
      <c r="O372" s="14" t="s">
        <v>233</v>
      </c>
      <c r="P372" s="14" t="s">
        <v>676</v>
      </c>
      <c r="Q372" s="13">
        <v>1</v>
      </c>
      <c r="R372" s="13" t="s">
        <v>674</v>
      </c>
      <c r="S372" s="14">
        <v>0</v>
      </c>
      <c r="T372" s="14">
        <v>72190.578000000009</v>
      </c>
      <c r="U372" s="14">
        <v>2165.7173400000001</v>
      </c>
      <c r="V372" s="14"/>
    </row>
    <row r="373" spans="1:22" ht="18" customHeight="1" x14ac:dyDescent="0.3">
      <c r="A373" s="123" t="s">
        <v>110</v>
      </c>
      <c r="B373" s="125" t="s">
        <v>1139</v>
      </c>
      <c r="C373" s="131">
        <v>80</v>
      </c>
      <c r="D373" s="122" t="s">
        <v>1517</v>
      </c>
      <c r="E373" s="130" t="s">
        <v>109</v>
      </c>
      <c r="F373" s="127" t="s">
        <v>1116</v>
      </c>
      <c r="G373" s="123" t="s">
        <v>896</v>
      </c>
      <c r="I373" s="120" t="s">
        <v>197</v>
      </c>
      <c r="J373" s="120"/>
      <c r="K373" s="120"/>
      <c r="L373" s="135"/>
      <c r="N373" s="13" t="s">
        <v>706</v>
      </c>
      <c r="O373" s="14" t="s">
        <v>233</v>
      </c>
      <c r="P373" s="14" t="s">
        <v>678</v>
      </c>
      <c r="Q373" s="13">
        <v>1</v>
      </c>
      <c r="R373" s="13" t="s">
        <v>674</v>
      </c>
      <c r="S373" s="14">
        <v>0</v>
      </c>
      <c r="T373" s="14">
        <v>81212.368000000002</v>
      </c>
      <c r="U373" s="14">
        <v>2436.37104</v>
      </c>
      <c r="V373" s="14"/>
    </row>
    <row r="374" spans="1:22" ht="18" customHeight="1" x14ac:dyDescent="0.3">
      <c r="A374" s="123" t="s">
        <v>112</v>
      </c>
      <c r="B374" s="125" t="s">
        <v>1139</v>
      </c>
      <c r="C374" s="131">
        <v>100</v>
      </c>
      <c r="D374" s="122" t="s">
        <v>1517</v>
      </c>
      <c r="E374" s="130" t="s">
        <v>111</v>
      </c>
      <c r="F374" s="127" t="s">
        <v>1116</v>
      </c>
      <c r="G374" s="123" t="s">
        <v>896</v>
      </c>
      <c r="I374" s="120" t="s">
        <v>198</v>
      </c>
      <c r="J374" s="120"/>
      <c r="K374" s="120"/>
      <c r="L374" s="135"/>
      <c r="N374" s="13" t="s">
        <v>707</v>
      </c>
      <c r="O374" s="14" t="s">
        <v>708</v>
      </c>
      <c r="P374" s="14" t="s">
        <v>679</v>
      </c>
      <c r="Q374" s="13">
        <v>1</v>
      </c>
      <c r="R374" s="13" t="s">
        <v>674</v>
      </c>
      <c r="S374" s="14">
        <v>0</v>
      </c>
      <c r="T374" s="14">
        <v>95674.260000000009</v>
      </c>
      <c r="U374" s="14">
        <v>2870.2278000000001</v>
      </c>
      <c r="V374" s="14"/>
    </row>
    <row r="375" spans="1:22" ht="18" customHeight="1" x14ac:dyDescent="0.3">
      <c r="A375" s="123" t="s">
        <v>1496</v>
      </c>
      <c r="B375" s="125" t="s">
        <v>1139</v>
      </c>
      <c r="C375" s="131">
        <v>125</v>
      </c>
      <c r="D375" s="122" t="s">
        <v>1517</v>
      </c>
      <c r="E375" s="130" t="s">
        <v>1522</v>
      </c>
      <c r="F375" s="127" t="s">
        <v>1116</v>
      </c>
      <c r="G375" s="123" t="s">
        <v>896</v>
      </c>
      <c r="I375" s="120" t="s">
        <v>199</v>
      </c>
      <c r="J375" s="120"/>
      <c r="K375" s="120"/>
      <c r="L375" s="135"/>
      <c r="N375" s="13" t="s">
        <v>709</v>
      </c>
      <c r="O375" s="14" t="s">
        <v>710</v>
      </c>
      <c r="P375" s="14" t="s">
        <v>711</v>
      </c>
      <c r="Q375" s="13">
        <v>1</v>
      </c>
      <c r="R375" s="13" t="s">
        <v>194</v>
      </c>
      <c r="S375" s="14">
        <v>22360</v>
      </c>
      <c r="T375" s="14">
        <v>13330.9</v>
      </c>
      <c r="U375" s="14">
        <v>174</v>
      </c>
      <c r="V375" s="14"/>
    </row>
    <row r="376" spans="1:22" ht="18" customHeight="1" x14ac:dyDescent="0.3">
      <c r="A376" s="123" t="s">
        <v>114</v>
      </c>
      <c r="B376" s="125" t="s">
        <v>1139</v>
      </c>
      <c r="C376" s="131">
        <v>150</v>
      </c>
      <c r="D376" s="122" t="s">
        <v>1517</v>
      </c>
      <c r="E376" s="130" t="s">
        <v>113</v>
      </c>
      <c r="F376" s="127" t="s">
        <v>1116</v>
      </c>
      <c r="G376" s="123" t="s">
        <v>896</v>
      </c>
      <c r="I376" s="120" t="s">
        <v>200</v>
      </c>
      <c r="J376" s="120"/>
      <c r="K376" s="120"/>
      <c r="L376" s="135"/>
    </row>
    <row r="377" spans="1:22" ht="18" customHeight="1" x14ac:dyDescent="0.3">
      <c r="A377" s="123" t="s">
        <v>116</v>
      </c>
      <c r="B377" s="125" t="s">
        <v>1139</v>
      </c>
      <c r="C377" s="131">
        <v>200</v>
      </c>
      <c r="D377" s="122" t="s">
        <v>1517</v>
      </c>
      <c r="E377" s="130" t="s">
        <v>115</v>
      </c>
      <c r="F377" s="127" t="s">
        <v>1116</v>
      </c>
      <c r="G377" s="123" t="s">
        <v>896</v>
      </c>
      <c r="I377" s="120" t="s">
        <v>201</v>
      </c>
      <c r="J377" s="120"/>
      <c r="K377" s="120"/>
      <c r="L377" s="135"/>
    </row>
    <row r="378" spans="1:22" ht="18" customHeight="1" x14ac:dyDescent="0.3">
      <c r="A378" s="123" t="s">
        <v>1497</v>
      </c>
      <c r="B378" s="125" t="s">
        <v>1139</v>
      </c>
      <c r="C378" s="131">
        <v>250</v>
      </c>
      <c r="D378" s="122" t="s">
        <v>1517</v>
      </c>
      <c r="E378" s="130" t="s">
        <v>1523</v>
      </c>
      <c r="F378" s="127" t="s">
        <v>1116</v>
      </c>
      <c r="G378" s="123" t="s">
        <v>896</v>
      </c>
      <c r="I378" s="120" t="s">
        <v>549</v>
      </c>
      <c r="J378" s="120"/>
      <c r="K378" s="120"/>
      <c r="L378" s="135"/>
    </row>
    <row r="379" spans="1:22" ht="18" customHeight="1" x14ac:dyDescent="0.3">
      <c r="A379" s="123" t="s">
        <v>1498</v>
      </c>
      <c r="B379" s="125" t="s">
        <v>1139</v>
      </c>
      <c r="C379" s="131">
        <v>300</v>
      </c>
      <c r="D379" s="122" t="s">
        <v>1517</v>
      </c>
      <c r="E379" s="130" t="s">
        <v>1524</v>
      </c>
      <c r="F379" s="127" t="s">
        <v>1116</v>
      </c>
      <c r="G379" s="123" t="s">
        <v>896</v>
      </c>
      <c r="I379" s="120" t="s">
        <v>202</v>
      </c>
      <c r="J379" s="120"/>
      <c r="K379" s="120"/>
      <c r="L379" s="135"/>
    </row>
    <row r="380" spans="1:22" ht="18" customHeight="1" x14ac:dyDescent="0.3">
      <c r="A380" s="123" t="s">
        <v>1499</v>
      </c>
      <c r="B380" s="125" t="s">
        <v>1139</v>
      </c>
      <c r="C380" s="131">
        <v>350</v>
      </c>
      <c r="D380" s="122" t="s">
        <v>1517</v>
      </c>
      <c r="E380" s="130" t="s">
        <v>1525</v>
      </c>
      <c r="F380" s="127" t="s">
        <v>1116</v>
      </c>
      <c r="G380" s="123" t="s">
        <v>896</v>
      </c>
      <c r="I380" s="120" t="s">
        <v>550</v>
      </c>
      <c r="J380" s="120"/>
      <c r="K380" s="120"/>
      <c r="L380" s="135"/>
    </row>
    <row r="381" spans="1:22" ht="18" customHeight="1" x14ac:dyDescent="0.3">
      <c r="A381" s="123" t="s">
        <v>1500</v>
      </c>
      <c r="B381" s="125" t="s">
        <v>1139</v>
      </c>
      <c r="C381" s="131">
        <v>400</v>
      </c>
      <c r="D381" s="122" t="s">
        <v>1517</v>
      </c>
      <c r="E381" s="130" t="s">
        <v>1526</v>
      </c>
      <c r="F381" s="127" t="s">
        <v>1116</v>
      </c>
      <c r="G381" s="123" t="s">
        <v>896</v>
      </c>
      <c r="I381" s="120" t="s">
        <v>551</v>
      </c>
      <c r="J381" s="120"/>
      <c r="K381" s="120"/>
      <c r="L381" s="135"/>
    </row>
    <row r="382" spans="1:22" ht="18" customHeight="1" x14ac:dyDescent="0.3">
      <c r="A382" s="123" t="s">
        <v>1501</v>
      </c>
      <c r="B382" s="125" t="s">
        <v>1140</v>
      </c>
      <c r="C382" s="131">
        <v>15</v>
      </c>
      <c r="D382" s="122" t="s">
        <v>1517</v>
      </c>
      <c r="E382" s="130" t="s">
        <v>1518</v>
      </c>
      <c r="F382" s="127" t="s">
        <v>1116</v>
      </c>
      <c r="G382" s="123" t="s">
        <v>896</v>
      </c>
      <c r="I382" s="120" t="s">
        <v>195</v>
      </c>
      <c r="J382" s="120"/>
      <c r="K382" s="120"/>
      <c r="L382" s="135"/>
    </row>
    <row r="383" spans="1:22" ht="18" customHeight="1" x14ac:dyDescent="0.3">
      <c r="A383" s="123" t="s">
        <v>1502</v>
      </c>
      <c r="B383" s="125" t="s">
        <v>1140</v>
      </c>
      <c r="C383" s="131">
        <v>20</v>
      </c>
      <c r="D383" s="122" t="s">
        <v>1517</v>
      </c>
      <c r="E383" s="130" t="s">
        <v>103</v>
      </c>
      <c r="F383" s="127" t="s">
        <v>1116</v>
      </c>
      <c r="G383" s="123" t="s">
        <v>896</v>
      </c>
      <c r="I383" s="120" t="s">
        <v>195</v>
      </c>
      <c r="J383" s="120"/>
      <c r="K383" s="120"/>
      <c r="L383" s="135"/>
    </row>
    <row r="384" spans="1:22" ht="18" customHeight="1" x14ac:dyDescent="0.3">
      <c r="A384" s="123" t="s">
        <v>1503</v>
      </c>
      <c r="B384" s="125" t="s">
        <v>1140</v>
      </c>
      <c r="C384" s="131">
        <v>25</v>
      </c>
      <c r="D384" s="122" t="s">
        <v>1517</v>
      </c>
      <c r="E384" s="130" t="s">
        <v>1519</v>
      </c>
      <c r="F384" s="127" t="s">
        <v>1116</v>
      </c>
      <c r="G384" s="123" t="s">
        <v>896</v>
      </c>
      <c r="I384" s="120" t="s">
        <v>195</v>
      </c>
      <c r="J384" s="120"/>
      <c r="K384" s="120"/>
      <c r="L384" s="135"/>
    </row>
    <row r="385" spans="1:12" ht="18" customHeight="1" x14ac:dyDescent="0.3">
      <c r="A385" s="123" t="s">
        <v>1504</v>
      </c>
      <c r="B385" s="125" t="s">
        <v>1140</v>
      </c>
      <c r="C385" s="131">
        <v>32</v>
      </c>
      <c r="D385" s="122" t="s">
        <v>1517</v>
      </c>
      <c r="E385" s="130" t="s">
        <v>105</v>
      </c>
      <c r="F385" s="127" t="s">
        <v>1116</v>
      </c>
      <c r="G385" s="123" t="s">
        <v>896</v>
      </c>
      <c r="I385" s="120" t="s">
        <v>196</v>
      </c>
      <c r="J385" s="120"/>
      <c r="K385" s="120"/>
      <c r="L385" s="135"/>
    </row>
    <row r="386" spans="1:12" ht="18" customHeight="1" x14ac:dyDescent="0.3">
      <c r="A386" s="123" t="s">
        <v>1505</v>
      </c>
      <c r="B386" s="125" t="s">
        <v>1140</v>
      </c>
      <c r="C386" s="131">
        <v>40</v>
      </c>
      <c r="D386" s="122" t="s">
        <v>1517</v>
      </c>
      <c r="E386" s="130" t="s">
        <v>1520</v>
      </c>
      <c r="F386" s="127" t="s">
        <v>1116</v>
      </c>
      <c r="G386" s="123" t="s">
        <v>896</v>
      </c>
      <c r="I386" s="120" t="s">
        <v>196</v>
      </c>
      <c r="J386" s="120"/>
      <c r="K386" s="120"/>
      <c r="L386" s="135"/>
    </row>
    <row r="387" spans="1:12" ht="18" customHeight="1" x14ac:dyDescent="0.3">
      <c r="A387" s="123" t="s">
        <v>1506</v>
      </c>
      <c r="B387" s="125" t="s">
        <v>1140</v>
      </c>
      <c r="C387" s="131">
        <v>50</v>
      </c>
      <c r="D387" s="122" t="s">
        <v>1517</v>
      </c>
      <c r="E387" s="130" t="s">
        <v>107</v>
      </c>
      <c r="F387" s="127" t="s">
        <v>1116</v>
      </c>
      <c r="G387" s="123" t="s">
        <v>896</v>
      </c>
      <c r="I387" s="120" t="s">
        <v>196</v>
      </c>
      <c r="J387" s="120"/>
      <c r="K387" s="120"/>
      <c r="L387" s="135"/>
    </row>
    <row r="388" spans="1:12" ht="18" customHeight="1" x14ac:dyDescent="0.3">
      <c r="A388" s="123" t="s">
        <v>1507</v>
      </c>
      <c r="B388" s="125" t="s">
        <v>1140</v>
      </c>
      <c r="C388" s="131">
        <v>65</v>
      </c>
      <c r="D388" s="122" t="s">
        <v>1517</v>
      </c>
      <c r="E388" s="130" t="s">
        <v>1521</v>
      </c>
      <c r="F388" s="127" t="s">
        <v>1116</v>
      </c>
      <c r="G388" s="123" t="s">
        <v>896</v>
      </c>
      <c r="I388" s="120" t="s">
        <v>196</v>
      </c>
      <c r="J388" s="120"/>
      <c r="K388" s="120"/>
      <c r="L388" s="135"/>
    </row>
    <row r="389" spans="1:12" ht="18" customHeight="1" x14ac:dyDescent="0.3">
      <c r="A389" s="123" t="s">
        <v>1508</v>
      </c>
      <c r="B389" s="125" t="s">
        <v>1140</v>
      </c>
      <c r="C389" s="131">
        <v>80</v>
      </c>
      <c r="D389" s="122" t="s">
        <v>1517</v>
      </c>
      <c r="E389" s="130" t="s">
        <v>109</v>
      </c>
      <c r="F389" s="127" t="s">
        <v>1116</v>
      </c>
      <c r="G389" s="123" t="s">
        <v>896</v>
      </c>
      <c r="I389" s="120" t="s">
        <v>197</v>
      </c>
      <c r="J389" s="120"/>
      <c r="K389" s="120"/>
      <c r="L389" s="135"/>
    </row>
    <row r="390" spans="1:12" ht="18" customHeight="1" x14ac:dyDescent="0.3">
      <c r="A390" s="123" t="s">
        <v>1509</v>
      </c>
      <c r="B390" s="125" t="s">
        <v>1140</v>
      </c>
      <c r="C390" s="131">
        <v>100</v>
      </c>
      <c r="D390" s="122" t="s">
        <v>1517</v>
      </c>
      <c r="E390" s="130" t="s">
        <v>111</v>
      </c>
      <c r="F390" s="127" t="s">
        <v>1116</v>
      </c>
      <c r="G390" s="123" t="s">
        <v>896</v>
      </c>
      <c r="I390" s="120" t="s">
        <v>198</v>
      </c>
      <c r="J390" s="120"/>
      <c r="K390" s="120"/>
      <c r="L390" s="135"/>
    </row>
    <row r="391" spans="1:12" ht="18" customHeight="1" x14ac:dyDescent="0.3">
      <c r="A391" s="123" t="s">
        <v>1510</v>
      </c>
      <c r="B391" s="125" t="s">
        <v>1140</v>
      </c>
      <c r="C391" s="131">
        <v>125</v>
      </c>
      <c r="D391" s="122" t="s">
        <v>1517</v>
      </c>
      <c r="E391" s="130" t="s">
        <v>1522</v>
      </c>
      <c r="F391" s="127" t="s">
        <v>1116</v>
      </c>
      <c r="G391" s="123" t="s">
        <v>896</v>
      </c>
      <c r="I391" s="120" t="s">
        <v>199</v>
      </c>
      <c r="J391" s="120"/>
      <c r="K391" s="120"/>
      <c r="L391" s="135"/>
    </row>
    <row r="392" spans="1:12" ht="18" customHeight="1" x14ac:dyDescent="0.3">
      <c r="A392" s="123" t="s">
        <v>1511</v>
      </c>
      <c r="B392" s="125" t="s">
        <v>1140</v>
      </c>
      <c r="C392" s="131">
        <v>150</v>
      </c>
      <c r="D392" s="122" t="s">
        <v>1517</v>
      </c>
      <c r="E392" s="130" t="s">
        <v>113</v>
      </c>
      <c r="F392" s="127" t="s">
        <v>1116</v>
      </c>
      <c r="G392" s="123" t="s">
        <v>896</v>
      </c>
      <c r="I392" s="120" t="s">
        <v>200</v>
      </c>
      <c r="J392" s="120"/>
      <c r="K392" s="120"/>
      <c r="L392" s="135"/>
    </row>
    <row r="393" spans="1:12" ht="18" customHeight="1" x14ac:dyDescent="0.3">
      <c r="A393" s="123" t="s">
        <v>1512</v>
      </c>
      <c r="B393" s="125" t="s">
        <v>1140</v>
      </c>
      <c r="C393" s="131">
        <v>200</v>
      </c>
      <c r="D393" s="122" t="s">
        <v>1517</v>
      </c>
      <c r="E393" s="130" t="s">
        <v>115</v>
      </c>
      <c r="F393" s="127" t="s">
        <v>1116</v>
      </c>
      <c r="G393" s="123" t="s">
        <v>896</v>
      </c>
      <c r="I393" s="120" t="s">
        <v>201</v>
      </c>
      <c r="J393" s="120"/>
      <c r="K393" s="120"/>
      <c r="L393" s="135"/>
    </row>
    <row r="394" spans="1:12" ht="18" customHeight="1" x14ac:dyDescent="0.3">
      <c r="A394" s="123" t="s">
        <v>1513</v>
      </c>
      <c r="B394" s="125" t="s">
        <v>1140</v>
      </c>
      <c r="C394" s="131">
        <v>250</v>
      </c>
      <c r="D394" s="122" t="s">
        <v>1517</v>
      </c>
      <c r="E394" s="130" t="s">
        <v>1523</v>
      </c>
      <c r="F394" s="127" t="s">
        <v>1116</v>
      </c>
      <c r="G394" s="123" t="s">
        <v>896</v>
      </c>
      <c r="I394" s="120" t="s">
        <v>549</v>
      </c>
      <c r="J394" s="120"/>
      <c r="K394" s="120"/>
      <c r="L394" s="135"/>
    </row>
    <row r="395" spans="1:12" ht="18" customHeight="1" x14ac:dyDescent="0.3">
      <c r="A395" s="123" t="s">
        <v>1514</v>
      </c>
      <c r="B395" s="125" t="s">
        <v>1140</v>
      </c>
      <c r="C395" s="131">
        <v>300</v>
      </c>
      <c r="D395" s="122" t="s">
        <v>1517</v>
      </c>
      <c r="E395" s="130" t="s">
        <v>1524</v>
      </c>
      <c r="F395" s="127" t="s">
        <v>1116</v>
      </c>
      <c r="G395" s="123" t="s">
        <v>896</v>
      </c>
      <c r="I395" s="120" t="s">
        <v>202</v>
      </c>
      <c r="J395" s="120"/>
      <c r="K395" s="120"/>
      <c r="L395" s="135"/>
    </row>
    <row r="396" spans="1:12" ht="18" customHeight="1" x14ac:dyDescent="0.3">
      <c r="A396" s="123" t="s">
        <v>1515</v>
      </c>
      <c r="B396" s="125" t="s">
        <v>1140</v>
      </c>
      <c r="C396" s="131">
        <v>350</v>
      </c>
      <c r="D396" s="122" t="s">
        <v>1517</v>
      </c>
      <c r="E396" s="130" t="s">
        <v>1525</v>
      </c>
      <c r="F396" s="127" t="s">
        <v>1116</v>
      </c>
      <c r="G396" s="123" t="s">
        <v>896</v>
      </c>
      <c r="I396" s="120" t="s">
        <v>550</v>
      </c>
      <c r="J396" s="120"/>
      <c r="K396" s="120"/>
      <c r="L396" s="135"/>
    </row>
    <row r="397" spans="1:12" ht="18" customHeight="1" x14ac:dyDescent="0.3">
      <c r="A397" s="123" t="s">
        <v>1516</v>
      </c>
      <c r="B397" s="125" t="s">
        <v>1140</v>
      </c>
      <c r="C397" s="131">
        <v>400</v>
      </c>
      <c r="D397" s="122" t="s">
        <v>1517</v>
      </c>
      <c r="E397" s="130" t="s">
        <v>1526</v>
      </c>
      <c r="F397" s="127" t="s">
        <v>1116</v>
      </c>
      <c r="G397" s="123" t="s">
        <v>896</v>
      </c>
      <c r="I397" s="120" t="s">
        <v>551</v>
      </c>
      <c r="J397" s="120"/>
      <c r="K397" s="120"/>
      <c r="L397" s="135"/>
    </row>
    <row r="398" spans="1:12" ht="18" customHeight="1" x14ac:dyDescent="0.3">
      <c r="A398" s="123" t="s">
        <v>150</v>
      </c>
      <c r="B398" s="125" t="s">
        <v>843</v>
      </c>
      <c r="C398" s="129">
        <v>20</v>
      </c>
      <c r="D398" s="122" t="s">
        <v>148</v>
      </c>
      <c r="E398" s="130" t="s">
        <v>1169</v>
      </c>
      <c r="F398" s="127" t="s">
        <v>1004</v>
      </c>
      <c r="G398" s="123" t="s">
        <v>863</v>
      </c>
      <c r="I398" s="120" t="s">
        <v>594</v>
      </c>
      <c r="J398" s="120"/>
      <c r="K398" s="120"/>
      <c r="L398" s="120"/>
    </row>
    <row r="399" spans="1:12" ht="18" customHeight="1" x14ac:dyDescent="0.3">
      <c r="A399" s="123" t="s">
        <v>1148</v>
      </c>
      <c r="B399" s="125" t="s">
        <v>843</v>
      </c>
      <c r="C399" s="129">
        <v>25</v>
      </c>
      <c r="D399" s="122" t="s">
        <v>148</v>
      </c>
      <c r="E399" s="130" t="s">
        <v>1170</v>
      </c>
      <c r="F399" s="127" t="s">
        <v>1004</v>
      </c>
      <c r="G399" s="123" t="s">
        <v>863</v>
      </c>
      <c r="I399" s="120" t="s">
        <v>594</v>
      </c>
      <c r="J399" s="120"/>
      <c r="K399" s="120"/>
      <c r="L399" s="135"/>
    </row>
    <row r="400" spans="1:12" ht="18" customHeight="1" x14ac:dyDescent="0.3">
      <c r="A400" s="123" t="s">
        <v>1149</v>
      </c>
      <c r="B400" s="125" t="s">
        <v>843</v>
      </c>
      <c r="C400" s="129">
        <v>32</v>
      </c>
      <c r="D400" s="122" t="s">
        <v>148</v>
      </c>
      <c r="E400" s="130" t="s">
        <v>1171</v>
      </c>
      <c r="F400" s="127" t="s">
        <v>1004</v>
      </c>
      <c r="G400" s="123" t="s">
        <v>863</v>
      </c>
      <c r="I400" s="120" t="s">
        <v>596</v>
      </c>
      <c r="J400" s="120"/>
      <c r="K400" s="120"/>
      <c r="L400" s="120"/>
    </row>
    <row r="401" spans="1:12" ht="18" customHeight="1" x14ac:dyDescent="0.3">
      <c r="A401" s="123" t="s">
        <v>1150</v>
      </c>
      <c r="B401" s="125" t="s">
        <v>843</v>
      </c>
      <c r="C401" s="129">
        <v>40</v>
      </c>
      <c r="D401" s="122" t="s">
        <v>148</v>
      </c>
      <c r="E401" s="130" t="s">
        <v>1172</v>
      </c>
      <c r="F401" s="127" t="s">
        <v>1004</v>
      </c>
      <c r="G401" s="123" t="s">
        <v>863</v>
      </c>
      <c r="I401" s="120" t="s">
        <v>596</v>
      </c>
      <c r="J401" s="120"/>
      <c r="K401" s="120"/>
      <c r="L401" s="120"/>
    </row>
    <row r="402" spans="1:12" ht="18" customHeight="1" x14ac:dyDescent="0.3">
      <c r="A402" s="123" t="s">
        <v>1151</v>
      </c>
      <c r="B402" s="125" t="s">
        <v>843</v>
      </c>
      <c r="C402" s="129">
        <v>50</v>
      </c>
      <c r="D402" s="122" t="s">
        <v>148</v>
      </c>
      <c r="E402" s="130" t="s">
        <v>1173</v>
      </c>
      <c r="F402" s="127" t="s">
        <v>1004</v>
      </c>
      <c r="G402" s="123" t="s">
        <v>863</v>
      </c>
      <c r="I402" s="120" t="s">
        <v>596</v>
      </c>
      <c r="J402" s="120"/>
      <c r="K402" s="120"/>
      <c r="L402" s="120"/>
    </row>
    <row r="403" spans="1:12" ht="18" customHeight="1" x14ac:dyDescent="0.3">
      <c r="A403" s="123" t="s">
        <v>1152</v>
      </c>
      <c r="B403" s="125" t="s">
        <v>843</v>
      </c>
      <c r="C403" s="129">
        <v>63</v>
      </c>
      <c r="D403" s="122" t="s">
        <v>148</v>
      </c>
      <c r="E403" s="130" t="s">
        <v>1174</v>
      </c>
      <c r="F403" s="127" t="s">
        <v>1004</v>
      </c>
      <c r="G403" s="123" t="s">
        <v>863</v>
      </c>
      <c r="I403" s="120" t="s">
        <v>596</v>
      </c>
      <c r="J403" s="120"/>
      <c r="K403" s="120"/>
      <c r="L403" s="135"/>
    </row>
    <row r="404" spans="1:12" ht="18" customHeight="1" x14ac:dyDescent="0.3">
      <c r="A404" s="123" t="s">
        <v>1153</v>
      </c>
      <c r="B404" s="125" t="s">
        <v>843</v>
      </c>
      <c r="C404" s="129">
        <v>75</v>
      </c>
      <c r="D404" s="122" t="s">
        <v>148</v>
      </c>
      <c r="E404" s="130" t="s">
        <v>1175</v>
      </c>
      <c r="F404" s="127" t="s">
        <v>1004</v>
      </c>
      <c r="G404" s="123" t="s">
        <v>863</v>
      </c>
      <c r="I404" s="120" t="s">
        <v>597</v>
      </c>
      <c r="J404" s="120"/>
      <c r="K404" s="120"/>
      <c r="L404" s="120"/>
    </row>
    <row r="405" spans="1:12" ht="18" customHeight="1" x14ac:dyDescent="0.3">
      <c r="A405" s="123" t="s">
        <v>1154</v>
      </c>
      <c r="B405" s="125" t="s">
        <v>843</v>
      </c>
      <c r="C405" s="129">
        <v>90</v>
      </c>
      <c r="D405" s="122" t="s">
        <v>148</v>
      </c>
      <c r="E405" s="130" t="s">
        <v>1176</v>
      </c>
      <c r="F405" s="127" t="s">
        <v>1004</v>
      </c>
      <c r="G405" s="123" t="s">
        <v>863</v>
      </c>
      <c r="I405" s="120" t="s">
        <v>597</v>
      </c>
      <c r="J405" s="120"/>
      <c r="K405" s="120"/>
      <c r="L405" s="135"/>
    </row>
    <row r="406" spans="1:12" ht="18" customHeight="1" x14ac:dyDescent="0.3">
      <c r="A406" s="123" t="s">
        <v>1155</v>
      </c>
      <c r="B406" s="125" t="s">
        <v>843</v>
      </c>
      <c r="C406" s="129">
        <v>110</v>
      </c>
      <c r="D406" s="122" t="s">
        <v>148</v>
      </c>
      <c r="E406" s="130" t="s">
        <v>1177</v>
      </c>
      <c r="F406" s="127" t="s">
        <v>1004</v>
      </c>
      <c r="G406" s="123" t="s">
        <v>863</v>
      </c>
      <c r="I406" s="120" t="s">
        <v>598</v>
      </c>
      <c r="J406" s="120"/>
      <c r="K406" s="120"/>
      <c r="L406" s="135"/>
    </row>
    <row r="407" spans="1:12" ht="18" customHeight="1" x14ac:dyDescent="0.3">
      <c r="A407" s="123" t="s">
        <v>1156</v>
      </c>
      <c r="B407" s="125" t="s">
        <v>843</v>
      </c>
      <c r="C407" s="129">
        <v>140</v>
      </c>
      <c r="D407" s="122" t="s">
        <v>148</v>
      </c>
      <c r="E407" s="130" t="s">
        <v>1178</v>
      </c>
      <c r="F407" s="127" t="s">
        <v>1004</v>
      </c>
      <c r="G407" s="123" t="s">
        <v>863</v>
      </c>
      <c r="I407" s="120" t="s">
        <v>599</v>
      </c>
      <c r="J407" s="120"/>
      <c r="K407" s="120"/>
      <c r="L407" s="135"/>
    </row>
    <row r="408" spans="1:12" ht="18" customHeight="1" x14ac:dyDescent="0.3">
      <c r="A408" s="123" t="s">
        <v>1157</v>
      </c>
      <c r="B408" s="125" t="s">
        <v>843</v>
      </c>
      <c r="C408" s="129">
        <v>160</v>
      </c>
      <c r="D408" s="122" t="s">
        <v>148</v>
      </c>
      <c r="E408" s="130" t="s">
        <v>1179</v>
      </c>
      <c r="F408" s="127" t="s">
        <v>1004</v>
      </c>
      <c r="G408" s="123" t="s">
        <v>863</v>
      </c>
      <c r="I408" s="120" t="s">
        <v>600</v>
      </c>
      <c r="J408" s="120"/>
      <c r="K408" s="120"/>
      <c r="L408" s="135"/>
    </row>
    <row r="409" spans="1:12" ht="18" customHeight="1" x14ac:dyDescent="0.3">
      <c r="A409" s="123" t="s">
        <v>1158</v>
      </c>
      <c r="B409" s="125" t="s">
        <v>843</v>
      </c>
      <c r="C409" s="129">
        <v>225</v>
      </c>
      <c r="D409" s="122" t="s">
        <v>148</v>
      </c>
      <c r="E409" s="130" t="s">
        <v>1180</v>
      </c>
      <c r="F409" s="127" t="s">
        <v>1004</v>
      </c>
      <c r="G409" s="123" t="s">
        <v>863</v>
      </c>
      <c r="I409" s="120" t="s">
        <v>601</v>
      </c>
      <c r="J409" s="120"/>
      <c r="K409" s="120"/>
      <c r="L409" s="135"/>
    </row>
    <row r="410" spans="1:12" ht="18" customHeight="1" x14ac:dyDescent="0.3">
      <c r="A410" s="123" t="s">
        <v>1159</v>
      </c>
      <c r="B410" s="125" t="s">
        <v>843</v>
      </c>
      <c r="C410" s="129">
        <v>280</v>
      </c>
      <c r="D410" s="122" t="s">
        <v>148</v>
      </c>
      <c r="E410" s="130" t="s">
        <v>1181</v>
      </c>
      <c r="F410" s="127" t="s">
        <v>1004</v>
      </c>
      <c r="G410" s="123" t="s">
        <v>863</v>
      </c>
      <c r="I410" s="120" t="s">
        <v>602</v>
      </c>
      <c r="J410" s="120"/>
      <c r="K410" s="120"/>
      <c r="L410" s="135"/>
    </row>
    <row r="411" spans="1:12" ht="18" customHeight="1" x14ac:dyDescent="0.3">
      <c r="A411" s="123" t="s">
        <v>1160</v>
      </c>
      <c r="B411" s="125" t="s">
        <v>843</v>
      </c>
      <c r="C411" s="129">
        <v>315</v>
      </c>
      <c r="D411" s="122" t="s">
        <v>148</v>
      </c>
      <c r="E411" s="130" t="s">
        <v>1182</v>
      </c>
      <c r="F411" s="127" t="s">
        <v>1004</v>
      </c>
      <c r="G411" s="123" t="s">
        <v>863</v>
      </c>
      <c r="I411" s="120" t="s">
        <v>603</v>
      </c>
      <c r="J411" s="120"/>
      <c r="K411" s="120"/>
      <c r="L411" s="135"/>
    </row>
    <row r="412" spans="1:12" ht="18" customHeight="1" x14ac:dyDescent="0.3">
      <c r="A412" s="123" t="s">
        <v>1161</v>
      </c>
      <c r="B412" s="125" t="s">
        <v>843</v>
      </c>
      <c r="C412" s="129">
        <v>355</v>
      </c>
      <c r="D412" s="122" t="s">
        <v>148</v>
      </c>
      <c r="E412" s="130" t="s">
        <v>1183</v>
      </c>
      <c r="F412" s="127" t="s">
        <v>1004</v>
      </c>
      <c r="G412" s="123" t="s">
        <v>863</v>
      </c>
      <c r="I412" s="120" t="s">
        <v>604</v>
      </c>
      <c r="J412" s="120"/>
      <c r="K412" s="120"/>
      <c r="L412" s="135"/>
    </row>
    <row r="413" spans="1:12" ht="18" customHeight="1" x14ac:dyDescent="0.3">
      <c r="A413" s="123" t="s">
        <v>1162</v>
      </c>
      <c r="B413" s="125" t="s">
        <v>843</v>
      </c>
      <c r="C413" s="129">
        <v>400</v>
      </c>
      <c r="D413" s="122" t="s">
        <v>148</v>
      </c>
      <c r="E413" s="130" t="s">
        <v>1184</v>
      </c>
      <c r="F413" s="127" t="s">
        <v>1004</v>
      </c>
      <c r="G413" s="123" t="s">
        <v>863</v>
      </c>
      <c r="I413" s="120" t="s">
        <v>605</v>
      </c>
      <c r="J413" s="120"/>
      <c r="K413" s="120"/>
      <c r="L413" s="135"/>
    </row>
    <row r="414" spans="1:12" ht="18" customHeight="1" x14ac:dyDescent="0.3">
      <c r="A414" s="123" t="s">
        <v>1163</v>
      </c>
      <c r="B414" s="125" t="s">
        <v>843</v>
      </c>
      <c r="C414" s="129">
        <v>450</v>
      </c>
      <c r="D414" s="122" t="s">
        <v>148</v>
      </c>
      <c r="E414" s="130" t="s">
        <v>1185</v>
      </c>
      <c r="F414" s="127" t="s">
        <v>1004</v>
      </c>
      <c r="G414" s="123" t="s">
        <v>863</v>
      </c>
      <c r="I414" s="120" t="s">
        <v>606</v>
      </c>
      <c r="J414" s="120"/>
      <c r="K414" s="120"/>
      <c r="L414" s="135"/>
    </row>
    <row r="415" spans="1:12" ht="18" customHeight="1" x14ac:dyDescent="0.3">
      <c r="A415" s="123" t="s">
        <v>1164</v>
      </c>
      <c r="B415" s="125" t="s">
        <v>843</v>
      </c>
      <c r="C415" s="129">
        <v>500</v>
      </c>
      <c r="D415" s="122" t="s">
        <v>148</v>
      </c>
      <c r="E415" s="130" t="s">
        <v>1186</v>
      </c>
      <c r="F415" s="127" t="s">
        <v>1004</v>
      </c>
      <c r="G415" s="123" t="s">
        <v>863</v>
      </c>
      <c r="I415" s="120" t="s">
        <v>607</v>
      </c>
      <c r="J415" s="120"/>
      <c r="K415" s="120"/>
      <c r="L415" s="135"/>
    </row>
    <row r="416" spans="1:12" ht="18" customHeight="1" x14ac:dyDescent="0.3">
      <c r="A416" s="123" t="s">
        <v>1165</v>
      </c>
      <c r="B416" s="125" t="s">
        <v>843</v>
      </c>
      <c r="C416" s="129">
        <v>560</v>
      </c>
      <c r="D416" s="122" t="s">
        <v>148</v>
      </c>
      <c r="E416" s="130" t="s">
        <v>1187</v>
      </c>
      <c r="F416" s="127" t="s">
        <v>1004</v>
      </c>
      <c r="G416" s="123" t="s">
        <v>863</v>
      </c>
      <c r="I416" s="120" t="s">
        <v>608</v>
      </c>
      <c r="J416" s="120"/>
      <c r="K416" s="120"/>
      <c r="L416" s="120"/>
    </row>
    <row r="417" spans="1:12" ht="18" customHeight="1" x14ac:dyDescent="0.3">
      <c r="A417" s="123" t="s">
        <v>1166</v>
      </c>
      <c r="B417" s="125" t="s">
        <v>843</v>
      </c>
      <c r="C417" s="129">
        <v>630</v>
      </c>
      <c r="D417" s="122" t="s">
        <v>148</v>
      </c>
      <c r="E417" s="130" t="s">
        <v>1188</v>
      </c>
      <c r="F417" s="127" t="s">
        <v>1004</v>
      </c>
      <c r="G417" s="123" t="s">
        <v>863</v>
      </c>
      <c r="I417" s="120" t="s">
        <v>608</v>
      </c>
      <c r="J417" s="120"/>
      <c r="K417" s="120"/>
      <c r="L417" s="135"/>
    </row>
    <row r="418" spans="1:12" ht="18" customHeight="1" x14ac:dyDescent="0.3">
      <c r="A418" s="123" t="s">
        <v>1167</v>
      </c>
      <c r="B418" s="125" t="s">
        <v>843</v>
      </c>
      <c r="C418" s="129">
        <v>710</v>
      </c>
      <c r="D418" s="122" t="s">
        <v>148</v>
      </c>
      <c r="E418" s="130" t="s">
        <v>1189</v>
      </c>
      <c r="F418" s="127" t="s">
        <v>1004</v>
      </c>
      <c r="G418" s="123" t="s">
        <v>863</v>
      </c>
      <c r="I418" s="120" t="s">
        <v>609</v>
      </c>
      <c r="J418" s="120"/>
      <c r="K418" s="120"/>
      <c r="L418" s="135"/>
    </row>
    <row r="419" spans="1:12" ht="18" customHeight="1" x14ac:dyDescent="0.3">
      <c r="A419" s="123" t="s">
        <v>1168</v>
      </c>
      <c r="B419" s="125" t="s">
        <v>843</v>
      </c>
      <c r="C419" s="129">
        <v>800</v>
      </c>
      <c r="D419" s="122" t="s">
        <v>148</v>
      </c>
      <c r="E419" s="130" t="s">
        <v>1190</v>
      </c>
      <c r="F419" s="127" t="s">
        <v>1004</v>
      </c>
      <c r="G419" s="123" t="s">
        <v>863</v>
      </c>
      <c r="I419" s="120" t="s">
        <v>610</v>
      </c>
      <c r="J419" s="120"/>
      <c r="K419" s="120"/>
      <c r="L419" s="135"/>
    </row>
    <row r="420" spans="1:12" ht="18" customHeight="1" x14ac:dyDescent="0.3">
      <c r="A420" s="123" t="s">
        <v>1191</v>
      </c>
      <c r="B420" s="125" t="s">
        <v>895</v>
      </c>
      <c r="C420" s="131">
        <v>50</v>
      </c>
      <c r="D420" s="122" t="s">
        <v>1220</v>
      </c>
      <c r="E420" s="130" t="s">
        <v>1221</v>
      </c>
      <c r="F420" s="127" t="s">
        <v>1004</v>
      </c>
      <c r="G420" s="123" t="s">
        <v>896</v>
      </c>
      <c r="I420" s="120" t="s">
        <v>624</v>
      </c>
      <c r="J420" s="120"/>
      <c r="K420" s="120"/>
      <c r="L420" s="120"/>
    </row>
    <row r="421" spans="1:12" ht="18" customHeight="1" x14ac:dyDescent="0.3">
      <c r="A421" s="123" t="s">
        <v>1192</v>
      </c>
      <c r="B421" s="125" t="s">
        <v>895</v>
      </c>
      <c r="C421" s="131">
        <v>80</v>
      </c>
      <c r="D421" s="122" t="s">
        <v>1220</v>
      </c>
      <c r="E421" s="130" t="s">
        <v>1222</v>
      </c>
      <c r="F421" s="127" t="s">
        <v>1004</v>
      </c>
      <c r="G421" s="123" t="s">
        <v>896</v>
      </c>
      <c r="I421" s="120" t="s">
        <v>624</v>
      </c>
      <c r="J421" s="120"/>
      <c r="K421" s="120"/>
      <c r="L421" s="135"/>
    </row>
    <row r="422" spans="1:12" ht="18" customHeight="1" x14ac:dyDescent="0.3">
      <c r="A422" s="123" t="s">
        <v>1193</v>
      </c>
      <c r="B422" s="125" t="s">
        <v>895</v>
      </c>
      <c r="C422" s="131">
        <v>100</v>
      </c>
      <c r="D422" s="122" t="s">
        <v>1220</v>
      </c>
      <c r="E422" s="130" t="s">
        <v>1223</v>
      </c>
      <c r="F422" s="127" t="s">
        <v>1004</v>
      </c>
      <c r="G422" s="123" t="s">
        <v>896</v>
      </c>
      <c r="I422" s="120" t="s">
        <v>625</v>
      </c>
      <c r="J422" s="120"/>
      <c r="K422" s="120"/>
      <c r="L422" s="135"/>
    </row>
    <row r="423" spans="1:12" ht="18" customHeight="1" x14ac:dyDescent="0.3">
      <c r="A423" s="123" t="s">
        <v>1194</v>
      </c>
      <c r="B423" s="125" t="s">
        <v>895</v>
      </c>
      <c r="C423" s="131">
        <v>150</v>
      </c>
      <c r="D423" s="122" t="s">
        <v>1220</v>
      </c>
      <c r="E423" s="130" t="s">
        <v>1224</v>
      </c>
      <c r="F423" s="127" t="s">
        <v>1004</v>
      </c>
      <c r="G423" s="123" t="s">
        <v>896</v>
      </c>
      <c r="I423" s="120" t="s">
        <v>627</v>
      </c>
      <c r="J423" s="120"/>
      <c r="K423" s="120"/>
      <c r="L423" s="135"/>
    </row>
    <row r="424" spans="1:12" ht="18" customHeight="1" x14ac:dyDescent="0.3">
      <c r="A424" s="123" t="s">
        <v>1195</v>
      </c>
      <c r="B424" s="125" t="s">
        <v>895</v>
      </c>
      <c r="C424" s="131">
        <v>200</v>
      </c>
      <c r="D424" s="122" t="s">
        <v>1220</v>
      </c>
      <c r="E424" s="130" t="s">
        <v>1225</v>
      </c>
      <c r="F424" s="127" t="s">
        <v>1004</v>
      </c>
      <c r="G424" s="123" t="s">
        <v>896</v>
      </c>
      <c r="I424" s="120" t="s">
        <v>628</v>
      </c>
      <c r="J424" s="120"/>
      <c r="K424" s="120"/>
      <c r="L424" s="135"/>
    </row>
    <row r="425" spans="1:12" ht="18" customHeight="1" x14ac:dyDescent="0.3">
      <c r="A425" s="123" t="s">
        <v>1196</v>
      </c>
      <c r="B425" s="125" t="s">
        <v>895</v>
      </c>
      <c r="C425" s="131">
        <v>250</v>
      </c>
      <c r="D425" s="122" t="s">
        <v>1220</v>
      </c>
      <c r="E425" s="130" t="s">
        <v>1226</v>
      </c>
      <c r="F425" s="127" t="s">
        <v>1004</v>
      </c>
      <c r="G425" s="123" t="s">
        <v>896</v>
      </c>
      <c r="I425" s="120" t="s">
        <v>629</v>
      </c>
      <c r="J425" s="120"/>
      <c r="K425" s="120"/>
      <c r="L425" s="135"/>
    </row>
    <row r="426" spans="1:12" ht="18" customHeight="1" x14ac:dyDescent="0.3">
      <c r="A426" s="123" t="s">
        <v>1197</v>
      </c>
      <c r="B426" s="125" t="s">
        <v>895</v>
      </c>
      <c r="C426" s="131">
        <v>300</v>
      </c>
      <c r="D426" s="122" t="s">
        <v>1220</v>
      </c>
      <c r="E426" s="130" t="s">
        <v>1227</v>
      </c>
      <c r="F426" s="127" t="s">
        <v>1004</v>
      </c>
      <c r="G426" s="123" t="s">
        <v>896</v>
      </c>
      <c r="I426" s="120" t="s">
        <v>630</v>
      </c>
      <c r="J426" s="120"/>
      <c r="K426" s="120"/>
      <c r="L426" s="135"/>
    </row>
    <row r="427" spans="1:12" ht="18" customHeight="1" x14ac:dyDescent="0.3">
      <c r="A427" s="123" t="s">
        <v>1198</v>
      </c>
      <c r="B427" s="125" t="s">
        <v>895</v>
      </c>
      <c r="C427" s="131">
        <v>350</v>
      </c>
      <c r="D427" s="122" t="s">
        <v>1220</v>
      </c>
      <c r="E427" s="130" t="s">
        <v>1228</v>
      </c>
      <c r="F427" s="127" t="s">
        <v>1004</v>
      </c>
      <c r="G427" s="123" t="s">
        <v>896</v>
      </c>
      <c r="I427" s="120" t="s">
        <v>631</v>
      </c>
      <c r="J427" s="120"/>
      <c r="K427" s="120"/>
      <c r="L427" s="135"/>
    </row>
    <row r="428" spans="1:12" ht="18" customHeight="1" x14ac:dyDescent="0.3">
      <c r="A428" s="123" t="s">
        <v>1199</v>
      </c>
      <c r="B428" s="125" t="s">
        <v>895</v>
      </c>
      <c r="C428" s="131">
        <v>400</v>
      </c>
      <c r="D428" s="122" t="s">
        <v>1220</v>
      </c>
      <c r="E428" s="130" t="s">
        <v>1229</v>
      </c>
      <c r="F428" s="127" t="s">
        <v>1004</v>
      </c>
      <c r="G428" s="123" t="s">
        <v>896</v>
      </c>
      <c r="I428" s="120" t="s">
        <v>632</v>
      </c>
      <c r="J428" s="120"/>
      <c r="K428" s="120"/>
      <c r="L428" s="135"/>
    </row>
    <row r="429" spans="1:12" ht="18" customHeight="1" x14ac:dyDescent="0.3">
      <c r="A429" s="123" t="s">
        <v>1200</v>
      </c>
      <c r="B429" s="125" t="s">
        <v>895</v>
      </c>
      <c r="C429" s="131">
        <v>450</v>
      </c>
      <c r="D429" s="122" t="s">
        <v>1220</v>
      </c>
      <c r="E429" s="130" t="s">
        <v>1230</v>
      </c>
      <c r="F429" s="127" t="s">
        <v>1004</v>
      </c>
      <c r="G429" s="123" t="s">
        <v>896</v>
      </c>
      <c r="I429" s="120" t="s">
        <v>633</v>
      </c>
      <c r="J429" s="120"/>
      <c r="K429" s="120"/>
      <c r="L429" s="135"/>
    </row>
    <row r="430" spans="1:12" ht="18" customHeight="1" x14ac:dyDescent="0.3">
      <c r="A430" s="123" t="s">
        <v>1201</v>
      </c>
      <c r="B430" s="125" t="s">
        <v>895</v>
      </c>
      <c r="C430" s="131">
        <v>500</v>
      </c>
      <c r="D430" s="122" t="s">
        <v>1220</v>
      </c>
      <c r="E430" s="130" t="s">
        <v>1231</v>
      </c>
      <c r="F430" s="127" t="s">
        <v>1004</v>
      </c>
      <c r="G430" s="123" t="s">
        <v>896</v>
      </c>
      <c r="I430" s="120" t="s">
        <v>634</v>
      </c>
      <c r="J430" s="120"/>
      <c r="K430" s="120"/>
      <c r="L430" s="135"/>
    </row>
    <row r="431" spans="1:12" ht="18" customHeight="1" x14ac:dyDescent="0.3">
      <c r="A431" s="123" t="s">
        <v>1202</v>
      </c>
      <c r="B431" s="125" t="s">
        <v>895</v>
      </c>
      <c r="C431" s="131">
        <v>600</v>
      </c>
      <c r="D431" s="122" t="s">
        <v>1220</v>
      </c>
      <c r="E431" s="130" t="s">
        <v>1232</v>
      </c>
      <c r="F431" s="127" t="s">
        <v>1004</v>
      </c>
      <c r="G431" s="123" t="s">
        <v>896</v>
      </c>
      <c r="I431" s="120" t="s">
        <v>635</v>
      </c>
      <c r="J431" s="120"/>
      <c r="K431" s="120"/>
      <c r="L431" s="135"/>
    </row>
    <row r="432" spans="1:12" ht="18" customHeight="1" x14ac:dyDescent="0.3">
      <c r="A432" s="123" t="s">
        <v>1203</v>
      </c>
      <c r="B432" s="125" t="s">
        <v>895</v>
      </c>
      <c r="C432" s="131">
        <v>700</v>
      </c>
      <c r="D432" s="122" t="s">
        <v>1220</v>
      </c>
      <c r="E432" s="130" t="s">
        <v>1233</v>
      </c>
      <c r="F432" s="127" t="s">
        <v>1004</v>
      </c>
      <c r="G432" s="123" t="s">
        <v>896</v>
      </c>
      <c r="I432" s="120" t="s">
        <v>636</v>
      </c>
      <c r="J432" s="120"/>
      <c r="K432" s="120"/>
      <c r="L432" s="135"/>
    </row>
    <row r="433" spans="1:12" ht="18" customHeight="1" x14ac:dyDescent="0.3">
      <c r="A433" s="123" t="s">
        <v>1204</v>
      </c>
      <c r="B433" s="125" t="s">
        <v>895</v>
      </c>
      <c r="C433" s="131">
        <v>800</v>
      </c>
      <c r="D433" s="122" t="s">
        <v>1220</v>
      </c>
      <c r="E433" s="130" t="s">
        <v>1234</v>
      </c>
      <c r="F433" s="127" t="s">
        <v>1004</v>
      </c>
      <c r="G433" s="123" t="s">
        <v>896</v>
      </c>
      <c r="I433" s="120" t="s">
        <v>637</v>
      </c>
      <c r="J433" s="120"/>
      <c r="K433" s="120"/>
      <c r="L433" s="135"/>
    </row>
    <row r="434" spans="1:12" ht="18" customHeight="1" x14ac:dyDescent="0.3">
      <c r="A434" s="123" t="s">
        <v>1205</v>
      </c>
      <c r="B434" s="125" t="s">
        <v>895</v>
      </c>
      <c r="C434" s="131">
        <v>900</v>
      </c>
      <c r="D434" s="122" t="s">
        <v>1220</v>
      </c>
      <c r="E434" s="130" t="s">
        <v>1235</v>
      </c>
      <c r="F434" s="127" t="s">
        <v>1004</v>
      </c>
      <c r="G434" s="123" t="s">
        <v>896</v>
      </c>
      <c r="I434" s="120" t="s">
        <v>638</v>
      </c>
      <c r="J434" s="120"/>
      <c r="K434" s="120"/>
      <c r="L434" s="135"/>
    </row>
    <row r="435" spans="1:12" ht="18" customHeight="1" x14ac:dyDescent="0.3">
      <c r="A435" s="123" t="s">
        <v>1206</v>
      </c>
      <c r="B435" s="125" t="s">
        <v>895</v>
      </c>
      <c r="C435" s="131">
        <v>1000</v>
      </c>
      <c r="D435" s="122" t="s">
        <v>1220</v>
      </c>
      <c r="E435" s="130" t="s">
        <v>1236</v>
      </c>
      <c r="F435" s="127" t="s">
        <v>1004</v>
      </c>
      <c r="G435" s="123" t="s">
        <v>896</v>
      </c>
      <c r="I435" s="120" t="s">
        <v>639</v>
      </c>
      <c r="J435" s="120"/>
      <c r="K435" s="120"/>
      <c r="L435" s="135"/>
    </row>
    <row r="436" spans="1:12" ht="18" customHeight="1" x14ac:dyDescent="0.3">
      <c r="A436" s="123" t="s">
        <v>1207</v>
      </c>
      <c r="B436" s="125" t="s">
        <v>895</v>
      </c>
      <c r="C436" s="131">
        <v>1200</v>
      </c>
      <c r="D436" s="122" t="s">
        <v>1220</v>
      </c>
      <c r="E436" s="130" t="s">
        <v>1237</v>
      </c>
      <c r="F436" s="127" t="s">
        <v>1004</v>
      </c>
      <c r="G436" s="123" t="s">
        <v>896</v>
      </c>
      <c r="I436" s="120" t="s">
        <v>640</v>
      </c>
      <c r="J436" s="120"/>
      <c r="K436" s="120"/>
      <c r="L436" s="135"/>
    </row>
    <row r="437" spans="1:12" ht="18" customHeight="1" x14ac:dyDescent="0.3">
      <c r="A437" s="123" t="s">
        <v>1208</v>
      </c>
      <c r="B437" s="125" t="s">
        <v>895</v>
      </c>
      <c r="C437" s="131">
        <v>1500</v>
      </c>
      <c r="D437" s="122" t="s">
        <v>1220</v>
      </c>
      <c r="E437" s="130" t="s">
        <v>1238</v>
      </c>
      <c r="F437" s="127" t="s">
        <v>1004</v>
      </c>
      <c r="G437" s="123" t="s">
        <v>896</v>
      </c>
      <c r="I437" s="120" t="s">
        <v>642</v>
      </c>
      <c r="J437" s="120"/>
      <c r="K437" s="120"/>
      <c r="L437" s="135"/>
    </row>
    <row r="438" spans="1:12" ht="18" customHeight="1" x14ac:dyDescent="0.3">
      <c r="A438" s="123" t="s">
        <v>1209</v>
      </c>
      <c r="B438" s="125" t="s">
        <v>895</v>
      </c>
      <c r="C438" s="131">
        <v>1600</v>
      </c>
      <c r="D438" s="122" t="s">
        <v>1220</v>
      </c>
      <c r="E438" s="130" t="s">
        <v>1239</v>
      </c>
      <c r="F438" s="127" t="s">
        <v>1004</v>
      </c>
      <c r="G438" s="123" t="s">
        <v>896</v>
      </c>
      <c r="I438" s="120" t="s">
        <v>643</v>
      </c>
      <c r="J438" s="120"/>
      <c r="K438" s="120"/>
      <c r="L438" s="135"/>
    </row>
    <row r="439" spans="1:12" ht="18" customHeight="1" x14ac:dyDescent="0.3">
      <c r="A439" s="123" t="s">
        <v>1210</v>
      </c>
      <c r="B439" s="125" t="s">
        <v>895</v>
      </c>
      <c r="C439" s="131">
        <v>1800</v>
      </c>
      <c r="D439" s="122" t="s">
        <v>1220</v>
      </c>
      <c r="E439" s="130" t="s">
        <v>1240</v>
      </c>
      <c r="F439" s="127" t="s">
        <v>1004</v>
      </c>
      <c r="G439" s="123" t="s">
        <v>896</v>
      </c>
      <c r="I439" s="120" t="s">
        <v>644</v>
      </c>
      <c r="J439" s="120"/>
      <c r="K439" s="120"/>
      <c r="L439" s="135"/>
    </row>
    <row r="440" spans="1:12" ht="18" customHeight="1" x14ac:dyDescent="0.3">
      <c r="A440" s="123" t="s">
        <v>1211</v>
      </c>
      <c r="B440" s="125" t="s">
        <v>895</v>
      </c>
      <c r="C440" s="131">
        <v>2000</v>
      </c>
      <c r="D440" s="122" t="s">
        <v>1220</v>
      </c>
      <c r="E440" s="130" t="s">
        <v>1241</v>
      </c>
      <c r="F440" s="127" t="s">
        <v>1004</v>
      </c>
      <c r="G440" s="123" t="s">
        <v>896</v>
      </c>
      <c r="I440" s="120" t="s">
        <v>645</v>
      </c>
      <c r="J440" s="120"/>
      <c r="K440" s="120"/>
      <c r="L440" s="135"/>
    </row>
    <row r="441" spans="1:12" ht="18" customHeight="1" x14ac:dyDescent="0.3">
      <c r="A441" s="123" t="s">
        <v>1212</v>
      </c>
      <c r="B441" s="125" t="s">
        <v>895</v>
      </c>
      <c r="C441" s="131">
        <v>2200</v>
      </c>
      <c r="D441" s="122" t="s">
        <v>1220</v>
      </c>
      <c r="E441" s="130" t="s">
        <v>1242</v>
      </c>
      <c r="F441" s="127" t="s">
        <v>1004</v>
      </c>
      <c r="G441" s="123" t="s">
        <v>896</v>
      </c>
      <c r="I441" s="120" t="s">
        <v>646</v>
      </c>
      <c r="J441" s="120"/>
      <c r="K441" s="120"/>
      <c r="L441" s="135"/>
    </row>
    <row r="442" spans="1:12" ht="18" customHeight="1" x14ac:dyDescent="0.3">
      <c r="A442" s="123" t="s">
        <v>1213</v>
      </c>
      <c r="B442" s="125" t="s">
        <v>895</v>
      </c>
      <c r="C442" s="131">
        <v>2400</v>
      </c>
      <c r="D442" s="122" t="s">
        <v>1220</v>
      </c>
      <c r="E442" s="130" t="s">
        <v>1243</v>
      </c>
      <c r="F442" s="127" t="s">
        <v>1004</v>
      </c>
      <c r="G442" s="123" t="s">
        <v>896</v>
      </c>
      <c r="I442" s="120" t="s">
        <v>647</v>
      </c>
      <c r="J442" s="120"/>
      <c r="K442" s="120"/>
      <c r="L442" s="135"/>
    </row>
    <row r="443" spans="1:12" ht="18" customHeight="1" x14ac:dyDescent="0.3">
      <c r="A443" s="123" t="s">
        <v>1214</v>
      </c>
      <c r="B443" s="125" t="s">
        <v>895</v>
      </c>
      <c r="C443" s="131">
        <v>2600</v>
      </c>
      <c r="D443" s="122" t="s">
        <v>1220</v>
      </c>
      <c r="E443" s="130" t="s">
        <v>1244</v>
      </c>
      <c r="F443" s="127" t="s">
        <v>1004</v>
      </c>
      <c r="G443" s="123" t="s">
        <v>896</v>
      </c>
      <c r="I443" s="120" t="s">
        <v>647</v>
      </c>
      <c r="J443" s="120"/>
      <c r="K443" s="120"/>
      <c r="L443" s="120"/>
    </row>
    <row r="444" spans="1:12" ht="18" customHeight="1" x14ac:dyDescent="0.3">
      <c r="A444" s="123" t="s">
        <v>1215</v>
      </c>
      <c r="B444" s="125" t="s">
        <v>895</v>
      </c>
      <c r="C444" s="131">
        <v>2800</v>
      </c>
      <c r="D444" s="122" t="s">
        <v>1220</v>
      </c>
      <c r="E444" s="130" t="s">
        <v>1245</v>
      </c>
      <c r="F444" s="127" t="s">
        <v>1004</v>
      </c>
      <c r="G444" s="123" t="s">
        <v>896</v>
      </c>
      <c r="I444" s="120" t="s">
        <v>647</v>
      </c>
      <c r="J444" s="120"/>
      <c r="K444" s="120"/>
      <c r="L444" s="120"/>
    </row>
    <row r="445" spans="1:12" ht="18" customHeight="1" x14ac:dyDescent="0.3">
      <c r="A445" s="123" t="s">
        <v>1216</v>
      </c>
      <c r="B445" s="125" t="s">
        <v>895</v>
      </c>
      <c r="C445" s="131">
        <v>3000</v>
      </c>
      <c r="D445" s="122" t="s">
        <v>1220</v>
      </c>
      <c r="E445" s="130" t="s">
        <v>1246</v>
      </c>
      <c r="F445" s="127" t="s">
        <v>1004</v>
      </c>
      <c r="G445" s="123" t="s">
        <v>896</v>
      </c>
      <c r="I445" s="120" t="s">
        <v>647</v>
      </c>
      <c r="J445" s="120"/>
      <c r="K445" s="120"/>
      <c r="L445" s="120"/>
    </row>
    <row r="446" spans="1:12" ht="18" customHeight="1" x14ac:dyDescent="0.3">
      <c r="A446" s="123" t="s">
        <v>1217</v>
      </c>
      <c r="B446" s="125" t="s">
        <v>895</v>
      </c>
      <c r="C446" s="131">
        <v>3200</v>
      </c>
      <c r="D446" s="122" t="s">
        <v>1220</v>
      </c>
      <c r="E446" s="130" t="s">
        <v>1247</v>
      </c>
      <c r="F446" s="127" t="s">
        <v>1004</v>
      </c>
      <c r="G446" s="123" t="s">
        <v>896</v>
      </c>
      <c r="I446" s="120" t="s">
        <v>647</v>
      </c>
      <c r="J446" s="120"/>
      <c r="K446" s="120"/>
      <c r="L446" s="120"/>
    </row>
    <row r="447" spans="1:12" ht="18" customHeight="1" x14ac:dyDescent="0.3">
      <c r="A447" s="123" t="s">
        <v>1218</v>
      </c>
      <c r="B447" s="125" t="s">
        <v>895</v>
      </c>
      <c r="C447" s="131">
        <v>3400</v>
      </c>
      <c r="D447" s="122" t="s">
        <v>1220</v>
      </c>
      <c r="E447" s="130" t="s">
        <v>1248</v>
      </c>
      <c r="F447" s="127" t="s">
        <v>1004</v>
      </c>
      <c r="G447" s="123" t="s">
        <v>896</v>
      </c>
      <c r="I447" s="120" t="s">
        <v>647</v>
      </c>
      <c r="J447" s="120"/>
      <c r="K447" s="120"/>
      <c r="L447" s="120"/>
    </row>
    <row r="448" spans="1:12" ht="18" customHeight="1" x14ac:dyDescent="0.3">
      <c r="A448" s="123" t="s">
        <v>1219</v>
      </c>
      <c r="B448" s="125" t="s">
        <v>895</v>
      </c>
      <c r="C448" s="131">
        <v>3600</v>
      </c>
      <c r="D448" s="122" t="s">
        <v>1220</v>
      </c>
      <c r="E448" s="130" t="s">
        <v>1249</v>
      </c>
      <c r="F448" s="127" t="s">
        <v>1004</v>
      </c>
      <c r="G448" s="123" t="s">
        <v>896</v>
      </c>
      <c r="I448" s="120" t="s">
        <v>647</v>
      </c>
      <c r="J448" s="120"/>
      <c r="K448" s="120"/>
      <c r="L448" s="120"/>
    </row>
    <row r="449" spans="1:12" ht="18" customHeight="1" x14ac:dyDescent="0.3">
      <c r="A449" s="123" t="s">
        <v>1250</v>
      </c>
      <c r="B449" s="125" t="s">
        <v>1335</v>
      </c>
      <c r="C449" s="131">
        <v>40</v>
      </c>
      <c r="D449" s="122" t="s">
        <v>172</v>
      </c>
      <c r="E449" s="130" t="s">
        <v>1338</v>
      </c>
      <c r="F449" s="126"/>
      <c r="G449" s="123" t="s">
        <v>896</v>
      </c>
      <c r="I449" s="120" t="s">
        <v>244</v>
      </c>
      <c r="J449" s="120"/>
      <c r="K449" s="120"/>
      <c r="L449" s="120"/>
    </row>
    <row r="450" spans="1:12" ht="18" customHeight="1" x14ac:dyDescent="0.3">
      <c r="A450" s="123" t="s">
        <v>1251</v>
      </c>
      <c r="B450" s="125" t="s">
        <v>1335</v>
      </c>
      <c r="C450" s="131">
        <v>50</v>
      </c>
      <c r="D450" s="122" t="s">
        <v>172</v>
      </c>
      <c r="E450" s="130" t="s">
        <v>1339</v>
      </c>
      <c r="F450" s="126"/>
      <c r="G450" s="123" t="s">
        <v>896</v>
      </c>
      <c r="I450" s="120" t="s">
        <v>244</v>
      </c>
      <c r="J450" s="120"/>
      <c r="K450" s="120"/>
      <c r="L450" s="120"/>
    </row>
    <row r="451" spans="1:12" ht="18" customHeight="1" x14ac:dyDescent="0.3">
      <c r="A451" s="123" t="s">
        <v>1252</v>
      </c>
      <c r="B451" s="125" t="s">
        <v>1335</v>
      </c>
      <c r="C451" s="131">
        <v>65</v>
      </c>
      <c r="D451" s="122" t="s">
        <v>172</v>
      </c>
      <c r="E451" s="130" t="s">
        <v>1340</v>
      </c>
      <c r="F451" s="126"/>
      <c r="G451" s="123" t="s">
        <v>896</v>
      </c>
      <c r="I451" s="120" t="s">
        <v>244</v>
      </c>
      <c r="J451" s="120"/>
      <c r="K451" s="120"/>
      <c r="L451" s="120"/>
    </row>
    <row r="452" spans="1:12" ht="18" customHeight="1" x14ac:dyDescent="0.3">
      <c r="A452" s="123" t="s">
        <v>1253</v>
      </c>
      <c r="B452" s="125" t="s">
        <v>1335</v>
      </c>
      <c r="C452" s="131">
        <v>80</v>
      </c>
      <c r="D452" s="122" t="s">
        <v>172</v>
      </c>
      <c r="E452" s="130" t="s">
        <v>1341</v>
      </c>
      <c r="F452" s="126"/>
      <c r="G452" s="123" t="s">
        <v>896</v>
      </c>
      <c r="I452" s="120" t="s">
        <v>244</v>
      </c>
      <c r="J452" s="120"/>
      <c r="K452" s="120"/>
      <c r="L452" s="120"/>
    </row>
    <row r="453" spans="1:12" ht="18" customHeight="1" x14ac:dyDescent="0.3">
      <c r="A453" s="123" t="s">
        <v>1254</v>
      </c>
      <c r="B453" s="125" t="s">
        <v>1335</v>
      </c>
      <c r="C453" s="131">
        <v>100</v>
      </c>
      <c r="D453" s="122" t="s">
        <v>172</v>
      </c>
      <c r="E453" s="130" t="s">
        <v>1342</v>
      </c>
      <c r="F453" s="126"/>
      <c r="G453" s="123" t="s">
        <v>896</v>
      </c>
      <c r="I453" s="120" t="s">
        <v>244</v>
      </c>
      <c r="J453" s="120"/>
      <c r="K453" s="120"/>
      <c r="L453" s="120"/>
    </row>
    <row r="454" spans="1:12" ht="18" customHeight="1" x14ac:dyDescent="0.3">
      <c r="A454" s="123" t="s">
        <v>1255</v>
      </c>
      <c r="B454" s="125" t="s">
        <v>1335</v>
      </c>
      <c r="C454" s="131">
        <v>125</v>
      </c>
      <c r="D454" s="122" t="s">
        <v>172</v>
      </c>
      <c r="E454" s="130" t="s">
        <v>1343</v>
      </c>
      <c r="F454" s="126"/>
      <c r="G454" s="123" t="s">
        <v>896</v>
      </c>
      <c r="I454" s="120" t="s">
        <v>244</v>
      </c>
      <c r="J454" s="120"/>
      <c r="K454" s="120"/>
      <c r="L454" s="120"/>
    </row>
    <row r="455" spans="1:12" ht="18" customHeight="1" x14ac:dyDescent="0.3">
      <c r="A455" s="123" t="s">
        <v>1256</v>
      </c>
      <c r="B455" s="125" t="s">
        <v>1335</v>
      </c>
      <c r="C455" s="131">
        <v>150</v>
      </c>
      <c r="D455" s="122" t="s">
        <v>172</v>
      </c>
      <c r="E455" s="130" t="s">
        <v>1344</v>
      </c>
      <c r="F455" s="126"/>
      <c r="G455" s="123" t="s">
        <v>896</v>
      </c>
      <c r="I455" s="120" t="s">
        <v>244</v>
      </c>
      <c r="J455" s="120"/>
      <c r="K455" s="120"/>
      <c r="L455" s="120"/>
    </row>
    <row r="456" spans="1:12" ht="18" customHeight="1" x14ac:dyDescent="0.3">
      <c r="A456" s="123" t="s">
        <v>1257</v>
      </c>
      <c r="B456" s="125" t="s">
        <v>1336</v>
      </c>
      <c r="C456" s="131">
        <v>40</v>
      </c>
      <c r="D456" s="122" t="s">
        <v>172</v>
      </c>
      <c r="E456" s="130" t="s">
        <v>1345</v>
      </c>
      <c r="F456" s="126"/>
      <c r="G456" s="123" t="s">
        <v>896</v>
      </c>
      <c r="I456" s="120" t="s">
        <v>244</v>
      </c>
      <c r="J456" s="120"/>
      <c r="K456" s="120"/>
      <c r="L456" s="120"/>
    </row>
    <row r="457" spans="1:12" ht="18" customHeight="1" x14ac:dyDescent="0.3">
      <c r="A457" s="123" t="s">
        <v>174</v>
      </c>
      <c r="B457" s="125" t="s">
        <v>1336</v>
      </c>
      <c r="C457" s="131">
        <v>50</v>
      </c>
      <c r="D457" s="122" t="s">
        <v>172</v>
      </c>
      <c r="E457" s="130" t="s">
        <v>173</v>
      </c>
      <c r="F457" s="126"/>
      <c r="G457" s="123" t="s">
        <v>896</v>
      </c>
      <c r="I457" s="120" t="s">
        <v>244</v>
      </c>
      <c r="J457" s="120"/>
      <c r="K457" s="120"/>
      <c r="L457" s="120"/>
    </row>
    <row r="458" spans="1:12" ht="18" customHeight="1" x14ac:dyDescent="0.3">
      <c r="A458" s="123" t="s">
        <v>1258</v>
      </c>
      <c r="B458" s="125" t="s">
        <v>1336</v>
      </c>
      <c r="C458" s="131">
        <v>65</v>
      </c>
      <c r="D458" s="122" t="s">
        <v>172</v>
      </c>
      <c r="E458" s="130" t="s">
        <v>1346</v>
      </c>
      <c r="F458" s="126"/>
      <c r="G458" s="123" t="s">
        <v>896</v>
      </c>
      <c r="I458" s="120" t="s">
        <v>244</v>
      </c>
      <c r="J458" s="120"/>
      <c r="K458" s="120"/>
      <c r="L458" s="120"/>
    </row>
    <row r="459" spans="1:12" ht="18" customHeight="1" x14ac:dyDescent="0.3">
      <c r="A459" s="123" t="s">
        <v>176</v>
      </c>
      <c r="B459" s="125" t="s">
        <v>1336</v>
      </c>
      <c r="C459" s="131">
        <v>80</v>
      </c>
      <c r="D459" s="122" t="s">
        <v>172</v>
      </c>
      <c r="E459" s="130" t="s">
        <v>175</v>
      </c>
      <c r="F459" s="126"/>
      <c r="G459" s="123" t="s">
        <v>896</v>
      </c>
      <c r="I459" s="120" t="s">
        <v>244</v>
      </c>
      <c r="J459" s="120"/>
      <c r="K459" s="120"/>
      <c r="L459" s="120"/>
    </row>
    <row r="460" spans="1:12" ht="18" customHeight="1" x14ac:dyDescent="0.3">
      <c r="A460" s="123" t="s">
        <v>1259</v>
      </c>
      <c r="B460" s="125" t="s">
        <v>1336</v>
      </c>
      <c r="C460" s="131">
        <v>100</v>
      </c>
      <c r="D460" s="122" t="s">
        <v>172</v>
      </c>
      <c r="E460" s="130" t="s">
        <v>1347</v>
      </c>
      <c r="F460" s="126"/>
      <c r="G460" s="123" t="s">
        <v>896</v>
      </c>
      <c r="I460" s="120" t="s">
        <v>244</v>
      </c>
      <c r="J460" s="120"/>
      <c r="K460" s="120"/>
      <c r="L460" s="120"/>
    </row>
    <row r="461" spans="1:12" ht="18" customHeight="1" x14ac:dyDescent="0.3">
      <c r="A461" s="123" t="s">
        <v>1260</v>
      </c>
      <c r="B461" s="125" t="s">
        <v>1336</v>
      </c>
      <c r="C461" s="131">
        <v>125</v>
      </c>
      <c r="D461" s="122" t="s">
        <v>172</v>
      </c>
      <c r="E461" s="130" t="s">
        <v>1348</v>
      </c>
      <c r="F461" s="126"/>
      <c r="G461" s="123" t="s">
        <v>896</v>
      </c>
      <c r="I461" s="120" t="s">
        <v>244</v>
      </c>
      <c r="J461" s="120"/>
      <c r="K461" s="120"/>
      <c r="L461" s="120"/>
    </row>
    <row r="462" spans="1:12" ht="18" customHeight="1" x14ac:dyDescent="0.3">
      <c r="A462" s="123" t="s">
        <v>178</v>
      </c>
      <c r="B462" s="125" t="s">
        <v>1336</v>
      </c>
      <c r="C462" s="131">
        <v>150</v>
      </c>
      <c r="D462" s="122" t="s">
        <v>172</v>
      </c>
      <c r="E462" s="130" t="s">
        <v>177</v>
      </c>
      <c r="F462" s="126"/>
      <c r="G462" s="123" t="s">
        <v>896</v>
      </c>
      <c r="I462" s="120" t="s">
        <v>244</v>
      </c>
      <c r="J462" s="120"/>
      <c r="K462" s="120"/>
      <c r="L462" s="120"/>
    </row>
    <row r="463" spans="1:12" ht="18" customHeight="1" x14ac:dyDescent="0.3">
      <c r="A463" s="123" t="s">
        <v>1261</v>
      </c>
      <c r="B463" s="125" t="s">
        <v>1336</v>
      </c>
      <c r="C463" s="131">
        <v>200</v>
      </c>
      <c r="D463" s="122" t="s">
        <v>172</v>
      </c>
      <c r="E463" s="130" t="s">
        <v>1349</v>
      </c>
      <c r="F463" s="126"/>
      <c r="G463" s="123" t="s">
        <v>896</v>
      </c>
      <c r="I463" s="120" t="s">
        <v>244</v>
      </c>
      <c r="J463" s="120"/>
      <c r="K463" s="120"/>
      <c r="L463" s="135"/>
    </row>
    <row r="464" spans="1:12" ht="18" customHeight="1" x14ac:dyDescent="0.3">
      <c r="A464" s="123" t="s">
        <v>1262</v>
      </c>
      <c r="B464" s="125" t="s">
        <v>1336</v>
      </c>
      <c r="C464" s="131">
        <v>250</v>
      </c>
      <c r="D464" s="122" t="s">
        <v>172</v>
      </c>
      <c r="E464" s="130" t="s">
        <v>1350</v>
      </c>
      <c r="F464" s="126"/>
      <c r="G464" s="123" t="s">
        <v>896</v>
      </c>
      <c r="I464" s="120" t="s">
        <v>648</v>
      </c>
      <c r="J464" s="120"/>
      <c r="K464" s="120"/>
      <c r="L464" s="135"/>
    </row>
    <row r="465" spans="1:12" ht="18" customHeight="1" x14ac:dyDescent="0.3">
      <c r="A465" s="123" t="s">
        <v>1263</v>
      </c>
      <c r="B465" s="125" t="s">
        <v>1336</v>
      </c>
      <c r="C465" s="131">
        <v>300</v>
      </c>
      <c r="D465" s="122" t="s">
        <v>172</v>
      </c>
      <c r="E465" s="130" t="s">
        <v>1351</v>
      </c>
      <c r="F465" s="126"/>
      <c r="G465" s="123" t="s">
        <v>896</v>
      </c>
      <c r="I465" s="120" t="s">
        <v>649</v>
      </c>
      <c r="J465" s="120"/>
      <c r="K465" s="120"/>
      <c r="L465" s="135"/>
    </row>
    <row r="466" spans="1:12" ht="18" customHeight="1" x14ac:dyDescent="0.3">
      <c r="A466" s="123" t="s">
        <v>1264</v>
      </c>
      <c r="B466" s="125" t="s">
        <v>1336</v>
      </c>
      <c r="C466" s="131">
        <v>350</v>
      </c>
      <c r="D466" s="122" t="s">
        <v>172</v>
      </c>
      <c r="E466" s="130" t="s">
        <v>1352</v>
      </c>
      <c r="F466" s="126"/>
      <c r="G466" s="123" t="s">
        <v>896</v>
      </c>
      <c r="I466" s="120" t="s">
        <v>650</v>
      </c>
      <c r="J466" s="120"/>
      <c r="K466" s="120"/>
      <c r="L466" s="135"/>
    </row>
    <row r="467" spans="1:12" ht="18" customHeight="1" x14ac:dyDescent="0.3">
      <c r="A467" s="123" t="s">
        <v>1265</v>
      </c>
      <c r="B467" s="125" t="s">
        <v>1336</v>
      </c>
      <c r="C467" s="131">
        <v>400</v>
      </c>
      <c r="D467" s="122" t="s">
        <v>172</v>
      </c>
      <c r="E467" s="130" t="s">
        <v>1353</v>
      </c>
      <c r="F467" s="126"/>
      <c r="G467" s="123" t="s">
        <v>896</v>
      </c>
      <c r="I467" s="120" t="s">
        <v>651</v>
      </c>
      <c r="J467" s="120"/>
      <c r="K467" s="120"/>
      <c r="L467" s="135"/>
    </row>
    <row r="468" spans="1:12" ht="18" customHeight="1" x14ac:dyDescent="0.3">
      <c r="A468" s="123" t="s">
        <v>1266</v>
      </c>
      <c r="B468" s="125" t="s">
        <v>1336</v>
      </c>
      <c r="C468" s="131">
        <v>450</v>
      </c>
      <c r="D468" s="122" t="s">
        <v>172</v>
      </c>
      <c r="E468" s="130" t="s">
        <v>1354</v>
      </c>
      <c r="F468" s="126"/>
      <c r="G468" s="123" t="s">
        <v>896</v>
      </c>
      <c r="I468" s="120" t="s">
        <v>652</v>
      </c>
      <c r="J468" s="120"/>
      <c r="K468" s="120"/>
      <c r="L468" s="135"/>
    </row>
    <row r="469" spans="1:12" ht="18" customHeight="1" x14ac:dyDescent="0.3">
      <c r="A469" s="123" t="s">
        <v>1267</v>
      </c>
      <c r="B469" s="125" t="s">
        <v>1336</v>
      </c>
      <c r="C469" s="131">
        <v>500</v>
      </c>
      <c r="D469" s="122" t="s">
        <v>172</v>
      </c>
      <c r="E469" s="130" t="s">
        <v>1355</v>
      </c>
      <c r="F469" s="126"/>
      <c r="G469" s="123" t="s">
        <v>896</v>
      </c>
      <c r="I469" s="120" t="s">
        <v>653</v>
      </c>
      <c r="J469" s="120"/>
      <c r="K469" s="120"/>
      <c r="L469" s="135"/>
    </row>
    <row r="470" spans="1:12" ht="18" customHeight="1" x14ac:dyDescent="0.3">
      <c r="A470" s="123" t="s">
        <v>1268</v>
      </c>
      <c r="B470" s="125" t="s">
        <v>1337</v>
      </c>
      <c r="C470" s="131">
        <v>200</v>
      </c>
      <c r="D470" s="122" t="s">
        <v>172</v>
      </c>
      <c r="E470" s="130" t="s">
        <v>1356</v>
      </c>
      <c r="F470" s="126"/>
      <c r="G470" s="123" t="s">
        <v>896</v>
      </c>
      <c r="I470" s="120" t="s">
        <v>244</v>
      </c>
      <c r="J470" s="120"/>
      <c r="K470" s="120"/>
      <c r="L470" s="135"/>
    </row>
    <row r="471" spans="1:12" ht="18" customHeight="1" x14ac:dyDescent="0.3">
      <c r="A471" s="123" t="s">
        <v>1269</v>
      </c>
      <c r="B471" s="125" t="s">
        <v>1337</v>
      </c>
      <c r="C471" s="131">
        <v>250</v>
      </c>
      <c r="D471" s="122" t="s">
        <v>172</v>
      </c>
      <c r="E471" s="130" t="s">
        <v>1357</v>
      </c>
      <c r="F471" s="126"/>
      <c r="G471" s="123" t="s">
        <v>896</v>
      </c>
      <c r="I471" s="120" t="s">
        <v>648</v>
      </c>
      <c r="J471" s="120"/>
      <c r="K471" s="120"/>
      <c r="L471" s="135"/>
    </row>
    <row r="472" spans="1:12" ht="18" customHeight="1" x14ac:dyDescent="0.3">
      <c r="A472" s="123" t="s">
        <v>1270</v>
      </c>
      <c r="B472" s="125" t="s">
        <v>1337</v>
      </c>
      <c r="C472" s="131">
        <v>300</v>
      </c>
      <c r="D472" s="122" t="s">
        <v>172</v>
      </c>
      <c r="E472" s="130" t="s">
        <v>1358</v>
      </c>
      <c r="F472" s="126"/>
      <c r="G472" s="123" t="s">
        <v>896</v>
      </c>
      <c r="I472" s="120" t="s">
        <v>649</v>
      </c>
      <c r="J472" s="120"/>
      <c r="K472" s="120"/>
      <c r="L472" s="135"/>
    </row>
    <row r="473" spans="1:12" ht="18" customHeight="1" x14ac:dyDescent="0.3">
      <c r="A473" s="123" t="s">
        <v>1271</v>
      </c>
      <c r="B473" s="125" t="s">
        <v>1337</v>
      </c>
      <c r="C473" s="131">
        <v>350</v>
      </c>
      <c r="D473" s="122" t="s">
        <v>172</v>
      </c>
      <c r="E473" s="130" t="s">
        <v>1359</v>
      </c>
      <c r="F473" s="126"/>
      <c r="G473" s="123" t="s">
        <v>896</v>
      </c>
      <c r="I473" s="120" t="s">
        <v>650</v>
      </c>
      <c r="J473" s="120"/>
      <c r="K473" s="120"/>
      <c r="L473" s="135"/>
    </row>
    <row r="474" spans="1:12" ht="18" customHeight="1" x14ac:dyDescent="0.3">
      <c r="A474" s="123" t="s">
        <v>1272</v>
      </c>
      <c r="B474" s="125" t="s">
        <v>1337</v>
      </c>
      <c r="C474" s="131">
        <v>400</v>
      </c>
      <c r="D474" s="122" t="s">
        <v>172</v>
      </c>
      <c r="E474" s="130" t="s">
        <v>1360</v>
      </c>
      <c r="F474" s="126"/>
      <c r="G474" s="123" t="s">
        <v>896</v>
      </c>
      <c r="I474" s="120" t="s">
        <v>651</v>
      </c>
      <c r="J474" s="120"/>
      <c r="K474" s="120"/>
      <c r="L474" s="135"/>
    </row>
    <row r="475" spans="1:12" ht="18" customHeight="1" x14ac:dyDescent="0.3">
      <c r="A475" s="123" t="s">
        <v>1273</v>
      </c>
      <c r="B475" s="125" t="s">
        <v>1337</v>
      </c>
      <c r="C475" s="131">
        <v>450</v>
      </c>
      <c r="D475" s="122" t="s">
        <v>172</v>
      </c>
      <c r="E475" s="130" t="s">
        <v>1361</v>
      </c>
      <c r="F475" s="126"/>
      <c r="G475" s="123" t="s">
        <v>896</v>
      </c>
      <c r="I475" s="120" t="s">
        <v>652</v>
      </c>
      <c r="J475" s="120"/>
      <c r="K475" s="120"/>
      <c r="L475" s="135"/>
    </row>
    <row r="476" spans="1:12" ht="18" customHeight="1" x14ac:dyDescent="0.3">
      <c r="A476" s="123" t="s">
        <v>1274</v>
      </c>
      <c r="B476" s="125" t="s">
        <v>1337</v>
      </c>
      <c r="C476" s="131">
        <v>500</v>
      </c>
      <c r="D476" s="122" t="s">
        <v>172</v>
      </c>
      <c r="E476" s="130" t="s">
        <v>1362</v>
      </c>
      <c r="F476" s="126"/>
      <c r="G476" s="123" t="s">
        <v>896</v>
      </c>
      <c r="I476" s="120" t="s">
        <v>653</v>
      </c>
      <c r="J476" s="120"/>
      <c r="K476" s="120"/>
      <c r="L476" s="135"/>
    </row>
    <row r="477" spans="1:12" ht="18" customHeight="1" x14ac:dyDescent="0.3">
      <c r="A477" s="123" t="s">
        <v>1275</v>
      </c>
      <c r="B477" s="125" t="s">
        <v>1337</v>
      </c>
      <c r="C477" s="131">
        <v>600</v>
      </c>
      <c r="D477" s="122" t="s">
        <v>172</v>
      </c>
      <c r="E477" s="130" t="s">
        <v>1363</v>
      </c>
      <c r="F477" s="126"/>
      <c r="G477" s="123" t="s">
        <v>896</v>
      </c>
      <c r="I477" s="120" t="s">
        <v>654</v>
      </c>
      <c r="J477" s="120"/>
      <c r="K477" s="120"/>
      <c r="L477" s="135"/>
    </row>
    <row r="478" spans="1:12" ht="18" customHeight="1" x14ac:dyDescent="0.3">
      <c r="A478" s="123" t="s">
        <v>1276</v>
      </c>
      <c r="B478" s="125" t="s">
        <v>1337</v>
      </c>
      <c r="C478" s="131">
        <v>700</v>
      </c>
      <c r="D478" s="122" t="s">
        <v>172</v>
      </c>
      <c r="E478" s="130" t="s">
        <v>1364</v>
      </c>
      <c r="F478" s="126"/>
      <c r="G478" s="123" t="s">
        <v>896</v>
      </c>
      <c r="I478" s="120" t="s">
        <v>655</v>
      </c>
      <c r="J478" s="120"/>
      <c r="K478" s="120"/>
      <c r="L478" s="135"/>
    </row>
    <row r="479" spans="1:12" ht="18" customHeight="1" x14ac:dyDescent="0.3">
      <c r="A479" s="123" t="s">
        <v>1277</v>
      </c>
      <c r="B479" s="125" t="s">
        <v>1337</v>
      </c>
      <c r="C479" s="131">
        <v>800</v>
      </c>
      <c r="D479" s="122" t="s">
        <v>172</v>
      </c>
      <c r="E479" s="130" t="s">
        <v>1365</v>
      </c>
      <c r="F479" s="126"/>
      <c r="G479" s="123" t="s">
        <v>896</v>
      </c>
      <c r="I479" s="120" t="s">
        <v>656</v>
      </c>
      <c r="J479" s="120"/>
      <c r="K479" s="120"/>
      <c r="L479" s="135"/>
    </row>
    <row r="480" spans="1:12" ht="18" customHeight="1" x14ac:dyDescent="0.3">
      <c r="A480" s="123" t="s">
        <v>1278</v>
      </c>
      <c r="B480" s="125" t="s">
        <v>1337</v>
      </c>
      <c r="C480" s="131">
        <v>900</v>
      </c>
      <c r="D480" s="122" t="s">
        <v>172</v>
      </c>
      <c r="E480" s="130" t="s">
        <v>1366</v>
      </c>
      <c r="F480" s="126"/>
      <c r="G480" s="123" t="s">
        <v>896</v>
      </c>
      <c r="I480" s="120" t="s">
        <v>657</v>
      </c>
      <c r="J480" s="120"/>
      <c r="K480" s="120"/>
      <c r="L480" s="135"/>
    </row>
    <row r="481" spans="1:12" ht="18" customHeight="1" x14ac:dyDescent="0.3">
      <c r="A481" s="123" t="s">
        <v>1279</v>
      </c>
      <c r="B481" s="125" t="s">
        <v>1337</v>
      </c>
      <c r="C481" s="131">
        <v>1000</v>
      </c>
      <c r="D481" s="122" t="s">
        <v>172</v>
      </c>
      <c r="E481" s="130" t="s">
        <v>1367</v>
      </c>
      <c r="F481" s="126"/>
      <c r="G481" s="123" t="s">
        <v>896</v>
      </c>
      <c r="I481" s="120" t="s">
        <v>658</v>
      </c>
      <c r="J481" s="120"/>
      <c r="K481" s="120"/>
      <c r="L481" s="135"/>
    </row>
    <row r="482" spans="1:12" ht="18" customHeight="1" x14ac:dyDescent="0.3">
      <c r="A482" s="123" t="s">
        <v>1280</v>
      </c>
      <c r="B482" s="125" t="s">
        <v>1337</v>
      </c>
      <c r="C482" s="131">
        <v>1100</v>
      </c>
      <c r="D482" s="122" t="s">
        <v>172</v>
      </c>
      <c r="E482" s="130" t="s">
        <v>1368</v>
      </c>
      <c r="F482" s="126"/>
      <c r="G482" s="123" t="s">
        <v>896</v>
      </c>
      <c r="I482" s="120" t="s">
        <v>659</v>
      </c>
      <c r="J482" s="120"/>
      <c r="K482" s="120"/>
      <c r="L482" s="135"/>
    </row>
    <row r="483" spans="1:12" ht="18" customHeight="1" x14ac:dyDescent="0.3">
      <c r="A483" s="123" t="s">
        <v>1281</v>
      </c>
      <c r="B483" s="125" t="s">
        <v>1337</v>
      </c>
      <c r="C483" s="131">
        <v>1200</v>
      </c>
      <c r="D483" s="122" t="s">
        <v>172</v>
      </c>
      <c r="E483" s="130" t="s">
        <v>1369</v>
      </c>
      <c r="F483" s="126"/>
      <c r="G483" s="123" t="s">
        <v>896</v>
      </c>
      <c r="I483" s="120" t="s">
        <v>661</v>
      </c>
      <c r="J483" s="120"/>
      <c r="K483" s="120"/>
      <c r="L483" s="135"/>
    </row>
    <row r="484" spans="1:12" ht="18" customHeight="1" x14ac:dyDescent="0.3">
      <c r="A484" s="123" t="s">
        <v>1282</v>
      </c>
      <c r="B484" s="125" t="s">
        <v>1337</v>
      </c>
      <c r="C484" s="131">
        <v>1350</v>
      </c>
      <c r="D484" s="122" t="s">
        <v>172</v>
      </c>
      <c r="E484" s="130" t="s">
        <v>1370</v>
      </c>
      <c r="F484" s="126"/>
      <c r="G484" s="123" t="s">
        <v>896</v>
      </c>
      <c r="I484" s="120" t="s">
        <v>662</v>
      </c>
      <c r="J484" s="120"/>
      <c r="K484" s="120"/>
      <c r="L484" s="135"/>
    </row>
    <row r="485" spans="1:12" ht="18" customHeight="1" x14ac:dyDescent="0.3">
      <c r="A485" s="123" t="s">
        <v>1283</v>
      </c>
      <c r="B485" s="125" t="s">
        <v>1337</v>
      </c>
      <c r="C485" s="131">
        <v>1500</v>
      </c>
      <c r="D485" s="122" t="s">
        <v>172</v>
      </c>
      <c r="E485" s="130" t="s">
        <v>1371</v>
      </c>
      <c r="F485" s="126"/>
      <c r="G485" s="123" t="s">
        <v>896</v>
      </c>
      <c r="I485" s="120" t="s">
        <v>663</v>
      </c>
      <c r="J485" s="120"/>
      <c r="K485" s="120"/>
      <c r="L485" s="135"/>
    </row>
    <row r="486" spans="1:12" ht="18" customHeight="1" x14ac:dyDescent="0.3">
      <c r="A486" s="123" t="s">
        <v>1284</v>
      </c>
      <c r="B486" s="125" t="s">
        <v>1337</v>
      </c>
      <c r="C486" s="131">
        <v>1600</v>
      </c>
      <c r="D486" s="122" t="s">
        <v>172</v>
      </c>
      <c r="E486" s="130" t="s">
        <v>1372</v>
      </c>
      <c r="F486" s="126"/>
      <c r="G486" s="123" t="s">
        <v>896</v>
      </c>
      <c r="I486" s="120" t="s">
        <v>664</v>
      </c>
      <c r="J486" s="120"/>
      <c r="K486" s="120"/>
      <c r="L486" s="135"/>
    </row>
    <row r="487" spans="1:12" ht="18" customHeight="1" x14ac:dyDescent="0.3">
      <c r="A487" s="123" t="s">
        <v>1285</v>
      </c>
      <c r="B487" s="125" t="s">
        <v>1337</v>
      </c>
      <c r="C487" s="131">
        <v>1650</v>
      </c>
      <c r="D487" s="122" t="s">
        <v>172</v>
      </c>
      <c r="E487" s="130" t="s">
        <v>1373</v>
      </c>
      <c r="F487" s="126"/>
      <c r="G487" s="123" t="s">
        <v>896</v>
      </c>
      <c r="I487" s="120" t="s">
        <v>666</v>
      </c>
      <c r="J487" s="120"/>
      <c r="K487" s="120"/>
      <c r="L487" s="135"/>
    </row>
    <row r="488" spans="1:12" ht="18" customHeight="1" x14ac:dyDescent="0.3">
      <c r="A488" s="123" t="s">
        <v>1286</v>
      </c>
      <c r="B488" s="125" t="s">
        <v>1337</v>
      </c>
      <c r="C488" s="131">
        <v>1800</v>
      </c>
      <c r="D488" s="122" t="s">
        <v>172</v>
      </c>
      <c r="E488" s="130" t="s">
        <v>1374</v>
      </c>
      <c r="F488" s="126"/>
      <c r="G488" s="123" t="s">
        <v>896</v>
      </c>
      <c r="I488" s="120" t="s">
        <v>667</v>
      </c>
      <c r="J488" s="120"/>
      <c r="K488" s="120"/>
      <c r="L488" s="135"/>
    </row>
    <row r="489" spans="1:12" ht="18" customHeight="1" x14ac:dyDescent="0.3">
      <c r="A489" s="123" t="s">
        <v>1287</v>
      </c>
      <c r="B489" s="125" t="s">
        <v>1337</v>
      </c>
      <c r="C489" s="131">
        <v>2000</v>
      </c>
      <c r="D489" s="122" t="s">
        <v>172</v>
      </c>
      <c r="E489" s="130" t="s">
        <v>1375</v>
      </c>
      <c r="F489" s="126"/>
      <c r="G489" s="123" t="s">
        <v>896</v>
      </c>
      <c r="I489" s="120" t="s">
        <v>668</v>
      </c>
      <c r="J489" s="120"/>
      <c r="K489" s="120"/>
      <c r="L489" s="135"/>
    </row>
    <row r="490" spans="1:12" ht="18" customHeight="1" x14ac:dyDescent="0.3">
      <c r="A490" s="123" t="s">
        <v>1288</v>
      </c>
      <c r="B490" s="125" t="s">
        <v>1337</v>
      </c>
      <c r="C490" s="131">
        <v>2100</v>
      </c>
      <c r="D490" s="122" t="s">
        <v>172</v>
      </c>
      <c r="E490" s="130" t="s">
        <v>1376</v>
      </c>
      <c r="F490" s="126"/>
      <c r="G490" s="123" t="s">
        <v>896</v>
      </c>
      <c r="I490" s="120" t="s">
        <v>669</v>
      </c>
      <c r="J490" s="120"/>
      <c r="K490" s="120"/>
      <c r="L490" s="135"/>
    </row>
    <row r="491" spans="1:12" ht="18" customHeight="1" x14ac:dyDescent="0.3">
      <c r="A491" s="123" t="s">
        <v>1289</v>
      </c>
      <c r="B491" s="125" t="s">
        <v>1337</v>
      </c>
      <c r="C491" s="131">
        <v>2200</v>
      </c>
      <c r="D491" s="122" t="s">
        <v>172</v>
      </c>
      <c r="E491" s="130" t="s">
        <v>1377</v>
      </c>
      <c r="F491" s="126"/>
      <c r="G491" s="123" t="s">
        <v>896</v>
      </c>
      <c r="I491" s="120" t="s">
        <v>671</v>
      </c>
      <c r="J491" s="120"/>
      <c r="K491" s="120"/>
      <c r="L491" s="135"/>
    </row>
    <row r="492" spans="1:12" ht="18" customHeight="1" x14ac:dyDescent="0.3">
      <c r="A492" s="123" t="s">
        <v>1290</v>
      </c>
      <c r="B492" s="125" t="s">
        <v>1337</v>
      </c>
      <c r="C492" s="131">
        <v>200</v>
      </c>
      <c r="D492" s="122" t="s">
        <v>172</v>
      </c>
      <c r="E492" s="130" t="s">
        <v>1356</v>
      </c>
      <c r="F492" s="126"/>
      <c r="G492" s="123" t="s">
        <v>896</v>
      </c>
      <c r="I492" s="120" t="s">
        <v>244</v>
      </c>
      <c r="J492" s="120"/>
      <c r="K492" s="120"/>
      <c r="L492" s="135"/>
    </row>
    <row r="493" spans="1:12" ht="18" customHeight="1" x14ac:dyDescent="0.3">
      <c r="A493" s="123" t="s">
        <v>1291</v>
      </c>
      <c r="B493" s="125" t="s">
        <v>1337</v>
      </c>
      <c r="C493" s="131">
        <v>250</v>
      </c>
      <c r="D493" s="122" t="s">
        <v>172</v>
      </c>
      <c r="E493" s="130" t="s">
        <v>1357</v>
      </c>
      <c r="F493" s="126"/>
      <c r="G493" s="123" t="s">
        <v>896</v>
      </c>
      <c r="I493" s="120" t="s">
        <v>648</v>
      </c>
      <c r="J493" s="120"/>
      <c r="K493" s="120"/>
      <c r="L493" s="135"/>
    </row>
    <row r="494" spans="1:12" ht="18" customHeight="1" x14ac:dyDescent="0.3">
      <c r="A494" s="123" t="s">
        <v>1292</v>
      </c>
      <c r="B494" s="125" t="s">
        <v>1337</v>
      </c>
      <c r="C494" s="131">
        <v>300</v>
      </c>
      <c r="D494" s="122" t="s">
        <v>172</v>
      </c>
      <c r="E494" s="130" t="s">
        <v>1358</v>
      </c>
      <c r="F494" s="126"/>
      <c r="G494" s="123" t="s">
        <v>896</v>
      </c>
      <c r="I494" s="120" t="s">
        <v>649</v>
      </c>
      <c r="J494" s="120"/>
      <c r="K494" s="120"/>
      <c r="L494" s="135"/>
    </row>
    <row r="495" spans="1:12" ht="18" customHeight="1" x14ac:dyDescent="0.3">
      <c r="A495" s="123" t="s">
        <v>1293</v>
      </c>
      <c r="B495" s="125" t="s">
        <v>1337</v>
      </c>
      <c r="C495" s="131">
        <v>350</v>
      </c>
      <c r="D495" s="122" t="s">
        <v>172</v>
      </c>
      <c r="E495" s="130" t="s">
        <v>1359</v>
      </c>
      <c r="F495" s="126"/>
      <c r="G495" s="123" t="s">
        <v>896</v>
      </c>
      <c r="I495" s="120" t="s">
        <v>650</v>
      </c>
      <c r="J495" s="120"/>
      <c r="K495" s="120"/>
      <c r="L495" s="135"/>
    </row>
    <row r="496" spans="1:12" ht="18" customHeight="1" x14ac:dyDescent="0.3">
      <c r="A496" s="123" t="s">
        <v>1294</v>
      </c>
      <c r="B496" s="125" t="s">
        <v>1337</v>
      </c>
      <c r="C496" s="131">
        <v>400</v>
      </c>
      <c r="D496" s="122" t="s">
        <v>172</v>
      </c>
      <c r="E496" s="130" t="s">
        <v>1360</v>
      </c>
      <c r="F496" s="126"/>
      <c r="G496" s="123" t="s">
        <v>896</v>
      </c>
      <c r="I496" s="120" t="s">
        <v>651</v>
      </c>
      <c r="J496" s="120"/>
      <c r="K496" s="120"/>
      <c r="L496" s="135"/>
    </row>
    <row r="497" spans="1:12" ht="18" customHeight="1" x14ac:dyDescent="0.3">
      <c r="A497" s="123" t="s">
        <v>1295</v>
      </c>
      <c r="B497" s="125" t="s">
        <v>1337</v>
      </c>
      <c r="C497" s="131">
        <v>450</v>
      </c>
      <c r="D497" s="122" t="s">
        <v>172</v>
      </c>
      <c r="E497" s="130" t="s">
        <v>1361</v>
      </c>
      <c r="F497" s="126"/>
      <c r="G497" s="123" t="s">
        <v>896</v>
      </c>
      <c r="I497" s="120" t="s">
        <v>652</v>
      </c>
      <c r="J497" s="120"/>
      <c r="K497" s="120"/>
      <c r="L497" s="135"/>
    </row>
    <row r="498" spans="1:12" ht="18" customHeight="1" x14ac:dyDescent="0.3">
      <c r="A498" s="123" t="s">
        <v>1296</v>
      </c>
      <c r="B498" s="125" t="s">
        <v>1337</v>
      </c>
      <c r="C498" s="131">
        <v>500</v>
      </c>
      <c r="D498" s="122" t="s">
        <v>172</v>
      </c>
      <c r="E498" s="130" t="s">
        <v>1362</v>
      </c>
      <c r="F498" s="126"/>
      <c r="G498" s="123" t="s">
        <v>896</v>
      </c>
      <c r="I498" s="120" t="s">
        <v>653</v>
      </c>
      <c r="J498" s="120"/>
      <c r="K498" s="120"/>
      <c r="L498" s="135"/>
    </row>
    <row r="499" spans="1:12" ht="18" customHeight="1" x14ac:dyDescent="0.3">
      <c r="A499" s="123" t="s">
        <v>1297</v>
      </c>
      <c r="B499" s="125" t="s">
        <v>1337</v>
      </c>
      <c r="C499" s="131">
        <v>600</v>
      </c>
      <c r="D499" s="122" t="s">
        <v>172</v>
      </c>
      <c r="E499" s="130" t="s">
        <v>1363</v>
      </c>
      <c r="F499" s="126"/>
      <c r="G499" s="123" t="s">
        <v>896</v>
      </c>
      <c r="I499" s="120" t="s">
        <v>654</v>
      </c>
      <c r="J499" s="120"/>
      <c r="K499" s="120"/>
      <c r="L499" s="135"/>
    </row>
    <row r="500" spans="1:12" ht="18" customHeight="1" x14ac:dyDescent="0.3">
      <c r="A500" s="123" t="s">
        <v>1298</v>
      </c>
      <c r="B500" s="125" t="s">
        <v>1337</v>
      </c>
      <c r="C500" s="131">
        <v>700</v>
      </c>
      <c r="D500" s="122" t="s">
        <v>172</v>
      </c>
      <c r="E500" s="130" t="s">
        <v>1364</v>
      </c>
      <c r="F500" s="126"/>
      <c r="G500" s="123" t="s">
        <v>896</v>
      </c>
      <c r="I500" s="120" t="s">
        <v>655</v>
      </c>
      <c r="J500" s="120"/>
      <c r="K500" s="120"/>
      <c r="L500" s="135"/>
    </row>
    <row r="501" spans="1:12" ht="18" customHeight="1" x14ac:dyDescent="0.3">
      <c r="A501" s="123" t="s">
        <v>1299</v>
      </c>
      <c r="B501" s="125" t="s">
        <v>1337</v>
      </c>
      <c r="C501" s="131">
        <v>800</v>
      </c>
      <c r="D501" s="122" t="s">
        <v>172</v>
      </c>
      <c r="E501" s="130" t="s">
        <v>1365</v>
      </c>
      <c r="F501" s="126"/>
      <c r="G501" s="123" t="s">
        <v>896</v>
      </c>
      <c r="I501" s="120" t="s">
        <v>656</v>
      </c>
      <c r="J501" s="120"/>
      <c r="K501" s="120"/>
      <c r="L501" s="135"/>
    </row>
    <row r="502" spans="1:12" ht="18" customHeight="1" x14ac:dyDescent="0.3">
      <c r="A502" s="123" t="s">
        <v>1300</v>
      </c>
      <c r="B502" s="125" t="s">
        <v>1337</v>
      </c>
      <c r="C502" s="131">
        <v>900</v>
      </c>
      <c r="D502" s="122" t="s">
        <v>172</v>
      </c>
      <c r="E502" s="130" t="s">
        <v>1366</v>
      </c>
      <c r="F502" s="126"/>
      <c r="G502" s="123" t="s">
        <v>896</v>
      </c>
      <c r="I502" s="120" t="s">
        <v>657</v>
      </c>
      <c r="J502" s="120"/>
      <c r="K502" s="120"/>
      <c r="L502" s="135"/>
    </row>
    <row r="503" spans="1:12" ht="18" customHeight="1" x14ac:dyDescent="0.3">
      <c r="A503" s="123" t="s">
        <v>1301</v>
      </c>
      <c r="B503" s="125" t="s">
        <v>1337</v>
      </c>
      <c r="C503" s="131">
        <v>1000</v>
      </c>
      <c r="D503" s="122" t="s">
        <v>172</v>
      </c>
      <c r="E503" s="130" t="s">
        <v>1367</v>
      </c>
      <c r="F503" s="126"/>
      <c r="G503" s="123" t="s">
        <v>896</v>
      </c>
      <c r="I503" s="120" t="s">
        <v>658</v>
      </c>
      <c r="J503" s="120"/>
      <c r="K503" s="120"/>
      <c r="L503" s="135"/>
    </row>
    <row r="504" spans="1:12" ht="18" customHeight="1" x14ac:dyDescent="0.3">
      <c r="A504" s="123" t="s">
        <v>1302</v>
      </c>
      <c r="B504" s="125" t="s">
        <v>1337</v>
      </c>
      <c r="C504" s="131">
        <v>1100</v>
      </c>
      <c r="D504" s="122" t="s">
        <v>172</v>
      </c>
      <c r="E504" s="130" t="s">
        <v>1368</v>
      </c>
      <c r="F504" s="126"/>
      <c r="G504" s="123" t="s">
        <v>896</v>
      </c>
      <c r="I504" s="120" t="s">
        <v>659</v>
      </c>
      <c r="J504" s="120"/>
      <c r="K504" s="120"/>
      <c r="L504" s="135"/>
    </row>
    <row r="505" spans="1:12" ht="18" customHeight="1" x14ac:dyDescent="0.3">
      <c r="A505" s="123" t="s">
        <v>1303</v>
      </c>
      <c r="B505" s="125" t="s">
        <v>1337</v>
      </c>
      <c r="C505" s="131">
        <v>1200</v>
      </c>
      <c r="D505" s="122" t="s">
        <v>172</v>
      </c>
      <c r="E505" s="130" t="s">
        <v>1369</v>
      </c>
      <c r="F505" s="126"/>
      <c r="G505" s="123" t="s">
        <v>896</v>
      </c>
      <c r="I505" s="120" t="s">
        <v>661</v>
      </c>
      <c r="J505" s="120"/>
      <c r="K505" s="120"/>
      <c r="L505" s="135"/>
    </row>
    <row r="506" spans="1:12" ht="18" customHeight="1" x14ac:dyDescent="0.3">
      <c r="A506" s="123" t="s">
        <v>1304</v>
      </c>
      <c r="B506" s="125" t="s">
        <v>1337</v>
      </c>
      <c r="C506" s="131">
        <v>1350</v>
      </c>
      <c r="D506" s="122" t="s">
        <v>172</v>
      </c>
      <c r="E506" s="130" t="s">
        <v>1370</v>
      </c>
      <c r="F506" s="126"/>
      <c r="G506" s="123" t="s">
        <v>896</v>
      </c>
      <c r="I506" s="120" t="s">
        <v>662</v>
      </c>
      <c r="J506" s="120"/>
      <c r="K506" s="120"/>
      <c r="L506" s="135"/>
    </row>
    <row r="507" spans="1:12" ht="18" customHeight="1" x14ac:dyDescent="0.3">
      <c r="A507" s="123" t="s">
        <v>1305</v>
      </c>
      <c r="B507" s="125" t="s">
        <v>1337</v>
      </c>
      <c r="C507" s="131">
        <v>1500</v>
      </c>
      <c r="D507" s="122" t="s">
        <v>172</v>
      </c>
      <c r="E507" s="130" t="s">
        <v>1371</v>
      </c>
      <c r="F507" s="126"/>
      <c r="G507" s="123" t="s">
        <v>896</v>
      </c>
      <c r="I507" s="120" t="s">
        <v>663</v>
      </c>
      <c r="J507" s="120"/>
      <c r="K507" s="120"/>
      <c r="L507" s="135"/>
    </row>
    <row r="508" spans="1:12" ht="18" customHeight="1" x14ac:dyDescent="0.3">
      <c r="A508" s="123" t="s">
        <v>1306</v>
      </c>
      <c r="B508" s="125" t="s">
        <v>1337</v>
      </c>
      <c r="C508" s="131">
        <v>1650</v>
      </c>
      <c r="D508" s="122" t="s">
        <v>172</v>
      </c>
      <c r="E508" s="130" t="s">
        <v>1373</v>
      </c>
      <c r="F508" s="126"/>
      <c r="G508" s="123" t="s">
        <v>896</v>
      </c>
      <c r="I508" s="120" t="s">
        <v>664</v>
      </c>
      <c r="J508" s="120"/>
      <c r="K508" s="120"/>
      <c r="L508" s="135"/>
    </row>
    <row r="509" spans="1:12" ht="18" customHeight="1" x14ac:dyDescent="0.3">
      <c r="A509" s="123" t="s">
        <v>1307</v>
      </c>
      <c r="B509" s="125" t="s">
        <v>1337</v>
      </c>
      <c r="C509" s="131">
        <v>1800</v>
      </c>
      <c r="D509" s="122" t="s">
        <v>172</v>
      </c>
      <c r="E509" s="130" t="s">
        <v>1374</v>
      </c>
      <c r="F509" s="126"/>
      <c r="G509" s="123" t="s">
        <v>896</v>
      </c>
      <c r="I509" s="120" t="s">
        <v>666</v>
      </c>
      <c r="J509" s="120"/>
      <c r="K509" s="120"/>
      <c r="L509" s="135"/>
    </row>
    <row r="510" spans="1:12" ht="18" customHeight="1" x14ac:dyDescent="0.3">
      <c r="A510" s="123" t="s">
        <v>1308</v>
      </c>
      <c r="B510" s="125" t="s">
        <v>1337</v>
      </c>
      <c r="C510" s="131">
        <v>2000</v>
      </c>
      <c r="D510" s="122" t="s">
        <v>172</v>
      </c>
      <c r="E510" s="130" t="s">
        <v>1375</v>
      </c>
      <c r="F510" s="126"/>
      <c r="G510" s="123" t="s">
        <v>896</v>
      </c>
      <c r="I510" s="120" t="s">
        <v>667</v>
      </c>
      <c r="J510" s="120"/>
      <c r="K510" s="120"/>
      <c r="L510" s="135"/>
    </row>
    <row r="511" spans="1:12" ht="18" customHeight="1" x14ac:dyDescent="0.3">
      <c r="A511" s="123" t="s">
        <v>1309</v>
      </c>
      <c r="B511" s="125" t="s">
        <v>1337</v>
      </c>
      <c r="C511" s="131">
        <v>2100</v>
      </c>
      <c r="D511" s="122" t="s">
        <v>172</v>
      </c>
      <c r="E511" s="130" t="s">
        <v>1376</v>
      </c>
      <c r="F511" s="126"/>
      <c r="G511" s="123" t="s">
        <v>896</v>
      </c>
      <c r="I511" s="120" t="s">
        <v>668</v>
      </c>
      <c r="J511" s="120"/>
      <c r="K511" s="120"/>
      <c r="L511" s="135"/>
    </row>
    <row r="512" spans="1:12" ht="18" customHeight="1" x14ac:dyDescent="0.3">
      <c r="A512" s="123" t="s">
        <v>1310</v>
      </c>
      <c r="B512" s="125" t="s">
        <v>1337</v>
      </c>
      <c r="C512" s="131">
        <v>2200</v>
      </c>
      <c r="D512" s="122" t="s">
        <v>172</v>
      </c>
      <c r="E512" s="130" t="s">
        <v>1377</v>
      </c>
      <c r="F512" s="126"/>
      <c r="G512" s="123" t="s">
        <v>896</v>
      </c>
      <c r="I512" s="120" t="s">
        <v>669</v>
      </c>
      <c r="J512" s="120"/>
      <c r="K512" s="120"/>
      <c r="L512" s="135"/>
    </row>
    <row r="513" spans="1:12" ht="18" customHeight="1" x14ac:dyDescent="0.3">
      <c r="A513" s="123" t="s">
        <v>1311</v>
      </c>
      <c r="B513" s="125" t="s">
        <v>1337</v>
      </c>
      <c r="C513" s="131">
        <v>2300</v>
      </c>
      <c r="D513" s="122" t="s">
        <v>172</v>
      </c>
      <c r="E513" s="130" t="s">
        <v>1378</v>
      </c>
      <c r="F513" s="126"/>
      <c r="G513" s="123" t="s">
        <v>896</v>
      </c>
      <c r="I513" s="120" t="s">
        <v>671</v>
      </c>
      <c r="J513" s="120"/>
      <c r="K513" s="120"/>
      <c r="L513" s="135"/>
    </row>
    <row r="514" spans="1:12" ht="18" customHeight="1" x14ac:dyDescent="0.3">
      <c r="A514" s="123" t="s">
        <v>1312</v>
      </c>
      <c r="B514" s="125" t="s">
        <v>1337</v>
      </c>
      <c r="C514" s="131">
        <v>2400</v>
      </c>
      <c r="D514" s="122" t="s">
        <v>172</v>
      </c>
      <c r="E514" s="130" t="s">
        <v>1379</v>
      </c>
      <c r="F514" s="126"/>
      <c r="G514" s="123" t="s">
        <v>896</v>
      </c>
      <c r="I514" s="120" t="s">
        <v>1381</v>
      </c>
      <c r="J514" s="120"/>
      <c r="K514" s="120"/>
      <c r="L514" s="135"/>
    </row>
    <row r="515" spans="1:12" ht="18" customHeight="1" x14ac:dyDescent="0.3">
      <c r="A515" s="123" t="s">
        <v>1313</v>
      </c>
      <c r="B515" s="125" t="s">
        <v>1337</v>
      </c>
      <c r="C515" s="131">
        <v>200</v>
      </c>
      <c r="D515" s="122" t="s">
        <v>172</v>
      </c>
      <c r="E515" s="130" t="s">
        <v>1356</v>
      </c>
      <c r="F515" s="126"/>
      <c r="G515" s="123" t="s">
        <v>896</v>
      </c>
      <c r="I515" s="120" t="s">
        <v>244</v>
      </c>
      <c r="J515" s="120"/>
      <c r="K515" s="120"/>
      <c r="L515" s="135"/>
    </row>
    <row r="516" spans="1:12" ht="18" customHeight="1" x14ac:dyDescent="0.3">
      <c r="A516" s="123" t="s">
        <v>1314</v>
      </c>
      <c r="B516" s="125" t="s">
        <v>1337</v>
      </c>
      <c r="C516" s="131">
        <v>250</v>
      </c>
      <c r="D516" s="122" t="s">
        <v>172</v>
      </c>
      <c r="E516" s="130" t="s">
        <v>1357</v>
      </c>
      <c r="F516" s="126"/>
      <c r="G516" s="123" t="s">
        <v>896</v>
      </c>
      <c r="I516" s="120" t="s">
        <v>648</v>
      </c>
      <c r="J516" s="120"/>
      <c r="K516" s="120"/>
      <c r="L516" s="135"/>
    </row>
    <row r="517" spans="1:12" ht="18" customHeight="1" x14ac:dyDescent="0.3">
      <c r="A517" s="123" t="s">
        <v>1315</v>
      </c>
      <c r="B517" s="125" t="s">
        <v>1337</v>
      </c>
      <c r="C517" s="131">
        <v>300</v>
      </c>
      <c r="D517" s="122" t="s">
        <v>172</v>
      </c>
      <c r="E517" s="130" t="s">
        <v>1358</v>
      </c>
      <c r="F517" s="126"/>
      <c r="G517" s="123" t="s">
        <v>896</v>
      </c>
      <c r="I517" s="120" t="s">
        <v>649</v>
      </c>
      <c r="J517" s="120"/>
      <c r="K517" s="120"/>
      <c r="L517" s="135"/>
    </row>
    <row r="518" spans="1:12" ht="18" customHeight="1" x14ac:dyDescent="0.3">
      <c r="A518" s="123" t="s">
        <v>1316</v>
      </c>
      <c r="B518" s="125" t="s">
        <v>1337</v>
      </c>
      <c r="C518" s="131">
        <v>350</v>
      </c>
      <c r="D518" s="122" t="s">
        <v>172</v>
      </c>
      <c r="E518" s="130" t="s">
        <v>1359</v>
      </c>
      <c r="F518" s="126"/>
      <c r="G518" s="123" t="s">
        <v>896</v>
      </c>
      <c r="I518" s="120" t="s">
        <v>650</v>
      </c>
      <c r="J518" s="120"/>
      <c r="K518" s="120"/>
      <c r="L518" s="135"/>
    </row>
    <row r="519" spans="1:12" ht="18" customHeight="1" x14ac:dyDescent="0.3">
      <c r="A519" s="123" t="s">
        <v>1317</v>
      </c>
      <c r="B519" s="125" t="s">
        <v>1337</v>
      </c>
      <c r="C519" s="131">
        <v>400</v>
      </c>
      <c r="D519" s="122" t="s">
        <v>172</v>
      </c>
      <c r="E519" s="130" t="s">
        <v>1360</v>
      </c>
      <c r="F519" s="126"/>
      <c r="G519" s="123" t="s">
        <v>896</v>
      </c>
      <c r="I519" s="120" t="s">
        <v>651</v>
      </c>
      <c r="J519" s="120"/>
      <c r="K519" s="120"/>
      <c r="L519" s="135"/>
    </row>
    <row r="520" spans="1:12" ht="18" customHeight="1" x14ac:dyDescent="0.3">
      <c r="A520" s="123" t="s">
        <v>1318</v>
      </c>
      <c r="B520" s="125" t="s">
        <v>1337</v>
      </c>
      <c r="C520" s="131">
        <v>450</v>
      </c>
      <c r="D520" s="122" t="s">
        <v>172</v>
      </c>
      <c r="E520" s="130" t="s">
        <v>1361</v>
      </c>
      <c r="F520" s="126"/>
      <c r="G520" s="123" t="s">
        <v>896</v>
      </c>
      <c r="I520" s="120" t="s">
        <v>652</v>
      </c>
      <c r="J520" s="120"/>
      <c r="K520" s="120"/>
      <c r="L520" s="135"/>
    </row>
    <row r="521" spans="1:12" ht="18" customHeight="1" x14ac:dyDescent="0.3">
      <c r="A521" s="123" t="s">
        <v>1319</v>
      </c>
      <c r="B521" s="125" t="s">
        <v>1337</v>
      </c>
      <c r="C521" s="131">
        <v>500</v>
      </c>
      <c r="D521" s="122" t="s">
        <v>172</v>
      </c>
      <c r="E521" s="130" t="s">
        <v>1362</v>
      </c>
      <c r="F521" s="126"/>
      <c r="G521" s="123" t="s">
        <v>896</v>
      </c>
      <c r="I521" s="120" t="s">
        <v>653</v>
      </c>
      <c r="J521" s="120"/>
      <c r="K521" s="120"/>
      <c r="L521" s="135"/>
    </row>
    <row r="522" spans="1:12" ht="18" customHeight="1" x14ac:dyDescent="0.3">
      <c r="A522" s="123" t="s">
        <v>1320</v>
      </c>
      <c r="B522" s="125" t="s">
        <v>1337</v>
      </c>
      <c r="C522" s="131">
        <v>600</v>
      </c>
      <c r="D522" s="122" t="s">
        <v>172</v>
      </c>
      <c r="E522" s="130" t="s">
        <v>1363</v>
      </c>
      <c r="F522" s="126"/>
      <c r="G522" s="123" t="s">
        <v>896</v>
      </c>
      <c r="I522" s="120" t="s">
        <v>654</v>
      </c>
      <c r="J522" s="120"/>
      <c r="K522" s="120"/>
      <c r="L522" s="135"/>
    </row>
    <row r="523" spans="1:12" ht="18" customHeight="1" x14ac:dyDescent="0.3">
      <c r="A523" s="123" t="s">
        <v>1321</v>
      </c>
      <c r="B523" s="125" t="s">
        <v>1337</v>
      </c>
      <c r="C523" s="131">
        <v>700</v>
      </c>
      <c r="D523" s="122" t="s">
        <v>172</v>
      </c>
      <c r="E523" s="130" t="s">
        <v>1364</v>
      </c>
      <c r="F523" s="126"/>
      <c r="G523" s="123" t="s">
        <v>896</v>
      </c>
      <c r="I523" s="120" t="s">
        <v>655</v>
      </c>
      <c r="J523" s="120"/>
      <c r="K523" s="120"/>
      <c r="L523" s="135"/>
    </row>
    <row r="524" spans="1:12" ht="18" customHeight="1" x14ac:dyDescent="0.3">
      <c r="A524" s="123" t="s">
        <v>1322</v>
      </c>
      <c r="B524" s="125" t="s">
        <v>1337</v>
      </c>
      <c r="C524" s="131">
        <v>800</v>
      </c>
      <c r="D524" s="122" t="s">
        <v>172</v>
      </c>
      <c r="E524" s="130" t="s">
        <v>1365</v>
      </c>
      <c r="F524" s="126"/>
      <c r="G524" s="123" t="s">
        <v>896</v>
      </c>
      <c r="I524" s="120" t="s">
        <v>656</v>
      </c>
      <c r="J524" s="120"/>
      <c r="K524" s="120"/>
      <c r="L524" s="135"/>
    </row>
    <row r="525" spans="1:12" ht="18" customHeight="1" x14ac:dyDescent="0.3">
      <c r="A525" s="123" t="s">
        <v>1323</v>
      </c>
      <c r="B525" s="125" t="s">
        <v>1337</v>
      </c>
      <c r="C525" s="131">
        <v>900</v>
      </c>
      <c r="D525" s="122" t="s">
        <v>172</v>
      </c>
      <c r="E525" s="130" t="s">
        <v>1366</v>
      </c>
      <c r="F525" s="126"/>
      <c r="G525" s="123" t="s">
        <v>896</v>
      </c>
      <c r="I525" s="120" t="s">
        <v>657</v>
      </c>
      <c r="J525" s="120"/>
      <c r="K525" s="120"/>
      <c r="L525" s="135"/>
    </row>
    <row r="526" spans="1:12" ht="18" customHeight="1" x14ac:dyDescent="0.3">
      <c r="A526" s="123" t="s">
        <v>1324</v>
      </c>
      <c r="B526" s="125" t="s">
        <v>1337</v>
      </c>
      <c r="C526" s="131">
        <v>1000</v>
      </c>
      <c r="D526" s="122" t="s">
        <v>172</v>
      </c>
      <c r="E526" s="130" t="s">
        <v>1367</v>
      </c>
      <c r="F526" s="126"/>
      <c r="G526" s="123" t="s">
        <v>896</v>
      </c>
      <c r="I526" s="120" t="s">
        <v>658</v>
      </c>
      <c r="J526" s="120"/>
      <c r="K526" s="120"/>
      <c r="L526" s="135"/>
    </row>
    <row r="527" spans="1:12" ht="18" customHeight="1" x14ac:dyDescent="0.3">
      <c r="A527" s="123" t="s">
        <v>1325</v>
      </c>
      <c r="B527" s="125" t="s">
        <v>1337</v>
      </c>
      <c r="C527" s="131">
        <v>1100</v>
      </c>
      <c r="D527" s="122" t="s">
        <v>172</v>
      </c>
      <c r="E527" s="130" t="s">
        <v>1368</v>
      </c>
      <c r="F527" s="126"/>
      <c r="G527" s="123" t="s">
        <v>896</v>
      </c>
      <c r="I527" s="120" t="s">
        <v>659</v>
      </c>
      <c r="J527" s="120"/>
      <c r="K527" s="120"/>
      <c r="L527" s="135"/>
    </row>
    <row r="528" spans="1:12" ht="18" customHeight="1" x14ac:dyDescent="0.3">
      <c r="A528" s="123" t="s">
        <v>1326</v>
      </c>
      <c r="B528" s="125" t="s">
        <v>1337</v>
      </c>
      <c r="C528" s="131">
        <v>1200</v>
      </c>
      <c r="D528" s="122" t="s">
        <v>172</v>
      </c>
      <c r="E528" s="130" t="s">
        <v>1369</v>
      </c>
      <c r="F528" s="126"/>
      <c r="G528" s="123" t="s">
        <v>896</v>
      </c>
      <c r="I528" s="120" t="s">
        <v>661</v>
      </c>
      <c r="J528" s="120"/>
      <c r="K528" s="120"/>
      <c r="L528" s="135"/>
    </row>
    <row r="529" spans="1:12" ht="18" customHeight="1" x14ac:dyDescent="0.3">
      <c r="A529" s="123" t="s">
        <v>1327</v>
      </c>
      <c r="B529" s="125" t="s">
        <v>1337</v>
      </c>
      <c r="C529" s="131">
        <v>1350</v>
      </c>
      <c r="D529" s="122" t="s">
        <v>172</v>
      </c>
      <c r="E529" s="130" t="s">
        <v>1370</v>
      </c>
      <c r="F529" s="126"/>
      <c r="G529" s="123" t="s">
        <v>896</v>
      </c>
      <c r="I529" s="120" t="s">
        <v>662</v>
      </c>
      <c r="J529" s="120"/>
      <c r="K529" s="120"/>
      <c r="L529" s="135"/>
    </row>
    <row r="530" spans="1:12" ht="18" customHeight="1" x14ac:dyDescent="0.3">
      <c r="A530" s="123" t="s">
        <v>1328</v>
      </c>
      <c r="B530" s="125" t="s">
        <v>1337</v>
      </c>
      <c r="C530" s="131">
        <v>1500</v>
      </c>
      <c r="D530" s="122" t="s">
        <v>172</v>
      </c>
      <c r="E530" s="130" t="s">
        <v>1371</v>
      </c>
      <c r="F530" s="126"/>
      <c r="G530" s="123" t="s">
        <v>896</v>
      </c>
      <c r="I530" s="120" t="s">
        <v>663</v>
      </c>
      <c r="J530" s="120"/>
      <c r="K530" s="120"/>
      <c r="L530" s="135"/>
    </row>
    <row r="531" spans="1:12" ht="18" customHeight="1" x14ac:dyDescent="0.3">
      <c r="A531" s="123" t="s">
        <v>1329</v>
      </c>
      <c r="B531" s="125" t="s">
        <v>1337</v>
      </c>
      <c r="C531" s="131">
        <v>1600</v>
      </c>
      <c r="D531" s="122" t="s">
        <v>172</v>
      </c>
      <c r="E531" s="130" t="s">
        <v>1372</v>
      </c>
      <c r="F531" s="126"/>
      <c r="G531" s="123" t="s">
        <v>896</v>
      </c>
      <c r="I531" s="120" t="s">
        <v>664</v>
      </c>
      <c r="J531" s="120"/>
      <c r="K531" s="120"/>
      <c r="L531" s="135"/>
    </row>
    <row r="532" spans="1:12" ht="18" customHeight="1" x14ac:dyDescent="0.3">
      <c r="A532" s="123" t="s">
        <v>1330</v>
      </c>
      <c r="B532" s="125" t="s">
        <v>1337</v>
      </c>
      <c r="C532" s="131">
        <v>1650</v>
      </c>
      <c r="D532" s="122" t="s">
        <v>172</v>
      </c>
      <c r="E532" s="130" t="s">
        <v>1373</v>
      </c>
      <c r="F532" s="126"/>
      <c r="G532" s="123" t="s">
        <v>896</v>
      </c>
      <c r="I532" s="120" t="s">
        <v>666</v>
      </c>
      <c r="J532" s="120"/>
      <c r="K532" s="120"/>
      <c r="L532" s="135"/>
    </row>
    <row r="533" spans="1:12" ht="18" customHeight="1" x14ac:dyDescent="0.3">
      <c r="A533" s="123" t="s">
        <v>1331</v>
      </c>
      <c r="B533" s="125" t="s">
        <v>1337</v>
      </c>
      <c r="C533" s="131">
        <v>1800</v>
      </c>
      <c r="D533" s="122" t="s">
        <v>172</v>
      </c>
      <c r="E533" s="130" t="s">
        <v>1374</v>
      </c>
      <c r="F533" s="126"/>
      <c r="G533" s="123" t="s">
        <v>896</v>
      </c>
      <c r="I533" s="120" t="s">
        <v>667</v>
      </c>
      <c r="J533" s="120"/>
      <c r="K533" s="120"/>
      <c r="L533" s="135"/>
    </row>
    <row r="534" spans="1:12" ht="18" customHeight="1" x14ac:dyDescent="0.3">
      <c r="A534" s="123" t="s">
        <v>1332</v>
      </c>
      <c r="B534" s="125" t="s">
        <v>1337</v>
      </c>
      <c r="C534" s="131">
        <v>2000</v>
      </c>
      <c r="D534" s="122" t="s">
        <v>172</v>
      </c>
      <c r="E534" s="130" t="s">
        <v>1375</v>
      </c>
      <c r="F534" s="126"/>
      <c r="G534" s="123" t="s">
        <v>896</v>
      </c>
      <c r="I534" s="120" t="s">
        <v>668</v>
      </c>
      <c r="J534" s="120"/>
      <c r="K534" s="120"/>
      <c r="L534" s="135"/>
    </row>
    <row r="535" spans="1:12" ht="18" customHeight="1" x14ac:dyDescent="0.3">
      <c r="A535" s="123" t="s">
        <v>1333</v>
      </c>
      <c r="B535" s="125" t="s">
        <v>1337</v>
      </c>
      <c r="C535" s="131">
        <v>2100</v>
      </c>
      <c r="D535" s="122" t="s">
        <v>172</v>
      </c>
      <c r="E535" s="130" t="s">
        <v>1376</v>
      </c>
      <c r="F535" s="126"/>
      <c r="G535" s="123" t="s">
        <v>896</v>
      </c>
      <c r="I535" s="120" t="s">
        <v>669</v>
      </c>
      <c r="J535" s="120"/>
      <c r="K535" s="120"/>
      <c r="L535" s="135"/>
    </row>
    <row r="536" spans="1:12" ht="18" customHeight="1" x14ac:dyDescent="0.3">
      <c r="A536" s="123" t="s">
        <v>1334</v>
      </c>
      <c r="B536" s="125" t="s">
        <v>1337</v>
      </c>
      <c r="C536" s="131">
        <v>2200</v>
      </c>
      <c r="D536" s="122" t="s">
        <v>172</v>
      </c>
      <c r="E536" s="130" t="s">
        <v>1377</v>
      </c>
      <c r="F536" s="126"/>
      <c r="G536" s="123" t="s">
        <v>896</v>
      </c>
      <c r="I536" s="120" t="s">
        <v>671</v>
      </c>
      <c r="J536" s="120"/>
      <c r="K536" s="120"/>
      <c r="L536" s="135"/>
    </row>
    <row r="537" spans="1:12" ht="18" customHeight="1" x14ac:dyDescent="0.3">
      <c r="A537" s="123" t="s">
        <v>1382</v>
      </c>
      <c r="B537" s="125" t="s">
        <v>1447</v>
      </c>
      <c r="C537" s="131">
        <v>15</v>
      </c>
      <c r="D537" s="122" t="s">
        <v>1454</v>
      </c>
      <c r="E537" s="130" t="s">
        <v>1380</v>
      </c>
      <c r="F537" s="126"/>
      <c r="G537" s="123" t="s">
        <v>1453</v>
      </c>
      <c r="I537" s="120" t="s">
        <v>234</v>
      </c>
      <c r="J537" s="120"/>
      <c r="K537" s="120"/>
      <c r="L537" s="135"/>
    </row>
    <row r="538" spans="1:12" ht="18" customHeight="1" x14ac:dyDescent="0.3">
      <c r="A538" s="123" t="s">
        <v>1383</v>
      </c>
      <c r="B538" s="125" t="s">
        <v>1447</v>
      </c>
      <c r="C538" s="131">
        <v>20</v>
      </c>
      <c r="D538" s="122" t="s">
        <v>1454</v>
      </c>
      <c r="E538" s="130" t="s">
        <v>1455</v>
      </c>
      <c r="F538" s="126"/>
      <c r="G538" s="123" t="s">
        <v>1453</v>
      </c>
      <c r="I538" s="120" t="s">
        <v>234</v>
      </c>
      <c r="J538" s="120"/>
      <c r="K538" s="120"/>
      <c r="L538" s="135"/>
    </row>
    <row r="539" spans="1:12" ht="18" customHeight="1" x14ac:dyDescent="0.3">
      <c r="A539" s="123" t="s">
        <v>1384</v>
      </c>
      <c r="B539" s="125" t="s">
        <v>1447</v>
      </c>
      <c r="C539" s="131">
        <v>25</v>
      </c>
      <c r="D539" s="122" t="s">
        <v>1454</v>
      </c>
      <c r="E539" s="130" t="s">
        <v>1456</v>
      </c>
      <c r="F539" s="126"/>
      <c r="G539" s="123" t="s">
        <v>1453</v>
      </c>
      <c r="I539" s="120" t="s">
        <v>234</v>
      </c>
      <c r="J539" s="120"/>
      <c r="K539" s="120"/>
      <c r="L539" s="135"/>
    </row>
    <row r="540" spans="1:12" ht="18" customHeight="1" x14ac:dyDescent="0.3">
      <c r="A540" s="123" t="s">
        <v>1385</v>
      </c>
      <c r="B540" s="125" t="s">
        <v>1447</v>
      </c>
      <c r="C540" s="131">
        <v>32</v>
      </c>
      <c r="D540" s="122" t="s">
        <v>1454</v>
      </c>
      <c r="E540" s="130" t="s">
        <v>1457</v>
      </c>
      <c r="F540" s="126"/>
      <c r="G540" s="123" t="s">
        <v>1453</v>
      </c>
      <c r="I540" s="120" t="s">
        <v>698</v>
      </c>
      <c r="J540" s="120"/>
      <c r="K540" s="120"/>
      <c r="L540" s="135"/>
    </row>
    <row r="541" spans="1:12" ht="18" customHeight="1" x14ac:dyDescent="0.3">
      <c r="A541" s="123" t="s">
        <v>1386</v>
      </c>
      <c r="B541" s="125" t="s">
        <v>1447</v>
      </c>
      <c r="C541" s="131">
        <v>40</v>
      </c>
      <c r="D541" s="122" t="s">
        <v>1454</v>
      </c>
      <c r="E541" s="130" t="s">
        <v>1458</v>
      </c>
      <c r="F541" s="126"/>
      <c r="G541" s="123" t="s">
        <v>1453</v>
      </c>
      <c r="I541" s="120" t="s">
        <v>700</v>
      </c>
      <c r="J541" s="120"/>
      <c r="K541" s="120"/>
      <c r="L541" s="135"/>
    </row>
    <row r="542" spans="1:12" ht="18" customHeight="1" x14ac:dyDescent="0.3">
      <c r="A542" s="123" t="s">
        <v>1387</v>
      </c>
      <c r="B542" s="125" t="s">
        <v>1447</v>
      </c>
      <c r="C542" s="131">
        <v>50</v>
      </c>
      <c r="D542" s="122" t="s">
        <v>1454</v>
      </c>
      <c r="E542" s="130" t="s">
        <v>1459</v>
      </c>
      <c r="F542" s="126"/>
      <c r="G542" s="123" t="s">
        <v>1453</v>
      </c>
      <c r="I542" s="120" t="s">
        <v>702</v>
      </c>
      <c r="J542" s="120"/>
      <c r="K542" s="120"/>
      <c r="L542" s="135"/>
    </row>
    <row r="543" spans="1:12" ht="18" customHeight="1" x14ac:dyDescent="0.3">
      <c r="A543" s="123" t="s">
        <v>1388</v>
      </c>
      <c r="B543" s="125" t="s">
        <v>1447</v>
      </c>
      <c r="C543" s="131">
        <v>65</v>
      </c>
      <c r="D543" s="122" t="s">
        <v>1454</v>
      </c>
      <c r="E543" s="130" t="s">
        <v>1460</v>
      </c>
      <c r="F543" s="126"/>
      <c r="G543" s="123" t="s">
        <v>1453</v>
      </c>
      <c r="I543" s="120" t="s">
        <v>704</v>
      </c>
      <c r="J543" s="120"/>
      <c r="K543" s="120"/>
      <c r="L543" s="135"/>
    </row>
    <row r="544" spans="1:12" ht="18" customHeight="1" x14ac:dyDescent="0.3">
      <c r="A544" s="123" t="s">
        <v>1389</v>
      </c>
      <c r="B544" s="125" t="s">
        <v>1447</v>
      </c>
      <c r="C544" s="131">
        <v>80</v>
      </c>
      <c r="D544" s="122" t="s">
        <v>1454</v>
      </c>
      <c r="E544" s="130" t="s">
        <v>1461</v>
      </c>
      <c r="F544" s="126"/>
      <c r="G544" s="123" t="s">
        <v>1453</v>
      </c>
      <c r="I544" s="120" t="s">
        <v>705</v>
      </c>
      <c r="J544" s="120"/>
      <c r="K544" s="120"/>
      <c r="L544" s="135"/>
    </row>
    <row r="545" spans="1:12" ht="18" customHeight="1" x14ac:dyDescent="0.3">
      <c r="A545" s="123" t="s">
        <v>1390</v>
      </c>
      <c r="B545" s="125" t="s">
        <v>1448</v>
      </c>
      <c r="C545" s="131">
        <v>40</v>
      </c>
      <c r="D545" s="122" t="s">
        <v>1462</v>
      </c>
      <c r="E545" s="130" t="s">
        <v>1463</v>
      </c>
      <c r="F545" s="126"/>
      <c r="G545" s="123" t="s">
        <v>896</v>
      </c>
      <c r="I545" s="120" t="s">
        <v>236</v>
      </c>
      <c r="J545" s="120"/>
      <c r="K545" s="120"/>
      <c r="L545" s="135"/>
    </row>
    <row r="546" spans="1:12" ht="18" customHeight="1" x14ac:dyDescent="0.3">
      <c r="A546" s="123" t="s">
        <v>154</v>
      </c>
      <c r="B546" s="125" t="s">
        <v>1448</v>
      </c>
      <c r="C546" s="131">
        <v>50</v>
      </c>
      <c r="D546" s="122" t="s">
        <v>1462</v>
      </c>
      <c r="E546" s="130" t="s">
        <v>153</v>
      </c>
      <c r="F546" s="126"/>
      <c r="G546" s="123" t="s">
        <v>896</v>
      </c>
      <c r="I546" s="120" t="s">
        <v>236</v>
      </c>
      <c r="J546" s="120"/>
      <c r="K546" s="120"/>
      <c r="L546" s="135"/>
    </row>
    <row r="547" spans="1:12" ht="18" customHeight="1" x14ac:dyDescent="0.3">
      <c r="A547" s="123" t="s">
        <v>156</v>
      </c>
      <c r="B547" s="125" t="s">
        <v>1448</v>
      </c>
      <c r="C547" s="131">
        <v>65</v>
      </c>
      <c r="D547" s="122" t="s">
        <v>1462</v>
      </c>
      <c r="E547" s="130" t="s">
        <v>155</v>
      </c>
      <c r="F547" s="126"/>
      <c r="G547" s="123" t="s">
        <v>896</v>
      </c>
      <c r="I547" s="120" t="s">
        <v>237</v>
      </c>
      <c r="J547" s="120"/>
      <c r="K547" s="120"/>
      <c r="L547" s="135"/>
    </row>
    <row r="548" spans="1:12" ht="18" customHeight="1" x14ac:dyDescent="0.3">
      <c r="A548" s="123" t="s">
        <v>158</v>
      </c>
      <c r="B548" s="125" t="s">
        <v>1448</v>
      </c>
      <c r="C548" s="131">
        <v>80</v>
      </c>
      <c r="D548" s="122" t="s">
        <v>1462</v>
      </c>
      <c r="E548" s="130" t="s">
        <v>157</v>
      </c>
      <c r="F548" s="126"/>
      <c r="G548" s="123" t="s">
        <v>896</v>
      </c>
      <c r="I548" s="120" t="s">
        <v>238</v>
      </c>
      <c r="J548" s="120"/>
      <c r="K548" s="120"/>
      <c r="L548" s="135"/>
    </row>
    <row r="549" spans="1:12" ht="18" customHeight="1" x14ac:dyDescent="0.3">
      <c r="A549" s="123" t="s">
        <v>160</v>
      </c>
      <c r="B549" s="125" t="s">
        <v>1448</v>
      </c>
      <c r="C549" s="131">
        <v>100</v>
      </c>
      <c r="D549" s="122" t="s">
        <v>1462</v>
      </c>
      <c r="E549" s="130" t="s">
        <v>159</v>
      </c>
      <c r="F549" s="126"/>
      <c r="G549" s="123" t="s">
        <v>896</v>
      </c>
      <c r="I549" s="120" t="s">
        <v>239</v>
      </c>
      <c r="J549" s="120"/>
      <c r="K549" s="120"/>
      <c r="L549" s="135"/>
    </row>
    <row r="550" spans="1:12" ht="18" customHeight="1" x14ac:dyDescent="0.3">
      <c r="A550" s="123" t="s">
        <v>162</v>
      </c>
      <c r="B550" s="125" t="s">
        <v>1448</v>
      </c>
      <c r="C550" s="131">
        <v>125</v>
      </c>
      <c r="D550" s="122" t="s">
        <v>1462</v>
      </c>
      <c r="E550" s="130" t="s">
        <v>161</v>
      </c>
      <c r="F550" s="126"/>
      <c r="G550" s="123" t="s">
        <v>896</v>
      </c>
      <c r="I550" s="120" t="s">
        <v>240</v>
      </c>
      <c r="J550" s="120"/>
      <c r="K550" s="120"/>
      <c r="L550" s="135"/>
    </row>
    <row r="551" spans="1:12" ht="18" customHeight="1" x14ac:dyDescent="0.3">
      <c r="A551" s="123" t="s">
        <v>164</v>
      </c>
      <c r="B551" s="125" t="s">
        <v>1448</v>
      </c>
      <c r="C551" s="131">
        <v>150</v>
      </c>
      <c r="D551" s="122" t="s">
        <v>1462</v>
      </c>
      <c r="E551" s="130" t="s">
        <v>163</v>
      </c>
      <c r="F551" s="126"/>
      <c r="G551" s="123" t="s">
        <v>896</v>
      </c>
      <c r="I551" s="120" t="s">
        <v>241</v>
      </c>
      <c r="J551" s="120"/>
      <c r="K551" s="120"/>
      <c r="L551" s="135"/>
    </row>
    <row r="552" spans="1:12" ht="18" customHeight="1" x14ac:dyDescent="0.3">
      <c r="A552" s="123" t="s">
        <v>166</v>
      </c>
      <c r="B552" s="125" t="s">
        <v>1448</v>
      </c>
      <c r="C552" s="131">
        <v>200</v>
      </c>
      <c r="D552" s="122" t="s">
        <v>1462</v>
      </c>
      <c r="E552" s="130" t="s">
        <v>165</v>
      </c>
      <c r="F552" s="126"/>
      <c r="G552" s="123" t="s">
        <v>896</v>
      </c>
      <c r="I552" s="120" t="s">
        <v>242</v>
      </c>
      <c r="J552" s="120"/>
      <c r="K552" s="120"/>
      <c r="L552" s="135"/>
    </row>
    <row r="553" spans="1:12" ht="18" customHeight="1" x14ac:dyDescent="0.3">
      <c r="A553" s="123" t="s">
        <v>1391</v>
      </c>
      <c r="B553" s="125" t="s">
        <v>1448</v>
      </c>
      <c r="C553" s="131">
        <v>250</v>
      </c>
      <c r="D553" s="122" t="s">
        <v>1462</v>
      </c>
      <c r="E553" s="130" t="s">
        <v>1464</v>
      </c>
      <c r="F553" s="126"/>
      <c r="G553" s="123" t="s">
        <v>896</v>
      </c>
      <c r="I553" s="120" t="s">
        <v>683</v>
      </c>
      <c r="J553" s="120"/>
      <c r="K553" s="120"/>
      <c r="L553" s="135"/>
    </row>
    <row r="554" spans="1:12" ht="18" customHeight="1" x14ac:dyDescent="0.3">
      <c r="A554" s="123" t="s">
        <v>1392</v>
      </c>
      <c r="B554" s="125" t="s">
        <v>1448</v>
      </c>
      <c r="C554" s="131">
        <v>300</v>
      </c>
      <c r="D554" s="122" t="s">
        <v>1462</v>
      </c>
      <c r="E554" s="130" t="s">
        <v>1465</v>
      </c>
      <c r="F554" s="126"/>
      <c r="G554" s="123" t="s">
        <v>896</v>
      </c>
      <c r="I554" s="120" t="s">
        <v>685</v>
      </c>
      <c r="J554" s="120"/>
      <c r="K554" s="120"/>
      <c r="L554" s="135"/>
    </row>
    <row r="555" spans="1:12" ht="18" customHeight="1" x14ac:dyDescent="0.3">
      <c r="A555" s="123" t="s">
        <v>1393</v>
      </c>
      <c r="B555" s="125" t="s">
        <v>1449</v>
      </c>
      <c r="C555" s="131">
        <v>15</v>
      </c>
      <c r="D555" s="122" t="s">
        <v>1466</v>
      </c>
      <c r="E555" s="130" t="s">
        <v>1380</v>
      </c>
      <c r="F555" s="126"/>
      <c r="G555" s="123" t="s">
        <v>1453</v>
      </c>
      <c r="I555" s="120" t="s">
        <v>234</v>
      </c>
      <c r="J555" s="120"/>
      <c r="K555" s="120"/>
      <c r="L555" s="135"/>
    </row>
    <row r="556" spans="1:12" ht="18" customHeight="1" x14ac:dyDescent="0.3">
      <c r="A556" s="123" t="s">
        <v>1394</v>
      </c>
      <c r="B556" s="125" t="s">
        <v>1449</v>
      </c>
      <c r="C556" s="131">
        <v>20</v>
      </c>
      <c r="D556" s="122" t="s">
        <v>1466</v>
      </c>
      <c r="E556" s="130" t="s">
        <v>1455</v>
      </c>
      <c r="F556" s="126"/>
      <c r="G556" s="123" t="s">
        <v>1453</v>
      </c>
      <c r="I556" s="120" t="s">
        <v>234</v>
      </c>
      <c r="J556" s="120"/>
      <c r="K556" s="120"/>
      <c r="L556" s="135"/>
    </row>
    <row r="557" spans="1:12" ht="18" customHeight="1" x14ac:dyDescent="0.3">
      <c r="A557" s="123" t="s">
        <v>1395</v>
      </c>
      <c r="B557" s="125" t="s">
        <v>1449</v>
      </c>
      <c r="C557" s="131">
        <v>25</v>
      </c>
      <c r="D557" s="122" t="s">
        <v>1466</v>
      </c>
      <c r="E557" s="130" t="s">
        <v>1456</v>
      </c>
      <c r="F557" s="126"/>
      <c r="G557" s="123" t="s">
        <v>1453</v>
      </c>
      <c r="I557" s="120" t="s">
        <v>234</v>
      </c>
      <c r="J557" s="120"/>
      <c r="K557" s="120"/>
      <c r="L557" s="135"/>
    </row>
    <row r="558" spans="1:12" ht="18" customHeight="1" x14ac:dyDescent="0.3">
      <c r="A558" s="123" t="s">
        <v>1396</v>
      </c>
      <c r="B558" s="125" t="s">
        <v>1449</v>
      </c>
      <c r="C558" s="131">
        <v>32</v>
      </c>
      <c r="D558" s="122" t="s">
        <v>1466</v>
      </c>
      <c r="E558" s="130" t="s">
        <v>1457</v>
      </c>
      <c r="F558" s="126"/>
      <c r="G558" s="123" t="s">
        <v>1453</v>
      </c>
      <c r="I558" s="120" t="s">
        <v>698</v>
      </c>
      <c r="J558" s="120"/>
      <c r="K558" s="120"/>
      <c r="L558" s="135"/>
    </row>
    <row r="559" spans="1:12" ht="18" customHeight="1" x14ac:dyDescent="0.3">
      <c r="A559" s="123" t="s">
        <v>1397</v>
      </c>
      <c r="B559" s="125" t="s">
        <v>1449</v>
      </c>
      <c r="C559" s="131">
        <v>40</v>
      </c>
      <c r="D559" s="122" t="s">
        <v>1466</v>
      </c>
      <c r="E559" s="130" t="s">
        <v>1458</v>
      </c>
      <c r="F559" s="126"/>
      <c r="G559" s="123" t="s">
        <v>1453</v>
      </c>
      <c r="I559" s="120" t="s">
        <v>700</v>
      </c>
      <c r="J559" s="120"/>
      <c r="K559" s="120"/>
      <c r="L559" s="135"/>
    </row>
    <row r="560" spans="1:12" ht="18" customHeight="1" x14ac:dyDescent="0.3">
      <c r="A560" s="123" t="s">
        <v>1398</v>
      </c>
      <c r="B560" s="125" t="s">
        <v>1449</v>
      </c>
      <c r="C560" s="131">
        <v>50</v>
      </c>
      <c r="D560" s="122" t="s">
        <v>1466</v>
      </c>
      <c r="E560" s="130" t="s">
        <v>1459</v>
      </c>
      <c r="F560" s="126"/>
      <c r="G560" s="123" t="s">
        <v>1453</v>
      </c>
      <c r="I560" s="120" t="s">
        <v>702</v>
      </c>
      <c r="J560" s="120"/>
      <c r="K560" s="120"/>
      <c r="L560" s="135"/>
    </row>
    <row r="561" spans="1:12" ht="18" customHeight="1" x14ac:dyDescent="0.3">
      <c r="A561" s="123" t="s">
        <v>1399</v>
      </c>
      <c r="B561" s="125" t="s">
        <v>1450</v>
      </c>
      <c r="C561" s="131">
        <v>15</v>
      </c>
      <c r="D561" s="122" t="s">
        <v>1467</v>
      </c>
      <c r="E561" s="130" t="s">
        <v>1380</v>
      </c>
      <c r="F561" s="126"/>
      <c r="G561" s="123" t="s">
        <v>1453</v>
      </c>
      <c r="I561" s="120" t="s">
        <v>234</v>
      </c>
      <c r="J561" s="120"/>
      <c r="K561" s="120"/>
      <c r="L561" s="135"/>
    </row>
    <row r="562" spans="1:12" ht="18" customHeight="1" x14ac:dyDescent="0.3">
      <c r="A562" s="123" t="s">
        <v>1400</v>
      </c>
      <c r="B562" s="125" t="s">
        <v>1450</v>
      </c>
      <c r="C562" s="131">
        <v>20</v>
      </c>
      <c r="D562" s="122" t="s">
        <v>1467</v>
      </c>
      <c r="E562" s="130" t="s">
        <v>1455</v>
      </c>
      <c r="F562" s="126"/>
      <c r="G562" s="123" t="s">
        <v>1453</v>
      </c>
      <c r="I562" s="120" t="s">
        <v>234</v>
      </c>
      <c r="J562" s="120"/>
      <c r="K562" s="120"/>
      <c r="L562" s="135"/>
    </row>
    <row r="563" spans="1:12" ht="18" customHeight="1" x14ac:dyDescent="0.3">
      <c r="A563" s="123" t="s">
        <v>1401</v>
      </c>
      <c r="B563" s="125" t="s">
        <v>1450</v>
      </c>
      <c r="C563" s="131">
        <v>25</v>
      </c>
      <c r="D563" s="122" t="s">
        <v>1467</v>
      </c>
      <c r="E563" s="130" t="s">
        <v>1456</v>
      </c>
      <c r="F563" s="126"/>
      <c r="G563" s="123" t="s">
        <v>1453</v>
      </c>
      <c r="I563" s="120" t="s">
        <v>234</v>
      </c>
      <c r="J563" s="120"/>
      <c r="K563" s="120"/>
      <c r="L563" s="135"/>
    </row>
    <row r="564" spans="1:12" ht="18" customHeight="1" x14ac:dyDescent="0.3">
      <c r="A564" s="123" t="s">
        <v>1402</v>
      </c>
      <c r="B564" s="125" t="s">
        <v>1450</v>
      </c>
      <c r="C564" s="131">
        <v>32</v>
      </c>
      <c r="D564" s="122" t="s">
        <v>1467</v>
      </c>
      <c r="E564" s="130" t="s">
        <v>1457</v>
      </c>
      <c r="F564" s="126"/>
      <c r="G564" s="123" t="s">
        <v>1453</v>
      </c>
      <c r="I564" s="120" t="s">
        <v>698</v>
      </c>
      <c r="J564" s="120"/>
      <c r="K564" s="120"/>
      <c r="L564" s="135"/>
    </row>
    <row r="565" spans="1:12" ht="18" customHeight="1" x14ac:dyDescent="0.3">
      <c r="A565" s="123" t="s">
        <v>1403</v>
      </c>
      <c r="B565" s="125" t="s">
        <v>1450</v>
      </c>
      <c r="C565" s="131">
        <v>40</v>
      </c>
      <c r="D565" s="122" t="s">
        <v>1467</v>
      </c>
      <c r="E565" s="130" t="s">
        <v>1458</v>
      </c>
      <c r="F565" s="126"/>
      <c r="G565" s="123" t="s">
        <v>1453</v>
      </c>
      <c r="I565" s="120" t="s">
        <v>700</v>
      </c>
      <c r="J565" s="120"/>
      <c r="K565" s="120"/>
      <c r="L565" s="135"/>
    </row>
    <row r="566" spans="1:12" ht="18" customHeight="1" x14ac:dyDescent="0.3">
      <c r="A566" s="123" t="s">
        <v>1404</v>
      </c>
      <c r="B566" s="125" t="s">
        <v>1450</v>
      </c>
      <c r="C566" s="131">
        <v>50</v>
      </c>
      <c r="D566" s="122" t="s">
        <v>1467</v>
      </c>
      <c r="E566" s="130" t="s">
        <v>1459</v>
      </c>
      <c r="F566" s="126"/>
      <c r="G566" s="123" t="s">
        <v>1453</v>
      </c>
      <c r="I566" s="120" t="s">
        <v>702</v>
      </c>
      <c r="J566" s="120"/>
      <c r="K566" s="120"/>
      <c r="L566" s="135"/>
    </row>
    <row r="567" spans="1:12" ht="18" customHeight="1" x14ac:dyDescent="0.3">
      <c r="A567" s="123" t="s">
        <v>1405</v>
      </c>
      <c r="B567" s="125" t="s">
        <v>1450</v>
      </c>
      <c r="C567" s="131">
        <v>65</v>
      </c>
      <c r="D567" s="122" t="s">
        <v>1467</v>
      </c>
      <c r="E567" s="130" t="s">
        <v>1460</v>
      </c>
      <c r="F567" s="126"/>
      <c r="G567" s="123" t="s">
        <v>1453</v>
      </c>
      <c r="I567" s="120" t="s">
        <v>704</v>
      </c>
      <c r="J567" s="120"/>
      <c r="K567" s="120"/>
      <c r="L567" s="135"/>
    </row>
    <row r="568" spans="1:12" ht="18" customHeight="1" x14ac:dyDescent="0.3">
      <c r="A568" s="123" t="s">
        <v>1406</v>
      </c>
      <c r="B568" s="125" t="s">
        <v>1450</v>
      </c>
      <c r="C568" s="131">
        <v>80</v>
      </c>
      <c r="D568" s="122" t="s">
        <v>1467</v>
      </c>
      <c r="E568" s="130" t="s">
        <v>1461</v>
      </c>
      <c r="F568" s="126"/>
      <c r="G568" s="123" t="s">
        <v>1453</v>
      </c>
      <c r="I568" s="120" t="s">
        <v>705</v>
      </c>
      <c r="J568" s="120"/>
      <c r="K568" s="120"/>
      <c r="L568" s="135"/>
    </row>
    <row r="569" spans="1:12" ht="18" customHeight="1" x14ac:dyDescent="0.3">
      <c r="A569" s="123" t="s">
        <v>1407</v>
      </c>
      <c r="B569" s="125" t="s">
        <v>1450</v>
      </c>
      <c r="C569" s="131">
        <v>15</v>
      </c>
      <c r="D569" s="122" t="s">
        <v>1467</v>
      </c>
      <c r="E569" s="130" t="s">
        <v>1468</v>
      </c>
      <c r="F569" s="126"/>
      <c r="G569" s="123" t="s">
        <v>896</v>
      </c>
      <c r="I569" s="120" t="s">
        <v>236</v>
      </c>
      <c r="J569" s="120"/>
      <c r="K569" s="120"/>
      <c r="L569" s="135"/>
    </row>
    <row r="570" spans="1:12" ht="18" customHeight="1" x14ac:dyDescent="0.3">
      <c r="A570" s="123" t="s">
        <v>1408</v>
      </c>
      <c r="B570" s="125" t="s">
        <v>1450</v>
      </c>
      <c r="C570" s="131">
        <v>20</v>
      </c>
      <c r="D570" s="122" t="s">
        <v>1467</v>
      </c>
      <c r="E570" s="130" t="s">
        <v>1469</v>
      </c>
      <c r="F570" s="126"/>
      <c r="G570" s="123" t="s">
        <v>896</v>
      </c>
      <c r="I570" s="120" t="s">
        <v>236</v>
      </c>
      <c r="J570" s="120"/>
      <c r="K570" s="120"/>
      <c r="L570" s="135"/>
    </row>
    <row r="571" spans="1:12" ht="18" customHeight="1" x14ac:dyDescent="0.3">
      <c r="A571" s="123" t="s">
        <v>1409</v>
      </c>
      <c r="B571" s="125" t="s">
        <v>1450</v>
      </c>
      <c r="C571" s="131">
        <v>25</v>
      </c>
      <c r="D571" s="122" t="s">
        <v>1467</v>
      </c>
      <c r="E571" s="130" t="s">
        <v>1470</v>
      </c>
      <c r="F571" s="126"/>
      <c r="G571" s="123" t="s">
        <v>896</v>
      </c>
      <c r="I571" s="120" t="s">
        <v>236</v>
      </c>
      <c r="J571" s="120"/>
      <c r="K571" s="120"/>
      <c r="L571" s="135"/>
    </row>
    <row r="572" spans="1:12" ht="18" customHeight="1" x14ac:dyDescent="0.3">
      <c r="A572" s="123" t="s">
        <v>1410</v>
      </c>
      <c r="B572" s="125" t="s">
        <v>1450</v>
      </c>
      <c r="C572" s="131">
        <v>32</v>
      </c>
      <c r="D572" s="122" t="s">
        <v>1467</v>
      </c>
      <c r="E572" s="130" t="s">
        <v>1471</v>
      </c>
      <c r="F572" s="126"/>
      <c r="G572" s="123" t="s">
        <v>896</v>
      </c>
      <c r="I572" s="120" t="s">
        <v>236</v>
      </c>
      <c r="J572" s="120"/>
      <c r="K572" s="120"/>
      <c r="L572" s="135"/>
    </row>
    <row r="573" spans="1:12" ht="18" customHeight="1" x14ac:dyDescent="0.3">
      <c r="A573" s="123" t="s">
        <v>1411</v>
      </c>
      <c r="B573" s="125" t="s">
        <v>1450</v>
      </c>
      <c r="C573" s="131">
        <v>40</v>
      </c>
      <c r="D573" s="122" t="s">
        <v>1467</v>
      </c>
      <c r="E573" s="130" t="s">
        <v>1463</v>
      </c>
      <c r="F573" s="126"/>
      <c r="G573" s="123" t="s">
        <v>896</v>
      </c>
      <c r="I573" s="120" t="s">
        <v>236</v>
      </c>
      <c r="J573" s="120"/>
      <c r="K573" s="120"/>
      <c r="L573" s="135"/>
    </row>
    <row r="574" spans="1:12" ht="18" customHeight="1" x14ac:dyDescent="0.3">
      <c r="A574" s="123" t="s">
        <v>1412</v>
      </c>
      <c r="B574" s="125" t="s">
        <v>1450</v>
      </c>
      <c r="C574" s="131">
        <v>50</v>
      </c>
      <c r="D574" s="122" t="s">
        <v>1467</v>
      </c>
      <c r="E574" s="130" t="s">
        <v>153</v>
      </c>
      <c r="F574" s="126"/>
      <c r="G574" s="123" t="s">
        <v>896</v>
      </c>
      <c r="I574" s="120" t="s">
        <v>236</v>
      </c>
      <c r="J574" s="120"/>
      <c r="K574" s="120"/>
      <c r="L574" s="135"/>
    </row>
    <row r="575" spans="1:12" ht="18" customHeight="1" x14ac:dyDescent="0.3">
      <c r="A575" s="123" t="s">
        <v>1413</v>
      </c>
      <c r="B575" s="125" t="s">
        <v>1450</v>
      </c>
      <c r="C575" s="131">
        <v>65</v>
      </c>
      <c r="D575" s="122" t="s">
        <v>1467</v>
      </c>
      <c r="E575" s="130" t="s">
        <v>155</v>
      </c>
      <c r="F575" s="126"/>
      <c r="G575" s="123" t="s">
        <v>896</v>
      </c>
      <c r="I575" s="120" t="s">
        <v>237</v>
      </c>
      <c r="J575" s="120"/>
      <c r="K575" s="120"/>
      <c r="L575" s="135"/>
    </row>
    <row r="576" spans="1:12" ht="18" customHeight="1" x14ac:dyDescent="0.3">
      <c r="A576" s="123" t="s">
        <v>1414</v>
      </c>
      <c r="B576" s="125" t="s">
        <v>1450</v>
      </c>
      <c r="C576" s="131">
        <v>80</v>
      </c>
      <c r="D576" s="122" t="s">
        <v>1467</v>
      </c>
      <c r="E576" s="130" t="s">
        <v>157</v>
      </c>
      <c r="F576" s="126"/>
      <c r="G576" s="123" t="s">
        <v>896</v>
      </c>
      <c r="I576" s="120" t="s">
        <v>238</v>
      </c>
      <c r="J576" s="120"/>
      <c r="K576" s="120"/>
      <c r="L576" s="135"/>
    </row>
    <row r="577" spans="1:12" ht="18" customHeight="1" x14ac:dyDescent="0.3">
      <c r="A577" s="123" t="s">
        <v>1415</v>
      </c>
      <c r="B577" s="125" t="s">
        <v>1450</v>
      </c>
      <c r="C577" s="131">
        <v>100</v>
      </c>
      <c r="D577" s="122" t="s">
        <v>1467</v>
      </c>
      <c r="E577" s="130" t="s">
        <v>159</v>
      </c>
      <c r="F577" s="126"/>
      <c r="G577" s="123" t="s">
        <v>896</v>
      </c>
      <c r="I577" s="120" t="s">
        <v>239</v>
      </c>
      <c r="J577" s="120"/>
      <c r="K577" s="120"/>
      <c r="L577" s="135"/>
    </row>
    <row r="578" spans="1:12" ht="18" customHeight="1" x14ac:dyDescent="0.3">
      <c r="A578" s="123" t="s">
        <v>1416</v>
      </c>
      <c r="B578" s="125" t="s">
        <v>1450</v>
      </c>
      <c r="C578" s="131">
        <v>125</v>
      </c>
      <c r="D578" s="122" t="s">
        <v>1467</v>
      </c>
      <c r="E578" s="130" t="s">
        <v>161</v>
      </c>
      <c r="F578" s="126"/>
      <c r="G578" s="123" t="s">
        <v>896</v>
      </c>
      <c r="I578" s="120" t="s">
        <v>240</v>
      </c>
      <c r="J578" s="120"/>
      <c r="K578" s="120"/>
      <c r="L578" s="135"/>
    </row>
    <row r="579" spans="1:12" ht="18" customHeight="1" x14ac:dyDescent="0.3">
      <c r="A579" s="123" t="s">
        <v>1417</v>
      </c>
      <c r="B579" s="125" t="s">
        <v>1450</v>
      </c>
      <c r="C579" s="131">
        <v>150</v>
      </c>
      <c r="D579" s="122" t="s">
        <v>1467</v>
      </c>
      <c r="E579" s="130" t="s">
        <v>163</v>
      </c>
      <c r="F579" s="126"/>
      <c r="G579" s="123" t="s">
        <v>896</v>
      </c>
      <c r="I579" s="120" t="s">
        <v>241</v>
      </c>
      <c r="J579" s="120"/>
      <c r="K579" s="120"/>
      <c r="L579" s="135"/>
    </row>
    <row r="580" spans="1:12" ht="18" customHeight="1" x14ac:dyDescent="0.3">
      <c r="A580" s="123" t="s">
        <v>1418</v>
      </c>
      <c r="B580" s="125" t="s">
        <v>1450</v>
      </c>
      <c r="C580" s="131">
        <v>200</v>
      </c>
      <c r="D580" s="122" t="s">
        <v>1467</v>
      </c>
      <c r="E580" s="130" t="s">
        <v>165</v>
      </c>
      <c r="F580" s="126"/>
      <c r="G580" s="123" t="s">
        <v>896</v>
      </c>
      <c r="I580" s="120" t="s">
        <v>242</v>
      </c>
      <c r="J580" s="120"/>
      <c r="K580" s="120"/>
      <c r="L580" s="135"/>
    </row>
    <row r="581" spans="1:12" ht="18" customHeight="1" x14ac:dyDescent="0.3">
      <c r="A581" s="123" t="s">
        <v>1419</v>
      </c>
      <c r="B581" s="125" t="s">
        <v>1450</v>
      </c>
      <c r="C581" s="131">
        <v>250</v>
      </c>
      <c r="D581" s="122" t="s">
        <v>1467</v>
      </c>
      <c r="E581" s="130" t="s">
        <v>1464</v>
      </c>
      <c r="F581" s="126"/>
      <c r="G581" s="123" t="s">
        <v>896</v>
      </c>
      <c r="I581" s="120" t="s">
        <v>683</v>
      </c>
      <c r="J581" s="120"/>
      <c r="K581" s="120"/>
      <c r="L581" s="135"/>
    </row>
    <row r="582" spans="1:12" ht="18" customHeight="1" x14ac:dyDescent="0.3">
      <c r="A582" s="123" t="s">
        <v>1420</v>
      </c>
      <c r="B582" s="125" t="s">
        <v>1450</v>
      </c>
      <c r="C582" s="131">
        <v>300</v>
      </c>
      <c r="D582" s="122" t="s">
        <v>1467</v>
      </c>
      <c r="E582" s="130" t="s">
        <v>1465</v>
      </c>
      <c r="F582" s="126"/>
      <c r="G582" s="123" t="s">
        <v>896</v>
      </c>
      <c r="I582" s="120" t="s">
        <v>685</v>
      </c>
      <c r="J582" s="120"/>
      <c r="K582" s="120"/>
      <c r="L582" s="135"/>
    </row>
    <row r="583" spans="1:12" ht="18" customHeight="1" x14ac:dyDescent="0.3">
      <c r="A583" s="123" t="s">
        <v>1421</v>
      </c>
      <c r="B583" s="125" t="s">
        <v>1451</v>
      </c>
      <c r="C583" s="131">
        <v>15</v>
      </c>
      <c r="D583" s="122" t="s">
        <v>179</v>
      </c>
      <c r="E583" s="130" t="s">
        <v>1472</v>
      </c>
      <c r="F583" s="126"/>
      <c r="G583" s="123" t="s">
        <v>1453</v>
      </c>
      <c r="I583" s="120" t="s">
        <v>234</v>
      </c>
      <c r="J583" s="120"/>
      <c r="K583" s="120"/>
      <c r="L583" s="135"/>
    </row>
    <row r="584" spans="1:12" ht="18" customHeight="1" x14ac:dyDescent="0.3">
      <c r="A584" s="123" t="s">
        <v>181</v>
      </c>
      <c r="B584" s="125" t="s">
        <v>1451</v>
      </c>
      <c r="C584" s="131">
        <v>20</v>
      </c>
      <c r="D584" s="122" t="s">
        <v>179</v>
      </c>
      <c r="E584" s="130" t="s">
        <v>180</v>
      </c>
      <c r="F584" s="126"/>
      <c r="G584" s="123" t="s">
        <v>1453</v>
      </c>
      <c r="I584" s="120" t="s">
        <v>234</v>
      </c>
      <c r="J584" s="120"/>
      <c r="K584" s="120"/>
      <c r="L584" s="135"/>
    </row>
    <row r="585" spans="1:12" ht="18" customHeight="1" x14ac:dyDescent="0.3">
      <c r="A585" s="123" t="s">
        <v>1422</v>
      </c>
      <c r="B585" s="125" t="s">
        <v>1451</v>
      </c>
      <c r="C585" s="131">
        <v>25</v>
      </c>
      <c r="D585" s="122" t="s">
        <v>179</v>
      </c>
      <c r="E585" s="130" t="s">
        <v>1473</v>
      </c>
      <c r="F585" s="126"/>
      <c r="G585" s="123" t="s">
        <v>1453</v>
      </c>
      <c r="I585" s="120" t="s">
        <v>234</v>
      </c>
      <c r="J585" s="120"/>
      <c r="K585" s="120"/>
      <c r="L585" s="135"/>
    </row>
    <row r="586" spans="1:12" ht="18" customHeight="1" x14ac:dyDescent="0.3">
      <c r="A586" s="123" t="s">
        <v>1423</v>
      </c>
      <c r="B586" s="125" t="s">
        <v>1451</v>
      </c>
      <c r="C586" s="131">
        <v>30</v>
      </c>
      <c r="D586" s="122" t="s">
        <v>179</v>
      </c>
      <c r="E586" s="130" t="s">
        <v>1474</v>
      </c>
      <c r="F586" s="126"/>
      <c r="G586" s="123" t="s">
        <v>1453</v>
      </c>
      <c r="I586" s="120" t="s">
        <v>698</v>
      </c>
      <c r="J586" s="120"/>
      <c r="K586" s="120"/>
      <c r="L586" s="135"/>
    </row>
    <row r="587" spans="1:12" ht="18" customHeight="1" x14ac:dyDescent="0.3">
      <c r="A587" s="123" t="s">
        <v>1424</v>
      </c>
      <c r="B587" s="125" t="s">
        <v>1451</v>
      </c>
      <c r="C587" s="131">
        <v>40</v>
      </c>
      <c r="D587" s="122" t="s">
        <v>179</v>
      </c>
      <c r="E587" s="130" t="s">
        <v>1475</v>
      </c>
      <c r="F587" s="126"/>
      <c r="G587" s="123" t="s">
        <v>1453</v>
      </c>
      <c r="I587" s="120" t="s">
        <v>700</v>
      </c>
      <c r="J587" s="120"/>
      <c r="K587" s="120"/>
      <c r="L587" s="135"/>
    </row>
    <row r="588" spans="1:12" ht="18" customHeight="1" x14ac:dyDescent="0.3">
      <c r="A588" s="123" t="s">
        <v>1425</v>
      </c>
      <c r="B588" s="125" t="s">
        <v>1451</v>
      </c>
      <c r="C588" s="131">
        <v>50</v>
      </c>
      <c r="D588" s="122" t="s">
        <v>179</v>
      </c>
      <c r="E588" s="130" t="s">
        <v>1476</v>
      </c>
      <c r="F588" s="126"/>
      <c r="G588" s="123" t="s">
        <v>1453</v>
      </c>
      <c r="I588" s="120" t="s">
        <v>702</v>
      </c>
      <c r="J588" s="120"/>
      <c r="K588" s="120"/>
      <c r="L588" s="135"/>
    </row>
    <row r="589" spans="1:12" ht="18" customHeight="1" x14ac:dyDescent="0.3">
      <c r="A589" s="123" t="s">
        <v>1426</v>
      </c>
      <c r="B589" s="125" t="s">
        <v>1451</v>
      </c>
      <c r="C589" s="131">
        <v>15</v>
      </c>
      <c r="D589" s="122" t="s">
        <v>179</v>
      </c>
      <c r="E589" s="130" t="s">
        <v>1477</v>
      </c>
      <c r="F589" s="126"/>
      <c r="G589" s="123" t="s">
        <v>896</v>
      </c>
      <c r="I589" s="120" t="s">
        <v>236</v>
      </c>
      <c r="J589" s="120"/>
      <c r="K589" s="120"/>
      <c r="L589" s="135"/>
    </row>
    <row r="590" spans="1:12" ht="18" customHeight="1" x14ac:dyDescent="0.3">
      <c r="A590" s="123" t="s">
        <v>1427</v>
      </c>
      <c r="B590" s="125" t="s">
        <v>1451</v>
      </c>
      <c r="C590" s="131">
        <v>20</v>
      </c>
      <c r="D590" s="122" t="s">
        <v>179</v>
      </c>
      <c r="E590" s="130" t="s">
        <v>1478</v>
      </c>
      <c r="F590" s="126"/>
      <c r="G590" s="123" t="s">
        <v>896</v>
      </c>
      <c r="I590" s="120" t="s">
        <v>236</v>
      </c>
      <c r="J590" s="120"/>
      <c r="K590" s="120"/>
      <c r="L590" s="135"/>
    </row>
    <row r="591" spans="1:12" ht="18" customHeight="1" x14ac:dyDescent="0.3">
      <c r="A591" s="123" t="s">
        <v>1428</v>
      </c>
      <c r="B591" s="125" t="s">
        <v>1451</v>
      </c>
      <c r="C591" s="131">
        <v>25</v>
      </c>
      <c r="D591" s="122" t="s">
        <v>179</v>
      </c>
      <c r="E591" s="130" t="s">
        <v>1479</v>
      </c>
      <c r="F591" s="126"/>
      <c r="G591" s="123" t="s">
        <v>896</v>
      </c>
      <c r="I591" s="120" t="s">
        <v>236</v>
      </c>
      <c r="J591" s="120"/>
      <c r="K591" s="120"/>
      <c r="L591" s="135"/>
    </row>
    <row r="592" spans="1:12" ht="18" customHeight="1" x14ac:dyDescent="0.3">
      <c r="A592" s="123" t="s">
        <v>1429</v>
      </c>
      <c r="B592" s="125" t="s">
        <v>1451</v>
      </c>
      <c r="C592" s="131">
        <v>30</v>
      </c>
      <c r="D592" s="122" t="s">
        <v>179</v>
      </c>
      <c r="E592" s="130" t="s">
        <v>1480</v>
      </c>
      <c r="F592" s="126"/>
      <c r="G592" s="123" t="s">
        <v>896</v>
      </c>
      <c r="I592" s="120" t="s">
        <v>236</v>
      </c>
      <c r="J592" s="120"/>
      <c r="K592" s="120"/>
      <c r="L592" s="135"/>
    </row>
    <row r="593" spans="1:12" ht="18" customHeight="1" x14ac:dyDescent="0.3">
      <c r="A593" s="123" t="s">
        <v>1430</v>
      </c>
      <c r="B593" s="125" t="s">
        <v>1451</v>
      </c>
      <c r="C593" s="131">
        <v>40</v>
      </c>
      <c r="D593" s="122" t="s">
        <v>179</v>
      </c>
      <c r="E593" s="130" t="s">
        <v>1481</v>
      </c>
      <c r="F593" s="126"/>
      <c r="G593" s="123" t="s">
        <v>896</v>
      </c>
      <c r="I593" s="120" t="s">
        <v>236</v>
      </c>
      <c r="J593" s="120"/>
      <c r="K593" s="120"/>
      <c r="L593" s="135"/>
    </row>
    <row r="594" spans="1:12" ht="18" customHeight="1" x14ac:dyDescent="0.3">
      <c r="A594" s="123" t="s">
        <v>1431</v>
      </c>
      <c r="B594" s="125" t="s">
        <v>1451</v>
      </c>
      <c r="C594" s="131">
        <v>50</v>
      </c>
      <c r="D594" s="122" t="s">
        <v>179</v>
      </c>
      <c r="E594" s="130" t="s">
        <v>1482</v>
      </c>
      <c r="F594" s="126"/>
      <c r="G594" s="123" t="s">
        <v>896</v>
      </c>
      <c r="I594" s="120" t="s">
        <v>236</v>
      </c>
      <c r="J594" s="120"/>
      <c r="K594" s="120"/>
      <c r="L594" s="135"/>
    </row>
    <row r="595" spans="1:12" ht="18" customHeight="1" x14ac:dyDescent="0.3">
      <c r="A595" s="123" t="s">
        <v>1432</v>
      </c>
      <c r="B595" s="125" t="s">
        <v>1451</v>
      </c>
      <c r="C595" s="131">
        <v>65</v>
      </c>
      <c r="D595" s="122" t="s">
        <v>179</v>
      </c>
      <c r="E595" s="130" t="s">
        <v>1483</v>
      </c>
      <c r="F595" s="126"/>
      <c r="G595" s="123" t="s">
        <v>896</v>
      </c>
      <c r="I595" s="120" t="s">
        <v>237</v>
      </c>
      <c r="J595" s="120"/>
      <c r="K595" s="120"/>
      <c r="L595" s="135"/>
    </row>
    <row r="596" spans="1:12" ht="18" customHeight="1" x14ac:dyDescent="0.3">
      <c r="A596" s="123" t="s">
        <v>1433</v>
      </c>
      <c r="B596" s="125" t="s">
        <v>1451</v>
      </c>
      <c r="C596" s="131">
        <v>80</v>
      </c>
      <c r="D596" s="122" t="s">
        <v>179</v>
      </c>
      <c r="E596" s="130" t="s">
        <v>1484</v>
      </c>
      <c r="F596" s="126"/>
      <c r="G596" s="123" t="s">
        <v>896</v>
      </c>
      <c r="I596" s="120" t="s">
        <v>238</v>
      </c>
      <c r="J596" s="120"/>
      <c r="K596" s="120"/>
      <c r="L596" s="135"/>
    </row>
    <row r="597" spans="1:12" ht="18" customHeight="1" x14ac:dyDescent="0.3">
      <c r="A597" s="123" t="s">
        <v>1434</v>
      </c>
      <c r="B597" s="125" t="s">
        <v>1451</v>
      </c>
      <c r="C597" s="131">
        <v>100</v>
      </c>
      <c r="D597" s="122" t="s">
        <v>179</v>
      </c>
      <c r="E597" s="130" t="s">
        <v>1485</v>
      </c>
      <c r="F597" s="126"/>
      <c r="G597" s="123" t="s">
        <v>896</v>
      </c>
      <c r="I597" s="120" t="s">
        <v>239</v>
      </c>
      <c r="J597" s="120"/>
      <c r="K597" s="120"/>
      <c r="L597" s="135"/>
    </row>
    <row r="598" spans="1:12" ht="18" customHeight="1" x14ac:dyDescent="0.3">
      <c r="A598" s="123" t="s">
        <v>1435</v>
      </c>
      <c r="B598" s="125" t="s">
        <v>1451</v>
      </c>
      <c r="C598" s="131">
        <v>125</v>
      </c>
      <c r="D598" s="122" t="s">
        <v>179</v>
      </c>
      <c r="E598" s="130" t="s">
        <v>1486</v>
      </c>
      <c r="F598" s="126"/>
      <c r="G598" s="123" t="s">
        <v>896</v>
      </c>
      <c r="I598" s="120" t="s">
        <v>240</v>
      </c>
      <c r="J598" s="120"/>
      <c r="K598" s="120"/>
      <c r="L598" s="135"/>
    </row>
    <row r="599" spans="1:12" ht="18" customHeight="1" x14ac:dyDescent="0.3">
      <c r="A599" s="123" t="s">
        <v>1436</v>
      </c>
      <c r="B599" s="125" t="s">
        <v>1451</v>
      </c>
      <c r="C599" s="131">
        <v>150</v>
      </c>
      <c r="D599" s="122" t="s">
        <v>179</v>
      </c>
      <c r="E599" s="130" t="s">
        <v>1487</v>
      </c>
      <c r="F599" s="126"/>
      <c r="G599" s="123" t="s">
        <v>896</v>
      </c>
      <c r="I599" s="120" t="s">
        <v>241</v>
      </c>
      <c r="J599" s="120"/>
      <c r="K599" s="120"/>
      <c r="L599" s="135"/>
    </row>
    <row r="600" spans="1:12" ht="18" customHeight="1" x14ac:dyDescent="0.3">
      <c r="A600" s="123" t="s">
        <v>1437</v>
      </c>
      <c r="B600" s="125" t="s">
        <v>1452</v>
      </c>
      <c r="C600" s="131">
        <v>8</v>
      </c>
      <c r="D600" s="122" t="s">
        <v>1488</v>
      </c>
      <c r="E600" s="130" t="s">
        <v>1489</v>
      </c>
      <c r="F600" s="126"/>
      <c r="G600" s="123" t="s">
        <v>1453</v>
      </c>
      <c r="I600" s="120" t="s">
        <v>234</v>
      </c>
      <c r="J600" s="120"/>
      <c r="K600" s="120"/>
      <c r="L600" s="135"/>
    </row>
    <row r="601" spans="1:12" ht="18" customHeight="1" x14ac:dyDescent="0.3">
      <c r="A601" s="123" t="s">
        <v>1438</v>
      </c>
      <c r="B601" s="125" t="s">
        <v>1452</v>
      </c>
      <c r="C601" s="131">
        <v>10</v>
      </c>
      <c r="D601" s="122" t="s">
        <v>1488</v>
      </c>
      <c r="E601" s="130" t="s">
        <v>1490</v>
      </c>
      <c r="F601" s="126"/>
      <c r="G601" s="123" t="s">
        <v>1453</v>
      </c>
      <c r="I601" s="120" t="s">
        <v>234</v>
      </c>
      <c r="J601" s="120"/>
      <c r="K601" s="120"/>
      <c r="L601" s="135"/>
    </row>
    <row r="602" spans="1:12" ht="18" customHeight="1" x14ac:dyDescent="0.3">
      <c r="A602" s="123" t="s">
        <v>1439</v>
      </c>
      <c r="B602" s="125" t="s">
        <v>1452</v>
      </c>
      <c r="C602" s="131">
        <v>15</v>
      </c>
      <c r="D602" s="122" t="s">
        <v>1488</v>
      </c>
      <c r="E602" s="130" t="s">
        <v>1380</v>
      </c>
      <c r="F602" s="126"/>
      <c r="G602" s="123" t="s">
        <v>1453</v>
      </c>
      <c r="I602" s="120" t="s">
        <v>234</v>
      </c>
      <c r="J602" s="120"/>
      <c r="K602" s="120"/>
      <c r="L602" s="135"/>
    </row>
    <row r="603" spans="1:12" ht="18" customHeight="1" x14ac:dyDescent="0.3">
      <c r="A603" s="123" t="s">
        <v>1440</v>
      </c>
      <c r="B603" s="125" t="s">
        <v>1452</v>
      </c>
      <c r="C603" s="131">
        <v>20</v>
      </c>
      <c r="D603" s="122" t="s">
        <v>1488</v>
      </c>
      <c r="E603" s="130" t="s">
        <v>1455</v>
      </c>
      <c r="F603" s="126"/>
      <c r="G603" s="123" t="s">
        <v>1453</v>
      </c>
      <c r="I603" s="120" t="s">
        <v>234</v>
      </c>
      <c r="J603" s="120"/>
      <c r="K603" s="120"/>
      <c r="L603" s="135"/>
    </row>
    <row r="604" spans="1:12" ht="18" customHeight="1" x14ac:dyDescent="0.3">
      <c r="A604" s="123" t="s">
        <v>1441</v>
      </c>
      <c r="B604" s="125" t="s">
        <v>1452</v>
      </c>
      <c r="C604" s="131">
        <v>25</v>
      </c>
      <c r="D604" s="122" t="s">
        <v>1488</v>
      </c>
      <c r="E604" s="130" t="s">
        <v>1456</v>
      </c>
      <c r="F604" s="126"/>
      <c r="G604" s="123" t="s">
        <v>1453</v>
      </c>
      <c r="I604" s="120" t="s">
        <v>234</v>
      </c>
      <c r="J604" s="120"/>
      <c r="K604" s="120"/>
      <c r="L604" s="135"/>
    </row>
    <row r="605" spans="1:12" ht="18" customHeight="1" x14ac:dyDescent="0.3">
      <c r="A605" s="123" t="s">
        <v>1442</v>
      </c>
      <c r="B605" s="125" t="s">
        <v>1452</v>
      </c>
      <c r="C605" s="131">
        <v>32</v>
      </c>
      <c r="D605" s="122" t="s">
        <v>1488</v>
      </c>
      <c r="E605" s="130" t="s">
        <v>1457</v>
      </c>
      <c r="F605" s="126"/>
      <c r="G605" s="123" t="s">
        <v>1453</v>
      </c>
      <c r="I605" s="120" t="s">
        <v>698</v>
      </c>
      <c r="J605" s="120"/>
      <c r="K605" s="120"/>
      <c r="L605" s="135"/>
    </row>
    <row r="606" spans="1:12" ht="18" customHeight="1" x14ac:dyDescent="0.3">
      <c r="A606" s="123" t="s">
        <v>1443</v>
      </c>
      <c r="B606" s="125" t="s">
        <v>1452</v>
      </c>
      <c r="C606" s="131">
        <v>40</v>
      </c>
      <c r="D606" s="122" t="s">
        <v>1488</v>
      </c>
      <c r="E606" s="130" t="s">
        <v>1458</v>
      </c>
      <c r="F606" s="126"/>
      <c r="G606" s="123" t="s">
        <v>1453</v>
      </c>
      <c r="I606" s="120" t="s">
        <v>700</v>
      </c>
      <c r="J606" s="120"/>
      <c r="K606" s="120"/>
      <c r="L606" s="135"/>
    </row>
    <row r="607" spans="1:12" ht="18" customHeight="1" x14ac:dyDescent="0.3">
      <c r="A607" s="123" t="s">
        <v>1444</v>
      </c>
      <c r="B607" s="125" t="s">
        <v>1452</v>
      </c>
      <c r="C607" s="131">
        <v>50</v>
      </c>
      <c r="D607" s="122" t="s">
        <v>1488</v>
      </c>
      <c r="E607" s="130" t="s">
        <v>1459</v>
      </c>
      <c r="F607" s="126"/>
      <c r="G607" s="123" t="s">
        <v>1453</v>
      </c>
      <c r="I607" s="120" t="s">
        <v>702</v>
      </c>
      <c r="J607" s="120"/>
      <c r="K607" s="120"/>
      <c r="L607" s="135"/>
    </row>
    <row r="608" spans="1:12" ht="18" customHeight="1" x14ac:dyDescent="0.3">
      <c r="A608" s="123" t="s">
        <v>1445</v>
      </c>
      <c r="B608" s="125" t="s">
        <v>1452</v>
      </c>
      <c r="C608" s="131">
        <v>65</v>
      </c>
      <c r="D608" s="122" t="s">
        <v>1488</v>
      </c>
      <c r="E608" s="130" t="s">
        <v>1460</v>
      </c>
      <c r="F608" s="126"/>
      <c r="G608" s="123" t="s">
        <v>1453</v>
      </c>
      <c r="I608" s="120" t="s">
        <v>704</v>
      </c>
      <c r="J608" s="120"/>
      <c r="K608" s="120"/>
      <c r="L608" s="135"/>
    </row>
    <row r="609" spans="1:12" ht="18" customHeight="1" thickBot="1" x14ac:dyDescent="0.35">
      <c r="A609" s="123" t="s">
        <v>1446</v>
      </c>
      <c r="B609" s="125" t="s">
        <v>1452</v>
      </c>
      <c r="C609" s="132">
        <v>80</v>
      </c>
      <c r="D609" s="133" t="s">
        <v>1488</v>
      </c>
      <c r="E609" s="134" t="s">
        <v>1461</v>
      </c>
      <c r="F609" s="126"/>
      <c r="G609" s="123" t="s">
        <v>1453</v>
      </c>
      <c r="I609" s="120" t="s">
        <v>705</v>
      </c>
      <c r="J609" s="120"/>
      <c r="K609" s="120"/>
      <c r="L609" s="135"/>
    </row>
    <row r="610" spans="1:12" ht="18" customHeight="1" x14ac:dyDescent="0.3">
      <c r="L610" s="1"/>
    </row>
  </sheetData>
  <mergeCells count="14">
    <mergeCell ref="AY2:BB2"/>
    <mergeCell ref="A1:G1"/>
    <mergeCell ref="I1:L1"/>
    <mergeCell ref="N1:V1"/>
    <mergeCell ref="X1:AB1"/>
    <mergeCell ref="AT2:AW2"/>
    <mergeCell ref="AI2:AL2"/>
    <mergeCell ref="AN2:AQ2"/>
    <mergeCell ref="N2:V2"/>
    <mergeCell ref="X2:X3"/>
    <mergeCell ref="Y2:Y3"/>
    <mergeCell ref="Z2:Z3"/>
    <mergeCell ref="AA2:AA3"/>
    <mergeCell ref="AB2:AB3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9A3-7C0E-45B5-9AFD-C9E5C3042BD2}">
  <sheetPr>
    <tabColor rgb="FF0070C0"/>
  </sheetPr>
  <dimension ref="A1:R1000"/>
  <sheetViews>
    <sheetView zoomScaleNormal="100" workbookViewId="0">
      <selection activeCell="I16" sqref="I16"/>
    </sheetView>
  </sheetViews>
  <sheetFormatPr defaultColWidth="9" defaultRowHeight="18" customHeight="1" x14ac:dyDescent="0.3"/>
  <cols>
    <col min="1" max="2" width="25.625" style="1" customWidth="1"/>
    <col min="3" max="3" width="9" style="1"/>
    <col min="4" max="4" width="9.75" style="1" bestFit="1" customWidth="1"/>
    <col min="5" max="12" width="14.125" style="1" customWidth="1"/>
    <col min="13" max="14" width="20.625" style="1" customWidth="1"/>
    <col min="15" max="16384" width="9" style="1"/>
  </cols>
  <sheetData>
    <row r="1" spans="1:14" ht="33.200000000000003" customHeight="1" x14ac:dyDescent="0.3">
      <c r="A1" s="201" t="s">
        <v>2938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</row>
    <row r="2" spans="1:14" ht="18" customHeight="1" x14ac:dyDescent="0.3">
      <c r="A2" s="202" t="s">
        <v>0</v>
      </c>
      <c r="B2" s="202" t="s">
        <v>1</v>
      </c>
      <c r="C2" s="202" t="s">
        <v>2</v>
      </c>
      <c r="D2" s="200" t="s">
        <v>3</v>
      </c>
      <c r="E2" s="202" t="s">
        <v>2939</v>
      </c>
      <c r="F2" s="202"/>
      <c r="G2" s="202" t="s">
        <v>4</v>
      </c>
      <c r="H2" s="202"/>
      <c r="I2" s="202" t="s">
        <v>5</v>
      </c>
      <c r="J2" s="202"/>
      <c r="K2" s="202" t="s">
        <v>6</v>
      </c>
      <c r="L2" s="202"/>
      <c r="M2" s="202" t="s">
        <v>2940</v>
      </c>
      <c r="N2" s="200" t="s">
        <v>2941</v>
      </c>
    </row>
    <row r="3" spans="1:14" ht="18" customHeight="1" x14ac:dyDescent="0.3">
      <c r="A3" s="202"/>
      <c r="B3" s="202"/>
      <c r="C3" s="202"/>
      <c r="D3" s="200"/>
      <c r="E3" s="170" t="s">
        <v>2942</v>
      </c>
      <c r="F3" s="170" t="s">
        <v>2943</v>
      </c>
      <c r="G3" s="171" t="s">
        <v>2942</v>
      </c>
      <c r="H3" s="170" t="s">
        <v>2943</v>
      </c>
      <c r="I3" s="170" t="s">
        <v>2942</v>
      </c>
      <c r="J3" s="170" t="s">
        <v>2943</v>
      </c>
      <c r="K3" s="170" t="s">
        <v>2942</v>
      </c>
      <c r="L3" s="170" t="s">
        <v>2943</v>
      </c>
      <c r="M3" s="202"/>
      <c r="N3" s="200"/>
    </row>
    <row r="4" spans="1:14" ht="18" customHeight="1" x14ac:dyDescent="0.3">
      <c r="A4" s="172"/>
      <c r="B4" s="173"/>
      <c r="C4" s="174"/>
      <c r="D4" s="174"/>
      <c r="F4" s="1">
        <f>SUM(H4,J4,L4)</f>
        <v>0</v>
      </c>
      <c r="H4" s="1">
        <f>ROUNDUP(D4*G4,0)</f>
        <v>0</v>
      </c>
      <c r="J4" s="1">
        <f>ROUNDUP(D4*I4,0)</f>
        <v>0</v>
      </c>
      <c r="L4" s="1">
        <f>ROUNDUP(D4*K4,0)</f>
        <v>0</v>
      </c>
      <c r="N4" s="11"/>
    </row>
    <row r="5" spans="1:14" ht="18" customHeight="1" x14ac:dyDescent="0.3">
      <c r="A5" s="172"/>
      <c r="B5" s="173"/>
      <c r="C5" s="174"/>
      <c r="D5" s="174"/>
      <c r="F5" s="1">
        <f t="shared" ref="F5:F68" si="0">SUM(H5,J5,L5)</f>
        <v>0</v>
      </c>
      <c r="H5" s="1">
        <f t="shared" ref="H5:H68" si="1">ROUNDUP(D5*G5,0)</f>
        <v>0</v>
      </c>
      <c r="J5" s="1">
        <f t="shared" ref="J5:J68" si="2">ROUNDUP(D5*I5,0)</f>
        <v>0</v>
      </c>
      <c r="L5" s="1">
        <f t="shared" ref="L5:L68" si="3">ROUNDUP(D5*K5,0)</f>
        <v>0</v>
      </c>
      <c r="N5" s="11"/>
    </row>
    <row r="6" spans="1:14" ht="18" customHeight="1" x14ac:dyDescent="0.3">
      <c r="A6" s="172"/>
      <c r="B6" s="173"/>
      <c r="C6" s="174"/>
      <c r="D6" s="174"/>
      <c r="F6" s="1">
        <f t="shared" si="0"/>
        <v>0</v>
      </c>
      <c r="H6" s="1">
        <f t="shared" si="1"/>
        <v>0</v>
      </c>
      <c r="J6" s="1">
        <f t="shared" si="2"/>
        <v>0</v>
      </c>
      <c r="L6" s="1">
        <f t="shared" si="3"/>
        <v>0</v>
      </c>
      <c r="N6" s="11"/>
    </row>
    <row r="7" spans="1:14" ht="18" customHeight="1" x14ac:dyDescent="0.3">
      <c r="A7" s="172"/>
      <c r="B7" s="173"/>
      <c r="C7" s="174"/>
      <c r="D7" s="174"/>
      <c r="F7" s="1">
        <f t="shared" si="0"/>
        <v>0</v>
      </c>
      <c r="H7" s="1">
        <f t="shared" si="1"/>
        <v>0</v>
      </c>
      <c r="J7" s="1">
        <f t="shared" si="2"/>
        <v>0</v>
      </c>
      <c r="L7" s="1">
        <f t="shared" si="3"/>
        <v>0</v>
      </c>
      <c r="N7" s="11"/>
    </row>
    <row r="8" spans="1:14" ht="18" customHeight="1" x14ac:dyDescent="0.3">
      <c r="A8" s="172"/>
      <c r="B8" s="173"/>
      <c r="C8" s="174"/>
      <c r="D8" s="174"/>
      <c r="F8" s="1">
        <f t="shared" si="0"/>
        <v>0</v>
      </c>
      <c r="H8" s="1">
        <f t="shared" si="1"/>
        <v>0</v>
      </c>
      <c r="J8" s="1">
        <f t="shared" si="2"/>
        <v>0</v>
      </c>
      <c r="L8" s="1">
        <f t="shared" si="3"/>
        <v>0</v>
      </c>
      <c r="N8" s="11"/>
    </row>
    <row r="9" spans="1:14" ht="18" customHeight="1" x14ac:dyDescent="0.3">
      <c r="A9" s="172"/>
      <c r="B9" s="173"/>
      <c r="C9" s="174"/>
      <c r="D9" s="174"/>
      <c r="F9" s="1">
        <f t="shared" si="0"/>
        <v>0</v>
      </c>
      <c r="H9" s="1">
        <f t="shared" si="1"/>
        <v>0</v>
      </c>
      <c r="J9" s="1">
        <f t="shared" si="2"/>
        <v>0</v>
      </c>
      <c r="L9" s="1">
        <f t="shared" si="3"/>
        <v>0</v>
      </c>
      <c r="N9" s="11"/>
    </row>
    <row r="10" spans="1:14" ht="18" customHeight="1" x14ac:dyDescent="0.3">
      <c r="A10" s="172"/>
      <c r="B10" s="173"/>
      <c r="C10" s="174"/>
      <c r="D10" s="174"/>
      <c r="F10" s="1">
        <f t="shared" si="0"/>
        <v>0</v>
      </c>
      <c r="H10" s="1">
        <f t="shared" si="1"/>
        <v>0</v>
      </c>
      <c r="J10" s="1">
        <f t="shared" si="2"/>
        <v>0</v>
      </c>
      <c r="L10" s="1">
        <f t="shared" si="3"/>
        <v>0</v>
      </c>
      <c r="N10" s="11"/>
    </row>
    <row r="11" spans="1:14" ht="18" customHeight="1" x14ac:dyDescent="0.3">
      <c r="A11" s="172"/>
      <c r="B11" s="173"/>
      <c r="C11" s="174"/>
      <c r="D11" s="174"/>
      <c r="F11" s="1">
        <f t="shared" si="0"/>
        <v>0</v>
      </c>
      <c r="H11" s="1">
        <f t="shared" si="1"/>
        <v>0</v>
      </c>
      <c r="J11" s="1">
        <f t="shared" si="2"/>
        <v>0</v>
      </c>
      <c r="L11" s="1">
        <f t="shared" si="3"/>
        <v>0</v>
      </c>
      <c r="N11" s="11"/>
    </row>
    <row r="12" spans="1:14" ht="18" customHeight="1" x14ac:dyDescent="0.3">
      <c r="A12" s="172"/>
      <c r="B12" s="173"/>
      <c r="C12" s="174"/>
      <c r="D12" s="174"/>
      <c r="F12" s="1">
        <f t="shared" si="0"/>
        <v>0</v>
      </c>
      <c r="H12" s="1">
        <f t="shared" si="1"/>
        <v>0</v>
      </c>
      <c r="J12" s="1">
        <f t="shared" si="2"/>
        <v>0</v>
      </c>
      <c r="L12" s="1">
        <f t="shared" si="3"/>
        <v>0</v>
      </c>
      <c r="N12" s="11"/>
    </row>
    <row r="13" spans="1:14" ht="18" customHeight="1" x14ac:dyDescent="0.3">
      <c r="A13" s="172"/>
      <c r="B13" s="173"/>
      <c r="C13" s="174"/>
      <c r="D13" s="174"/>
      <c r="F13" s="1">
        <f t="shared" si="0"/>
        <v>0</v>
      </c>
      <c r="H13" s="1">
        <f t="shared" si="1"/>
        <v>0</v>
      </c>
      <c r="J13" s="1">
        <f t="shared" si="2"/>
        <v>0</v>
      </c>
      <c r="L13" s="1">
        <f t="shared" si="3"/>
        <v>0</v>
      </c>
      <c r="N13" s="11"/>
    </row>
    <row r="14" spans="1:14" ht="18" customHeight="1" x14ac:dyDescent="0.3">
      <c r="A14" s="175"/>
      <c r="B14" s="173"/>
      <c r="C14" s="174"/>
      <c r="D14" s="174"/>
      <c r="E14" s="174"/>
      <c r="F14" s="1">
        <f t="shared" si="0"/>
        <v>0</v>
      </c>
      <c r="G14" s="176"/>
      <c r="H14" s="1">
        <f t="shared" si="1"/>
        <v>0</v>
      </c>
      <c r="J14" s="1">
        <f t="shared" si="2"/>
        <v>0</v>
      </c>
      <c r="L14" s="1">
        <f t="shared" si="3"/>
        <v>0</v>
      </c>
      <c r="M14" s="174"/>
      <c r="N14" s="11"/>
    </row>
    <row r="15" spans="1:14" ht="18" customHeight="1" x14ac:dyDescent="0.3">
      <c r="A15" s="175"/>
      <c r="B15" s="173"/>
      <c r="C15" s="174"/>
      <c r="D15" s="174"/>
      <c r="E15" s="174"/>
      <c r="F15" s="1">
        <f t="shared" si="0"/>
        <v>0</v>
      </c>
      <c r="G15" s="176"/>
      <c r="H15" s="1">
        <f t="shared" si="1"/>
        <v>0</v>
      </c>
      <c r="J15" s="1">
        <f t="shared" si="2"/>
        <v>0</v>
      </c>
      <c r="L15" s="1">
        <f t="shared" si="3"/>
        <v>0</v>
      </c>
      <c r="M15" s="174"/>
      <c r="N15" s="11"/>
    </row>
    <row r="16" spans="1:14" ht="18" customHeight="1" x14ac:dyDescent="0.3">
      <c r="A16" s="175"/>
      <c r="B16" s="173"/>
      <c r="C16" s="174"/>
      <c r="D16" s="174"/>
      <c r="E16" s="174"/>
      <c r="F16" s="1">
        <f t="shared" si="0"/>
        <v>0</v>
      </c>
      <c r="G16" s="176"/>
      <c r="H16" s="1">
        <f t="shared" si="1"/>
        <v>0</v>
      </c>
      <c r="J16" s="1">
        <f t="shared" si="2"/>
        <v>0</v>
      </c>
      <c r="L16" s="1">
        <f t="shared" si="3"/>
        <v>0</v>
      </c>
      <c r="M16" s="174"/>
      <c r="N16" s="11"/>
    </row>
    <row r="17" spans="1:14" ht="18" customHeight="1" x14ac:dyDescent="0.3">
      <c r="A17" s="175"/>
      <c r="B17" s="173"/>
      <c r="C17" s="174"/>
      <c r="D17" s="174"/>
      <c r="E17" s="174"/>
      <c r="F17" s="1">
        <f t="shared" si="0"/>
        <v>0</v>
      </c>
      <c r="G17" s="176"/>
      <c r="H17" s="1">
        <f t="shared" si="1"/>
        <v>0</v>
      </c>
      <c r="J17" s="1">
        <f t="shared" si="2"/>
        <v>0</v>
      </c>
      <c r="L17" s="1">
        <f t="shared" si="3"/>
        <v>0</v>
      </c>
      <c r="M17" s="174"/>
      <c r="N17" s="11"/>
    </row>
    <row r="18" spans="1:14" ht="18" customHeight="1" x14ac:dyDescent="0.3">
      <c r="A18" s="175"/>
      <c r="B18" s="173"/>
      <c r="C18" s="174"/>
      <c r="D18" s="174"/>
      <c r="E18" s="174"/>
      <c r="F18" s="1">
        <f t="shared" si="0"/>
        <v>0</v>
      </c>
      <c r="G18" s="176"/>
      <c r="H18" s="1">
        <f t="shared" si="1"/>
        <v>0</v>
      </c>
      <c r="J18" s="1">
        <f t="shared" si="2"/>
        <v>0</v>
      </c>
      <c r="L18" s="1">
        <f t="shared" si="3"/>
        <v>0</v>
      </c>
      <c r="M18" s="174"/>
      <c r="N18" s="11"/>
    </row>
    <row r="19" spans="1:14" ht="18" customHeight="1" x14ac:dyDescent="0.3">
      <c r="A19" s="175"/>
      <c r="B19" s="173"/>
      <c r="C19" s="174"/>
      <c r="D19" s="174"/>
      <c r="E19" s="174"/>
      <c r="F19" s="1">
        <f t="shared" si="0"/>
        <v>0</v>
      </c>
      <c r="G19" s="176"/>
      <c r="H19" s="1">
        <f t="shared" si="1"/>
        <v>0</v>
      </c>
      <c r="J19" s="1">
        <f t="shared" si="2"/>
        <v>0</v>
      </c>
      <c r="L19" s="1">
        <f t="shared" si="3"/>
        <v>0</v>
      </c>
      <c r="M19" s="174"/>
      <c r="N19" s="11"/>
    </row>
    <row r="20" spans="1:14" ht="18" customHeight="1" x14ac:dyDescent="0.3">
      <c r="A20" s="175"/>
      <c r="B20" s="173"/>
      <c r="C20" s="174"/>
      <c r="D20" s="174"/>
      <c r="E20" s="174"/>
      <c r="F20" s="1">
        <f t="shared" si="0"/>
        <v>0</v>
      </c>
      <c r="G20" s="176"/>
      <c r="H20" s="1">
        <f t="shared" si="1"/>
        <v>0</v>
      </c>
      <c r="J20" s="1">
        <f t="shared" si="2"/>
        <v>0</v>
      </c>
      <c r="L20" s="1">
        <f t="shared" si="3"/>
        <v>0</v>
      </c>
      <c r="M20" s="174"/>
      <c r="N20" s="11"/>
    </row>
    <row r="21" spans="1:14" ht="18" customHeight="1" x14ac:dyDescent="0.3">
      <c r="A21" s="175"/>
      <c r="B21" s="173"/>
      <c r="C21" s="174"/>
      <c r="D21" s="174"/>
      <c r="E21" s="174"/>
      <c r="F21" s="1">
        <f t="shared" si="0"/>
        <v>0</v>
      </c>
      <c r="G21" s="176"/>
      <c r="H21" s="1">
        <f t="shared" si="1"/>
        <v>0</v>
      </c>
      <c r="J21" s="1">
        <f t="shared" si="2"/>
        <v>0</v>
      </c>
      <c r="L21" s="1">
        <f t="shared" si="3"/>
        <v>0</v>
      </c>
      <c r="M21" s="174"/>
      <c r="N21" s="11"/>
    </row>
    <row r="22" spans="1:14" ht="18" customHeight="1" x14ac:dyDescent="0.3">
      <c r="A22" s="175"/>
      <c r="B22" s="173"/>
      <c r="C22" s="174"/>
      <c r="D22" s="174"/>
      <c r="E22" s="174"/>
      <c r="F22" s="1">
        <f t="shared" si="0"/>
        <v>0</v>
      </c>
      <c r="G22" s="176"/>
      <c r="H22" s="1">
        <f t="shared" si="1"/>
        <v>0</v>
      </c>
      <c r="J22" s="1">
        <f t="shared" si="2"/>
        <v>0</v>
      </c>
      <c r="L22" s="1">
        <f t="shared" si="3"/>
        <v>0</v>
      </c>
      <c r="M22" s="174"/>
      <c r="N22" s="11"/>
    </row>
    <row r="23" spans="1:14" ht="18" customHeight="1" x14ac:dyDescent="0.3">
      <c r="A23" s="175"/>
      <c r="B23" s="175"/>
      <c r="C23" s="174"/>
      <c r="D23" s="174"/>
      <c r="E23" s="174"/>
      <c r="F23" s="1">
        <f t="shared" si="0"/>
        <v>0</v>
      </c>
      <c r="G23" s="174"/>
      <c r="H23" s="1">
        <f t="shared" si="1"/>
        <v>0</v>
      </c>
      <c r="I23" s="174"/>
      <c r="J23" s="1">
        <f t="shared" si="2"/>
        <v>0</v>
      </c>
      <c r="K23" s="174"/>
      <c r="L23" s="1">
        <f t="shared" si="3"/>
        <v>0</v>
      </c>
      <c r="M23" s="174"/>
      <c r="N23" s="174"/>
    </row>
    <row r="24" spans="1:14" ht="18" customHeight="1" x14ac:dyDescent="0.3">
      <c r="A24" s="175"/>
      <c r="B24" s="173"/>
      <c r="C24" s="174"/>
      <c r="D24" s="174"/>
      <c r="E24" s="174"/>
      <c r="F24" s="1">
        <f t="shared" si="0"/>
        <v>0</v>
      </c>
      <c r="G24" s="176"/>
      <c r="H24" s="1">
        <f t="shared" si="1"/>
        <v>0</v>
      </c>
      <c r="J24" s="1">
        <f t="shared" si="2"/>
        <v>0</v>
      </c>
      <c r="L24" s="1">
        <f t="shared" si="3"/>
        <v>0</v>
      </c>
      <c r="M24" s="174"/>
      <c r="N24" s="11"/>
    </row>
    <row r="25" spans="1:14" ht="18" customHeight="1" x14ac:dyDescent="0.3">
      <c r="A25" s="175"/>
      <c r="B25" s="173"/>
      <c r="C25" s="174"/>
      <c r="D25" s="174"/>
      <c r="E25" s="174"/>
      <c r="F25" s="1">
        <f t="shared" si="0"/>
        <v>0</v>
      </c>
      <c r="G25" s="176"/>
      <c r="H25" s="1">
        <f t="shared" si="1"/>
        <v>0</v>
      </c>
      <c r="J25" s="1">
        <f t="shared" si="2"/>
        <v>0</v>
      </c>
      <c r="L25" s="1">
        <f t="shared" si="3"/>
        <v>0</v>
      </c>
      <c r="M25" s="174"/>
      <c r="N25" s="11"/>
    </row>
    <row r="26" spans="1:14" ht="18" customHeight="1" x14ac:dyDescent="0.3">
      <c r="A26" s="175"/>
      <c r="B26" s="173"/>
      <c r="C26" s="174"/>
      <c r="D26" s="174"/>
      <c r="E26" s="174"/>
      <c r="F26" s="1">
        <f t="shared" si="0"/>
        <v>0</v>
      </c>
      <c r="G26" s="176"/>
      <c r="H26" s="1">
        <f t="shared" si="1"/>
        <v>0</v>
      </c>
      <c r="J26" s="1">
        <f t="shared" si="2"/>
        <v>0</v>
      </c>
      <c r="L26" s="1">
        <f t="shared" si="3"/>
        <v>0</v>
      </c>
      <c r="M26" s="174"/>
      <c r="N26" s="11"/>
    </row>
    <row r="27" spans="1:14" ht="18" customHeight="1" x14ac:dyDescent="0.3">
      <c r="A27" s="175"/>
      <c r="B27" s="173"/>
      <c r="C27" s="174"/>
      <c r="D27" s="174"/>
      <c r="E27" s="174"/>
      <c r="F27" s="1">
        <f t="shared" si="0"/>
        <v>0</v>
      </c>
      <c r="G27" s="176"/>
      <c r="H27" s="1">
        <f t="shared" si="1"/>
        <v>0</v>
      </c>
      <c r="J27" s="1">
        <f t="shared" si="2"/>
        <v>0</v>
      </c>
      <c r="L27" s="1">
        <f t="shared" si="3"/>
        <v>0</v>
      </c>
      <c r="M27" s="174"/>
      <c r="N27" s="11"/>
    </row>
    <row r="28" spans="1:14" ht="18" customHeight="1" x14ac:dyDescent="0.3">
      <c r="A28" s="175"/>
      <c r="B28" s="173"/>
      <c r="C28" s="174"/>
      <c r="D28" s="174"/>
      <c r="E28" s="174"/>
      <c r="F28" s="1">
        <f t="shared" si="0"/>
        <v>0</v>
      </c>
      <c r="G28" s="176"/>
      <c r="H28" s="1">
        <f t="shared" si="1"/>
        <v>0</v>
      </c>
      <c r="J28" s="1">
        <f t="shared" si="2"/>
        <v>0</v>
      </c>
      <c r="L28" s="1">
        <f t="shared" si="3"/>
        <v>0</v>
      </c>
      <c r="M28" s="174"/>
      <c r="N28" s="11"/>
    </row>
    <row r="29" spans="1:14" ht="18" customHeight="1" x14ac:dyDescent="0.3">
      <c r="A29" s="175"/>
      <c r="B29" s="173"/>
      <c r="C29" s="174"/>
      <c r="D29" s="174"/>
      <c r="E29" s="174"/>
      <c r="F29" s="1">
        <f t="shared" si="0"/>
        <v>0</v>
      </c>
      <c r="G29" s="176"/>
      <c r="H29" s="1">
        <f t="shared" si="1"/>
        <v>0</v>
      </c>
      <c r="J29" s="1">
        <f t="shared" si="2"/>
        <v>0</v>
      </c>
      <c r="L29" s="1">
        <f t="shared" si="3"/>
        <v>0</v>
      </c>
      <c r="M29" s="174"/>
      <c r="N29" s="11"/>
    </row>
    <row r="30" spans="1:14" ht="18" customHeight="1" x14ac:dyDescent="0.3">
      <c r="A30" s="175"/>
      <c r="B30" s="173"/>
      <c r="C30" s="174"/>
      <c r="D30" s="174"/>
      <c r="E30" s="174"/>
      <c r="F30" s="1">
        <f t="shared" si="0"/>
        <v>0</v>
      </c>
      <c r="G30" s="176"/>
      <c r="H30" s="1">
        <f t="shared" si="1"/>
        <v>0</v>
      </c>
      <c r="J30" s="1">
        <f t="shared" si="2"/>
        <v>0</v>
      </c>
      <c r="L30" s="1">
        <f t="shared" si="3"/>
        <v>0</v>
      </c>
      <c r="M30" s="174"/>
      <c r="N30" s="11"/>
    </row>
    <row r="31" spans="1:14" ht="18" customHeight="1" x14ac:dyDescent="0.3">
      <c r="A31" s="175"/>
      <c r="B31" s="173"/>
      <c r="C31" s="174"/>
      <c r="D31" s="174"/>
      <c r="E31" s="174"/>
      <c r="F31" s="1">
        <f t="shared" si="0"/>
        <v>0</v>
      </c>
      <c r="G31" s="176"/>
      <c r="H31" s="1">
        <f t="shared" si="1"/>
        <v>0</v>
      </c>
      <c r="J31" s="1">
        <f t="shared" si="2"/>
        <v>0</v>
      </c>
      <c r="L31" s="1">
        <f t="shared" si="3"/>
        <v>0</v>
      </c>
      <c r="M31" s="174"/>
      <c r="N31" s="11"/>
    </row>
    <row r="32" spans="1:14" ht="18" customHeight="1" x14ac:dyDescent="0.3">
      <c r="A32" s="175"/>
      <c r="B32" s="173"/>
      <c r="C32" s="174"/>
      <c r="D32" s="174"/>
      <c r="E32" s="174"/>
      <c r="F32" s="1">
        <f t="shared" si="0"/>
        <v>0</v>
      </c>
      <c r="G32" s="176"/>
      <c r="H32" s="1">
        <f t="shared" si="1"/>
        <v>0</v>
      </c>
      <c r="J32" s="1">
        <f t="shared" si="2"/>
        <v>0</v>
      </c>
      <c r="L32" s="1">
        <f t="shared" si="3"/>
        <v>0</v>
      </c>
      <c r="M32" s="174"/>
      <c r="N32" s="11"/>
    </row>
    <row r="33" spans="1:14" ht="18" customHeight="1" x14ac:dyDescent="0.3">
      <c r="A33" s="175"/>
      <c r="B33" s="175"/>
      <c r="C33" s="174"/>
      <c r="D33" s="174"/>
      <c r="E33" s="174"/>
      <c r="F33" s="1">
        <f t="shared" si="0"/>
        <v>0</v>
      </c>
      <c r="G33" s="174"/>
      <c r="H33" s="1">
        <f t="shared" si="1"/>
        <v>0</v>
      </c>
      <c r="I33" s="174"/>
      <c r="J33" s="1">
        <f t="shared" si="2"/>
        <v>0</v>
      </c>
      <c r="K33" s="174"/>
      <c r="L33" s="1">
        <f t="shared" si="3"/>
        <v>0</v>
      </c>
      <c r="M33" s="174"/>
      <c r="N33" s="174"/>
    </row>
    <row r="34" spans="1:14" ht="18" customHeight="1" x14ac:dyDescent="0.3">
      <c r="A34" s="175"/>
      <c r="B34" s="175"/>
      <c r="C34" s="174"/>
      <c r="D34" s="174"/>
      <c r="E34" s="174"/>
      <c r="F34" s="1">
        <f t="shared" si="0"/>
        <v>0</v>
      </c>
      <c r="G34" s="174"/>
      <c r="H34" s="1">
        <f t="shared" si="1"/>
        <v>0</v>
      </c>
      <c r="I34" s="174"/>
      <c r="J34" s="1">
        <f t="shared" si="2"/>
        <v>0</v>
      </c>
      <c r="K34" s="174"/>
      <c r="L34" s="1">
        <f t="shared" si="3"/>
        <v>0</v>
      </c>
      <c r="M34" s="174"/>
      <c r="N34" s="174"/>
    </row>
    <row r="35" spans="1:14" ht="18" customHeight="1" x14ac:dyDescent="0.3">
      <c r="A35" s="175"/>
      <c r="B35" s="175"/>
      <c r="C35" s="174"/>
      <c r="D35" s="174"/>
      <c r="E35" s="174"/>
      <c r="F35" s="1">
        <f t="shared" si="0"/>
        <v>0</v>
      </c>
      <c r="G35" s="174"/>
      <c r="H35" s="1">
        <f t="shared" si="1"/>
        <v>0</v>
      </c>
      <c r="I35" s="174"/>
      <c r="J35" s="1">
        <f t="shared" si="2"/>
        <v>0</v>
      </c>
      <c r="K35" s="174"/>
      <c r="L35" s="1">
        <f t="shared" si="3"/>
        <v>0</v>
      </c>
      <c r="M35" s="174"/>
      <c r="N35" s="174"/>
    </row>
    <row r="36" spans="1:14" ht="18" customHeight="1" x14ac:dyDescent="0.3">
      <c r="A36" s="175"/>
      <c r="B36" s="175"/>
      <c r="C36" s="174"/>
      <c r="D36" s="174"/>
      <c r="E36" s="174"/>
      <c r="F36" s="1">
        <f t="shared" si="0"/>
        <v>0</v>
      </c>
      <c r="G36" s="174"/>
      <c r="H36" s="1">
        <f t="shared" si="1"/>
        <v>0</v>
      </c>
      <c r="I36" s="174"/>
      <c r="J36" s="1">
        <f t="shared" si="2"/>
        <v>0</v>
      </c>
      <c r="K36" s="174"/>
      <c r="L36" s="1">
        <f t="shared" si="3"/>
        <v>0</v>
      </c>
      <c r="M36" s="174"/>
      <c r="N36" s="174"/>
    </row>
    <row r="37" spans="1:14" ht="18" customHeight="1" x14ac:dyDescent="0.3">
      <c r="A37" s="175"/>
      <c r="B37" s="175"/>
      <c r="C37" s="174"/>
      <c r="D37" s="174"/>
      <c r="E37" s="174"/>
      <c r="F37" s="1">
        <f t="shared" si="0"/>
        <v>0</v>
      </c>
      <c r="G37" s="174"/>
      <c r="H37" s="1">
        <f t="shared" si="1"/>
        <v>0</v>
      </c>
      <c r="I37" s="174"/>
      <c r="J37" s="1">
        <f t="shared" si="2"/>
        <v>0</v>
      </c>
      <c r="K37" s="174"/>
      <c r="L37" s="1">
        <f t="shared" si="3"/>
        <v>0</v>
      </c>
      <c r="M37" s="174"/>
      <c r="N37" s="174"/>
    </row>
    <row r="38" spans="1:14" ht="18" customHeight="1" x14ac:dyDescent="0.3">
      <c r="A38" s="175"/>
      <c r="B38" s="175"/>
      <c r="C38" s="174"/>
      <c r="D38" s="174"/>
      <c r="E38" s="174"/>
      <c r="F38" s="1">
        <f t="shared" si="0"/>
        <v>0</v>
      </c>
      <c r="G38" s="174"/>
      <c r="H38" s="1">
        <f t="shared" si="1"/>
        <v>0</v>
      </c>
      <c r="I38" s="174"/>
      <c r="J38" s="1">
        <f t="shared" si="2"/>
        <v>0</v>
      </c>
      <c r="K38" s="174"/>
      <c r="L38" s="1">
        <f t="shared" si="3"/>
        <v>0</v>
      </c>
      <c r="M38" s="174"/>
      <c r="N38" s="174"/>
    </row>
    <row r="39" spans="1:14" ht="18" customHeight="1" x14ac:dyDescent="0.3">
      <c r="A39" s="175"/>
      <c r="B39" s="175"/>
      <c r="C39" s="174"/>
      <c r="D39" s="174"/>
      <c r="E39" s="174"/>
      <c r="F39" s="1">
        <f t="shared" si="0"/>
        <v>0</v>
      </c>
      <c r="G39" s="174"/>
      <c r="H39" s="1">
        <f t="shared" si="1"/>
        <v>0</v>
      </c>
      <c r="I39" s="174"/>
      <c r="J39" s="1">
        <f t="shared" si="2"/>
        <v>0</v>
      </c>
      <c r="K39" s="174"/>
      <c r="L39" s="1">
        <f t="shared" si="3"/>
        <v>0</v>
      </c>
      <c r="M39" s="174"/>
      <c r="N39" s="174"/>
    </row>
    <row r="40" spans="1:14" ht="18" customHeight="1" x14ac:dyDescent="0.3">
      <c r="A40" s="175"/>
      <c r="B40" s="175"/>
      <c r="C40" s="174"/>
      <c r="D40" s="174"/>
      <c r="E40" s="174"/>
      <c r="F40" s="1">
        <f t="shared" si="0"/>
        <v>0</v>
      </c>
      <c r="G40" s="174"/>
      <c r="H40" s="1">
        <f t="shared" si="1"/>
        <v>0</v>
      </c>
      <c r="I40" s="174"/>
      <c r="J40" s="1">
        <f t="shared" si="2"/>
        <v>0</v>
      </c>
      <c r="K40" s="174"/>
      <c r="L40" s="1">
        <f t="shared" si="3"/>
        <v>0</v>
      </c>
      <c r="M40" s="174"/>
      <c r="N40" s="174"/>
    </row>
    <row r="41" spans="1:14" ht="18" customHeight="1" x14ac:dyDescent="0.3">
      <c r="A41" s="175"/>
      <c r="B41" s="173"/>
      <c r="C41" s="174"/>
      <c r="D41" s="174"/>
      <c r="E41" s="174"/>
      <c r="F41" s="1">
        <f t="shared" si="0"/>
        <v>0</v>
      </c>
      <c r="G41" s="176"/>
      <c r="H41" s="1">
        <f t="shared" si="1"/>
        <v>0</v>
      </c>
      <c r="J41" s="1">
        <f t="shared" si="2"/>
        <v>0</v>
      </c>
      <c r="L41" s="1">
        <f t="shared" si="3"/>
        <v>0</v>
      </c>
      <c r="M41" s="174"/>
      <c r="N41" s="11"/>
    </row>
    <row r="42" spans="1:14" ht="18" customHeight="1" x14ac:dyDescent="0.3">
      <c r="A42" s="175"/>
      <c r="B42" s="173"/>
      <c r="C42" s="174"/>
      <c r="D42" s="174"/>
      <c r="E42" s="174"/>
      <c r="F42" s="1">
        <f t="shared" si="0"/>
        <v>0</v>
      </c>
      <c r="G42" s="176"/>
      <c r="H42" s="1">
        <f t="shared" si="1"/>
        <v>0</v>
      </c>
      <c r="J42" s="1">
        <f t="shared" si="2"/>
        <v>0</v>
      </c>
      <c r="L42" s="1">
        <f t="shared" si="3"/>
        <v>0</v>
      </c>
      <c r="M42" s="174"/>
      <c r="N42" s="11"/>
    </row>
    <row r="43" spans="1:14" ht="18" customHeight="1" x14ac:dyDescent="0.3">
      <c r="A43" s="175"/>
      <c r="B43" s="173"/>
      <c r="C43" s="174"/>
      <c r="D43" s="174"/>
      <c r="E43" s="174"/>
      <c r="F43" s="1">
        <f t="shared" si="0"/>
        <v>0</v>
      </c>
      <c r="G43" s="176"/>
      <c r="H43" s="1">
        <f t="shared" si="1"/>
        <v>0</v>
      </c>
      <c r="J43" s="1">
        <f t="shared" si="2"/>
        <v>0</v>
      </c>
      <c r="L43" s="1">
        <f t="shared" si="3"/>
        <v>0</v>
      </c>
      <c r="M43" s="174"/>
      <c r="N43" s="11"/>
    </row>
    <row r="44" spans="1:14" ht="18" customHeight="1" x14ac:dyDescent="0.3">
      <c r="A44" s="175"/>
      <c r="B44" s="173"/>
      <c r="C44" s="174"/>
      <c r="D44" s="174"/>
      <c r="E44" s="174"/>
      <c r="F44" s="1">
        <f t="shared" si="0"/>
        <v>0</v>
      </c>
      <c r="G44" s="176"/>
      <c r="H44" s="1">
        <f t="shared" si="1"/>
        <v>0</v>
      </c>
      <c r="J44" s="1">
        <f t="shared" si="2"/>
        <v>0</v>
      </c>
      <c r="L44" s="1">
        <f t="shared" si="3"/>
        <v>0</v>
      </c>
      <c r="M44" s="174"/>
      <c r="N44" s="11"/>
    </row>
    <row r="45" spans="1:14" ht="18" customHeight="1" x14ac:dyDescent="0.3">
      <c r="A45" s="175"/>
      <c r="B45" s="173"/>
      <c r="C45" s="174"/>
      <c r="D45" s="174"/>
      <c r="E45" s="174"/>
      <c r="F45" s="1">
        <f t="shared" si="0"/>
        <v>0</v>
      </c>
      <c r="G45" s="176"/>
      <c r="H45" s="1">
        <f t="shared" si="1"/>
        <v>0</v>
      </c>
      <c r="J45" s="1">
        <f t="shared" si="2"/>
        <v>0</v>
      </c>
      <c r="L45" s="1">
        <f t="shared" si="3"/>
        <v>0</v>
      </c>
      <c r="M45" s="174"/>
      <c r="N45" s="11"/>
    </row>
    <row r="46" spans="1:14" ht="18" customHeight="1" x14ac:dyDescent="0.3">
      <c r="A46" s="175"/>
      <c r="B46" s="173"/>
      <c r="C46" s="174"/>
      <c r="D46" s="174"/>
      <c r="E46" s="174"/>
      <c r="F46" s="1">
        <f t="shared" si="0"/>
        <v>0</v>
      </c>
      <c r="G46" s="176"/>
      <c r="H46" s="1">
        <f t="shared" si="1"/>
        <v>0</v>
      </c>
      <c r="J46" s="1">
        <f t="shared" si="2"/>
        <v>0</v>
      </c>
      <c r="L46" s="1">
        <f t="shared" si="3"/>
        <v>0</v>
      </c>
      <c r="M46" s="174"/>
      <c r="N46" s="11"/>
    </row>
    <row r="47" spans="1:14" ht="18" customHeight="1" x14ac:dyDescent="0.3">
      <c r="A47" s="175"/>
      <c r="B47" s="173"/>
      <c r="C47" s="174"/>
      <c r="D47" s="174"/>
      <c r="E47" s="174"/>
      <c r="F47" s="1">
        <f t="shared" si="0"/>
        <v>0</v>
      </c>
      <c r="G47" s="176"/>
      <c r="H47" s="1">
        <f t="shared" si="1"/>
        <v>0</v>
      </c>
      <c r="J47" s="1">
        <f t="shared" si="2"/>
        <v>0</v>
      </c>
      <c r="L47" s="1">
        <f t="shared" si="3"/>
        <v>0</v>
      </c>
      <c r="M47" s="174"/>
      <c r="N47" s="11"/>
    </row>
    <row r="48" spans="1:14" ht="18" customHeight="1" x14ac:dyDescent="0.3">
      <c r="A48" s="175"/>
      <c r="B48" s="173"/>
      <c r="C48" s="174"/>
      <c r="D48" s="174"/>
      <c r="E48" s="174"/>
      <c r="F48" s="1">
        <f t="shared" si="0"/>
        <v>0</v>
      </c>
      <c r="G48" s="176"/>
      <c r="H48" s="1">
        <f t="shared" si="1"/>
        <v>0</v>
      </c>
      <c r="J48" s="1">
        <f t="shared" si="2"/>
        <v>0</v>
      </c>
      <c r="L48" s="1">
        <f t="shared" si="3"/>
        <v>0</v>
      </c>
      <c r="M48" s="174"/>
      <c r="N48" s="11"/>
    </row>
    <row r="49" spans="1:14" ht="18" customHeight="1" x14ac:dyDescent="0.3">
      <c r="A49" s="175"/>
      <c r="B49" s="173"/>
      <c r="C49" s="174"/>
      <c r="D49" s="174"/>
      <c r="E49" s="174"/>
      <c r="F49" s="1">
        <f t="shared" si="0"/>
        <v>0</v>
      </c>
      <c r="G49" s="176"/>
      <c r="H49" s="1">
        <f t="shared" si="1"/>
        <v>0</v>
      </c>
      <c r="J49" s="1">
        <f t="shared" si="2"/>
        <v>0</v>
      </c>
      <c r="L49" s="1">
        <f t="shared" si="3"/>
        <v>0</v>
      </c>
      <c r="M49" s="174"/>
      <c r="N49" s="11"/>
    </row>
    <row r="50" spans="1:14" ht="18" customHeight="1" x14ac:dyDescent="0.3">
      <c r="A50" s="175"/>
      <c r="B50" s="173"/>
      <c r="C50" s="174"/>
      <c r="D50" s="174"/>
      <c r="E50" s="174"/>
      <c r="F50" s="1">
        <f t="shared" si="0"/>
        <v>0</v>
      </c>
      <c r="G50" s="176"/>
      <c r="H50" s="1">
        <f t="shared" si="1"/>
        <v>0</v>
      </c>
      <c r="J50" s="1">
        <f t="shared" si="2"/>
        <v>0</v>
      </c>
      <c r="L50" s="1">
        <f t="shared" si="3"/>
        <v>0</v>
      </c>
      <c r="M50" s="174"/>
      <c r="N50" s="11"/>
    </row>
    <row r="51" spans="1:14" ht="18" customHeight="1" x14ac:dyDescent="0.3">
      <c r="A51" s="175"/>
      <c r="B51" s="173"/>
      <c r="C51" s="174"/>
      <c r="D51" s="174"/>
      <c r="E51" s="174"/>
      <c r="F51" s="1">
        <f t="shared" si="0"/>
        <v>0</v>
      </c>
      <c r="G51" s="176"/>
      <c r="H51" s="1">
        <f t="shared" si="1"/>
        <v>0</v>
      </c>
      <c r="J51" s="1">
        <f t="shared" si="2"/>
        <v>0</v>
      </c>
      <c r="L51" s="1">
        <f t="shared" si="3"/>
        <v>0</v>
      </c>
      <c r="M51" s="174"/>
      <c r="N51" s="11"/>
    </row>
    <row r="52" spans="1:14" ht="18" customHeight="1" x14ac:dyDescent="0.3">
      <c r="A52" s="175"/>
      <c r="B52" s="173"/>
      <c r="C52" s="174"/>
      <c r="D52" s="174"/>
      <c r="E52" s="174"/>
      <c r="F52" s="1">
        <f t="shared" si="0"/>
        <v>0</v>
      </c>
      <c r="G52" s="176"/>
      <c r="H52" s="1">
        <f t="shared" si="1"/>
        <v>0</v>
      </c>
      <c r="J52" s="1">
        <f t="shared" si="2"/>
        <v>0</v>
      </c>
      <c r="L52" s="1">
        <f t="shared" si="3"/>
        <v>0</v>
      </c>
      <c r="M52" s="174"/>
      <c r="N52" s="11"/>
    </row>
    <row r="53" spans="1:14" ht="18" customHeight="1" x14ac:dyDescent="0.3">
      <c r="A53" s="175"/>
      <c r="B53" s="173"/>
      <c r="C53" s="174"/>
      <c r="D53" s="174"/>
      <c r="E53" s="174"/>
      <c r="F53" s="1">
        <f t="shared" si="0"/>
        <v>0</v>
      </c>
      <c r="G53" s="176"/>
      <c r="H53" s="1">
        <f t="shared" si="1"/>
        <v>0</v>
      </c>
      <c r="J53" s="1">
        <f t="shared" si="2"/>
        <v>0</v>
      </c>
      <c r="L53" s="1">
        <f t="shared" si="3"/>
        <v>0</v>
      </c>
      <c r="M53" s="174"/>
      <c r="N53" s="11"/>
    </row>
    <row r="54" spans="1:14" ht="18" customHeight="1" x14ac:dyDescent="0.3">
      <c r="A54" s="175"/>
      <c r="B54" s="173"/>
      <c r="C54" s="174"/>
      <c r="D54" s="174"/>
      <c r="E54" s="174"/>
      <c r="F54" s="1">
        <f t="shared" si="0"/>
        <v>0</v>
      </c>
      <c r="G54" s="176"/>
      <c r="H54" s="1">
        <f t="shared" si="1"/>
        <v>0</v>
      </c>
      <c r="J54" s="1">
        <f t="shared" si="2"/>
        <v>0</v>
      </c>
      <c r="L54" s="1">
        <f t="shared" si="3"/>
        <v>0</v>
      </c>
      <c r="M54" s="174"/>
      <c r="N54" s="11"/>
    </row>
    <row r="55" spans="1:14" ht="18" customHeight="1" x14ac:dyDescent="0.3">
      <c r="A55" s="175"/>
      <c r="B55" s="173"/>
      <c r="C55" s="174"/>
      <c r="D55" s="174"/>
      <c r="E55" s="174"/>
      <c r="F55" s="1">
        <f t="shared" si="0"/>
        <v>0</v>
      </c>
      <c r="G55" s="176"/>
      <c r="H55" s="1">
        <f t="shared" si="1"/>
        <v>0</v>
      </c>
      <c r="J55" s="1">
        <f t="shared" si="2"/>
        <v>0</v>
      </c>
      <c r="L55" s="1">
        <f t="shared" si="3"/>
        <v>0</v>
      </c>
      <c r="M55" s="174"/>
      <c r="N55" s="11"/>
    </row>
    <row r="56" spans="1:14" ht="18" customHeight="1" x14ac:dyDescent="0.3">
      <c r="A56" s="175"/>
      <c r="B56" s="173"/>
      <c r="C56" s="174"/>
      <c r="D56" s="174"/>
      <c r="E56" s="174"/>
      <c r="F56" s="1">
        <f t="shared" si="0"/>
        <v>0</v>
      </c>
      <c r="G56" s="176"/>
      <c r="H56" s="1">
        <f t="shared" si="1"/>
        <v>0</v>
      </c>
      <c r="J56" s="1">
        <f t="shared" si="2"/>
        <v>0</v>
      </c>
      <c r="L56" s="1">
        <f t="shared" si="3"/>
        <v>0</v>
      </c>
      <c r="M56" s="174"/>
      <c r="N56" s="11"/>
    </row>
    <row r="57" spans="1:14" ht="18" customHeight="1" x14ac:dyDescent="0.3">
      <c r="A57" s="175"/>
      <c r="B57" s="173"/>
      <c r="C57" s="174"/>
      <c r="D57" s="174"/>
      <c r="E57" s="174"/>
      <c r="F57" s="1">
        <f t="shared" si="0"/>
        <v>0</v>
      </c>
      <c r="G57" s="176"/>
      <c r="H57" s="1">
        <f t="shared" si="1"/>
        <v>0</v>
      </c>
      <c r="J57" s="1">
        <f t="shared" si="2"/>
        <v>0</v>
      </c>
      <c r="L57" s="1">
        <f t="shared" si="3"/>
        <v>0</v>
      </c>
      <c r="M57" s="174"/>
      <c r="N57" s="11"/>
    </row>
    <row r="58" spans="1:14" ht="18" customHeight="1" x14ac:dyDescent="0.3">
      <c r="A58" s="175"/>
      <c r="B58" s="173"/>
      <c r="C58" s="174"/>
      <c r="D58" s="174"/>
      <c r="E58" s="174"/>
      <c r="F58" s="1">
        <f t="shared" si="0"/>
        <v>0</v>
      </c>
      <c r="G58" s="176"/>
      <c r="H58" s="1">
        <f t="shared" si="1"/>
        <v>0</v>
      </c>
      <c r="J58" s="1">
        <f t="shared" si="2"/>
        <v>0</v>
      </c>
      <c r="L58" s="1">
        <f t="shared" si="3"/>
        <v>0</v>
      </c>
      <c r="M58" s="174"/>
      <c r="N58" s="174"/>
    </row>
    <row r="59" spans="1:14" ht="18" customHeight="1" x14ac:dyDescent="0.3">
      <c r="A59" s="175"/>
      <c r="B59" s="173"/>
      <c r="C59" s="174"/>
      <c r="D59" s="174"/>
      <c r="E59" s="174"/>
      <c r="F59" s="1">
        <f t="shared" si="0"/>
        <v>0</v>
      </c>
      <c r="G59" s="176"/>
      <c r="H59" s="1">
        <f t="shared" si="1"/>
        <v>0</v>
      </c>
      <c r="J59" s="1">
        <f t="shared" si="2"/>
        <v>0</v>
      </c>
      <c r="L59" s="1">
        <f t="shared" si="3"/>
        <v>0</v>
      </c>
      <c r="M59" s="174"/>
      <c r="N59" s="174"/>
    </row>
    <row r="60" spans="1:14" ht="18" customHeight="1" x14ac:dyDescent="0.3">
      <c r="A60" s="175"/>
      <c r="B60" s="173"/>
      <c r="C60" s="174"/>
      <c r="D60" s="174"/>
      <c r="E60" s="174"/>
      <c r="F60" s="1">
        <f t="shared" si="0"/>
        <v>0</v>
      </c>
      <c r="G60" s="176"/>
      <c r="H60" s="1">
        <f t="shared" si="1"/>
        <v>0</v>
      </c>
      <c r="J60" s="1">
        <f t="shared" si="2"/>
        <v>0</v>
      </c>
      <c r="L60" s="1">
        <f t="shared" si="3"/>
        <v>0</v>
      </c>
      <c r="M60" s="174"/>
      <c r="N60" s="174"/>
    </row>
    <row r="61" spans="1:14" ht="18" customHeight="1" x14ac:dyDescent="0.3">
      <c r="A61" s="175"/>
      <c r="B61" s="173"/>
      <c r="C61" s="174"/>
      <c r="D61" s="174"/>
      <c r="E61" s="174"/>
      <c r="F61" s="1">
        <f t="shared" si="0"/>
        <v>0</v>
      </c>
      <c r="G61" s="176"/>
      <c r="H61" s="1">
        <f t="shared" si="1"/>
        <v>0</v>
      </c>
      <c r="J61" s="1">
        <f t="shared" si="2"/>
        <v>0</v>
      </c>
      <c r="L61" s="1">
        <f t="shared" si="3"/>
        <v>0</v>
      </c>
      <c r="M61" s="174"/>
      <c r="N61" s="174"/>
    </row>
    <row r="62" spans="1:14" ht="18" customHeight="1" x14ac:dyDescent="0.3">
      <c r="A62" s="175"/>
      <c r="B62" s="173"/>
      <c r="C62" s="174"/>
      <c r="D62" s="174"/>
      <c r="E62" s="174"/>
      <c r="F62" s="1">
        <f t="shared" si="0"/>
        <v>0</v>
      </c>
      <c r="G62" s="176"/>
      <c r="H62" s="1">
        <f t="shared" si="1"/>
        <v>0</v>
      </c>
      <c r="J62" s="1">
        <f t="shared" si="2"/>
        <v>0</v>
      </c>
      <c r="L62" s="1">
        <f t="shared" si="3"/>
        <v>0</v>
      </c>
      <c r="M62" s="174"/>
      <c r="N62" s="174"/>
    </row>
    <row r="63" spans="1:14" ht="18" customHeight="1" x14ac:dyDescent="0.3">
      <c r="A63" s="175"/>
      <c r="B63" s="173"/>
      <c r="C63" s="174"/>
      <c r="D63" s="174"/>
      <c r="E63" s="174"/>
      <c r="F63" s="1">
        <f t="shared" si="0"/>
        <v>0</v>
      </c>
      <c r="G63" s="176"/>
      <c r="H63" s="1">
        <f t="shared" si="1"/>
        <v>0</v>
      </c>
      <c r="J63" s="1">
        <f t="shared" si="2"/>
        <v>0</v>
      </c>
      <c r="L63" s="1">
        <f t="shared" si="3"/>
        <v>0</v>
      </c>
      <c r="M63" s="174"/>
      <c r="N63" s="174"/>
    </row>
    <row r="64" spans="1:14" ht="18" customHeight="1" x14ac:dyDescent="0.3">
      <c r="A64" s="175"/>
      <c r="B64" s="173"/>
      <c r="C64" s="174"/>
      <c r="D64" s="174"/>
      <c r="E64" s="174"/>
      <c r="F64" s="1">
        <f t="shared" si="0"/>
        <v>0</v>
      </c>
      <c r="G64" s="176"/>
      <c r="H64" s="1">
        <f t="shared" si="1"/>
        <v>0</v>
      </c>
      <c r="J64" s="1">
        <f t="shared" si="2"/>
        <v>0</v>
      </c>
      <c r="L64" s="1">
        <f t="shared" si="3"/>
        <v>0</v>
      </c>
      <c r="M64" s="174"/>
      <c r="N64" s="174"/>
    </row>
    <row r="65" spans="1:18" ht="18" customHeight="1" x14ac:dyDescent="0.3">
      <c r="A65" s="175"/>
      <c r="B65" s="173"/>
      <c r="C65" s="174"/>
      <c r="D65" s="174"/>
      <c r="E65" s="174"/>
      <c r="F65" s="1">
        <f t="shared" si="0"/>
        <v>0</v>
      </c>
      <c r="G65" s="176"/>
      <c r="H65" s="1">
        <f t="shared" si="1"/>
        <v>0</v>
      </c>
      <c r="J65" s="1">
        <f t="shared" si="2"/>
        <v>0</v>
      </c>
      <c r="L65" s="1">
        <f t="shared" si="3"/>
        <v>0</v>
      </c>
      <c r="M65" s="174"/>
      <c r="N65" s="174"/>
    </row>
    <row r="66" spans="1:18" ht="18" customHeight="1" x14ac:dyDescent="0.3">
      <c r="A66" s="175"/>
      <c r="B66" s="173"/>
      <c r="C66" s="174"/>
      <c r="D66" s="174"/>
      <c r="E66" s="174"/>
      <c r="F66" s="1">
        <f t="shared" si="0"/>
        <v>0</v>
      </c>
      <c r="G66" s="176"/>
      <c r="H66" s="1">
        <f t="shared" si="1"/>
        <v>0</v>
      </c>
      <c r="J66" s="1">
        <f t="shared" si="2"/>
        <v>0</v>
      </c>
      <c r="L66" s="1">
        <f t="shared" si="3"/>
        <v>0</v>
      </c>
      <c r="M66" s="174"/>
      <c r="N66" s="174"/>
    </row>
    <row r="67" spans="1:18" ht="18" customHeight="1" x14ac:dyDescent="0.3">
      <c r="A67" s="175"/>
      <c r="B67" s="173"/>
      <c r="C67" s="174"/>
      <c r="D67" s="174"/>
      <c r="E67" s="174"/>
      <c r="F67" s="1">
        <f t="shared" si="0"/>
        <v>0</v>
      </c>
      <c r="G67" s="176"/>
      <c r="H67" s="1">
        <f t="shared" si="1"/>
        <v>0</v>
      </c>
      <c r="J67" s="1">
        <f t="shared" si="2"/>
        <v>0</v>
      </c>
      <c r="L67" s="1">
        <f t="shared" si="3"/>
        <v>0</v>
      </c>
      <c r="M67" s="174"/>
      <c r="N67" s="174"/>
    </row>
    <row r="68" spans="1:18" ht="18" customHeight="1" x14ac:dyDescent="0.3">
      <c r="A68" s="173"/>
      <c r="B68" s="173"/>
      <c r="C68" s="174"/>
      <c r="D68" s="174"/>
      <c r="E68" s="174"/>
      <c r="F68" s="1">
        <f t="shared" si="0"/>
        <v>0</v>
      </c>
      <c r="G68" s="176"/>
      <c r="H68" s="1">
        <f t="shared" si="1"/>
        <v>0</v>
      </c>
      <c r="J68" s="1">
        <f t="shared" si="2"/>
        <v>0</v>
      </c>
      <c r="L68" s="1">
        <f t="shared" si="3"/>
        <v>0</v>
      </c>
      <c r="M68" s="174"/>
      <c r="N68" s="16"/>
    </row>
    <row r="69" spans="1:18" ht="18" customHeight="1" x14ac:dyDescent="0.3">
      <c r="A69" s="173"/>
      <c r="B69" s="175"/>
      <c r="C69" s="174"/>
      <c r="D69" s="174"/>
      <c r="E69" s="174"/>
      <c r="F69" s="1">
        <f t="shared" ref="F69:F132" si="4">SUM(H69,J69,L69)</f>
        <v>0</v>
      </c>
      <c r="G69" s="176"/>
      <c r="H69" s="1">
        <f t="shared" ref="H69:H132" si="5">ROUNDUP(D69*G69,0)</f>
        <v>0</v>
      </c>
      <c r="J69" s="1">
        <f t="shared" ref="J69:J132" si="6">ROUNDUP(D69*I69,0)</f>
        <v>0</v>
      </c>
      <c r="L69" s="1">
        <f t="shared" ref="L69:L132" si="7">ROUNDUP(D69*K69,0)</f>
        <v>0</v>
      </c>
      <c r="M69" s="174"/>
      <c r="N69" s="16"/>
    </row>
    <row r="70" spans="1:18" ht="18" customHeight="1" x14ac:dyDescent="0.3">
      <c r="A70" s="173"/>
      <c r="B70" s="175"/>
      <c r="C70" s="174"/>
      <c r="D70" s="174"/>
      <c r="E70" s="174"/>
      <c r="F70" s="1">
        <f t="shared" si="4"/>
        <v>0</v>
      </c>
      <c r="G70" s="176"/>
      <c r="H70" s="1">
        <f t="shared" si="5"/>
        <v>0</v>
      </c>
      <c r="J70" s="1">
        <f t="shared" si="6"/>
        <v>0</v>
      </c>
      <c r="L70" s="1">
        <f t="shared" si="7"/>
        <v>0</v>
      </c>
      <c r="M70" s="174"/>
      <c r="N70" s="16"/>
    </row>
    <row r="71" spans="1:18" ht="18" customHeight="1" x14ac:dyDescent="0.3">
      <c r="A71" s="175"/>
      <c r="B71" s="175"/>
      <c r="C71" s="174"/>
      <c r="D71" s="174"/>
      <c r="E71" s="174"/>
      <c r="F71" s="1">
        <f t="shared" si="4"/>
        <v>0</v>
      </c>
      <c r="G71" s="176"/>
      <c r="H71" s="1">
        <f t="shared" si="5"/>
        <v>0</v>
      </c>
      <c r="J71" s="1">
        <f t="shared" si="6"/>
        <v>0</v>
      </c>
      <c r="L71" s="1">
        <f t="shared" si="7"/>
        <v>0</v>
      </c>
      <c r="M71" s="174"/>
      <c r="N71" s="16"/>
    </row>
    <row r="72" spans="1:18" ht="18" customHeight="1" x14ac:dyDescent="0.3">
      <c r="A72" s="175"/>
      <c r="B72" s="175"/>
      <c r="C72" s="174"/>
      <c r="D72" s="174"/>
      <c r="E72" s="174"/>
      <c r="F72" s="1">
        <f t="shared" si="4"/>
        <v>0</v>
      </c>
      <c r="G72" s="176"/>
      <c r="H72" s="1">
        <f t="shared" si="5"/>
        <v>0</v>
      </c>
      <c r="J72" s="1">
        <f t="shared" si="6"/>
        <v>0</v>
      </c>
      <c r="L72" s="1">
        <f t="shared" si="7"/>
        <v>0</v>
      </c>
      <c r="M72" s="174"/>
      <c r="N72" s="11"/>
    </row>
    <row r="73" spans="1:18" ht="18" customHeight="1" x14ac:dyDescent="0.3">
      <c r="A73" s="175"/>
      <c r="B73" s="173"/>
      <c r="C73" s="174"/>
      <c r="D73" s="174"/>
      <c r="E73" s="174"/>
      <c r="F73" s="1">
        <f t="shared" si="4"/>
        <v>0</v>
      </c>
      <c r="G73" s="176"/>
      <c r="H73" s="1">
        <f t="shared" si="5"/>
        <v>0</v>
      </c>
      <c r="J73" s="1">
        <f t="shared" si="6"/>
        <v>0</v>
      </c>
      <c r="L73" s="1">
        <f t="shared" si="7"/>
        <v>0</v>
      </c>
      <c r="M73" s="174"/>
      <c r="N73" s="174"/>
    </row>
    <row r="74" spans="1:18" ht="18" customHeight="1" x14ac:dyDescent="0.3">
      <c r="A74" s="175"/>
      <c r="B74" s="173"/>
      <c r="C74" s="174"/>
      <c r="D74" s="174"/>
      <c r="E74" s="174"/>
      <c r="F74" s="1">
        <f t="shared" si="4"/>
        <v>0</v>
      </c>
      <c r="G74" s="176"/>
      <c r="H74" s="1">
        <f t="shared" si="5"/>
        <v>0</v>
      </c>
      <c r="J74" s="1">
        <f t="shared" si="6"/>
        <v>0</v>
      </c>
      <c r="L74" s="1">
        <f t="shared" si="7"/>
        <v>0</v>
      </c>
      <c r="M74" s="174"/>
      <c r="N74" s="174"/>
    </row>
    <row r="75" spans="1:18" ht="18" customHeight="1" x14ac:dyDescent="0.3">
      <c r="A75" s="175"/>
      <c r="B75" s="173"/>
      <c r="C75" s="174"/>
      <c r="D75" s="174"/>
      <c r="E75" s="174"/>
      <c r="F75" s="1">
        <f t="shared" si="4"/>
        <v>0</v>
      </c>
      <c r="G75" s="176"/>
      <c r="H75" s="1">
        <f t="shared" si="5"/>
        <v>0</v>
      </c>
      <c r="J75" s="1">
        <f t="shared" si="6"/>
        <v>0</v>
      </c>
      <c r="L75" s="1">
        <f t="shared" si="7"/>
        <v>0</v>
      </c>
      <c r="M75" s="174"/>
      <c r="N75" s="174"/>
    </row>
    <row r="76" spans="1:18" ht="18" customHeight="1" x14ac:dyDescent="0.3">
      <c r="A76" s="175"/>
      <c r="B76" s="173"/>
      <c r="C76" s="174"/>
      <c r="D76" s="174"/>
      <c r="E76" s="174"/>
      <c r="F76" s="1">
        <f t="shared" si="4"/>
        <v>0</v>
      </c>
      <c r="G76" s="176"/>
      <c r="H76" s="1">
        <f t="shared" si="5"/>
        <v>0</v>
      </c>
      <c r="J76" s="1">
        <f t="shared" si="6"/>
        <v>0</v>
      </c>
      <c r="L76" s="1">
        <f t="shared" si="7"/>
        <v>0</v>
      </c>
      <c r="M76" s="174"/>
      <c r="N76" s="174"/>
      <c r="R76" s="169"/>
    </row>
    <row r="77" spans="1:18" ht="18" customHeight="1" x14ac:dyDescent="0.3">
      <c r="A77" s="175"/>
      <c r="B77" s="173"/>
      <c r="C77" s="174"/>
      <c r="D77" s="174"/>
      <c r="E77" s="174"/>
      <c r="F77" s="1">
        <f t="shared" si="4"/>
        <v>0</v>
      </c>
      <c r="G77" s="176"/>
      <c r="H77" s="1">
        <f t="shared" si="5"/>
        <v>0</v>
      </c>
      <c r="J77" s="1">
        <f t="shared" si="6"/>
        <v>0</v>
      </c>
      <c r="L77" s="1">
        <f t="shared" si="7"/>
        <v>0</v>
      </c>
      <c r="M77" s="174"/>
      <c r="N77" s="174"/>
      <c r="R77" s="169"/>
    </row>
    <row r="78" spans="1:18" ht="18" customHeight="1" x14ac:dyDescent="0.3">
      <c r="A78" s="175"/>
      <c r="B78" s="173"/>
      <c r="C78" s="174"/>
      <c r="D78" s="174"/>
      <c r="E78" s="174"/>
      <c r="F78" s="1">
        <f t="shared" si="4"/>
        <v>0</v>
      </c>
      <c r="G78" s="176"/>
      <c r="H78" s="1">
        <f t="shared" si="5"/>
        <v>0</v>
      </c>
      <c r="J78" s="1">
        <f t="shared" si="6"/>
        <v>0</v>
      </c>
      <c r="L78" s="1">
        <f t="shared" si="7"/>
        <v>0</v>
      </c>
      <c r="M78" s="174"/>
      <c r="N78" s="174"/>
      <c r="R78" s="169"/>
    </row>
    <row r="79" spans="1:18" ht="18" customHeight="1" x14ac:dyDescent="0.3">
      <c r="A79" s="175"/>
      <c r="B79" s="173"/>
      <c r="C79" s="174"/>
      <c r="D79" s="174"/>
      <c r="E79" s="174"/>
      <c r="F79" s="1">
        <f t="shared" si="4"/>
        <v>0</v>
      </c>
      <c r="G79" s="176"/>
      <c r="H79" s="1">
        <f t="shared" si="5"/>
        <v>0</v>
      </c>
      <c r="J79" s="1">
        <f t="shared" si="6"/>
        <v>0</v>
      </c>
      <c r="L79" s="1">
        <f t="shared" si="7"/>
        <v>0</v>
      </c>
      <c r="M79" s="174"/>
      <c r="N79" s="174"/>
      <c r="R79" s="169"/>
    </row>
    <row r="80" spans="1:18" ht="18" customHeight="1" x14ac:dyDescent="0.3">
      <c r="A80" s="173"/>
      <c r="B80" s="173"/>
      <c r="C80" s="174"/>
      <c r="D80" s="174"/>
      <c r="E80" s="174"/>
      <c r="F80" s="1">
        <f t="shared" si="4"/>
        <v>0</v>
      </c>
      <c r="G80" s="176"/>
      <c r="H80" s="1">
        <f t="shared" si="5"/>
        <v>0</v>
      </c>
      <c r="J80" s="1">
        <f t="shared" si="6"/>
        <v>0</v>
      </c>
      <c r="L80" s="1">
        <f t="shared" si="7"/>
        <v>0</v>
      </c>
      <c r="M80" s="174"/>
      <c r="N80" s="174"/>
      <c r="R80" s="169"/>
    </row>
    <row r="81" spans="1:18" ht="18" customHeight="1" x14ac:dyDescent="0.3">
      <c r="A81" s="173"/>
      <c r="B81" s="173"/>
      <c r="C81" s="174"/>
      <c r="D81" s="174"/>
      <c r="E81" s="174"/>
      <c r="F81" s="1">
        <f t="shared" si="4"/>
        <v>0</v>
      </c>
      <c r="G81" s="176"/>
      <c r="H81" s="1">
        <f t="shared" si="5"/>
        <v>0</v>
      </c>
      <c r="J81" s="1">
        <f t="shared" si="6"/>
        <v>0</v>
      </c>
      <c r="L81" s="1">
        <f t="shared" si="7"/>
        <v>0</v>
      </c>
      <c r="M81" s="174"/>
      <c r="N81" s="174"/>
    </row>
    <row r="82" spans="1:18" ht="18" customHeight="1" x14ac:dyDescent="0.3">
      <c r="A82" s="173"/>
      <c r="B82" s="173"/>
      <c r="C82" s="174"/>
      <c r="D82" s="174"/>
      <c r="E82" s="174"/>
      <c r="F82" s="1">
        <f t="shared" si="4"/>
        <v>0</v>
      </c>
      <c r="G82" s="176"/>
      <c r="H82" s="1">
        <f t="shared" si="5"/>
        <v>0</v>
      </c>
      <c r="J82" s="1">
        <f t="shared" si="6"/>
        <v>0</v>
      </c>
      <c r="L82" s="1">
        <f t="shared" si="7"/>
        <v>0</v>
      </c>
      <c r="M82" s="174"/>
      <c r="N82" s="174"/>
    </row>
    <row r="83" spans="1:18" ht="18" customHeight="1" x14ac:dyDescent="0.3">
      <c r="A83" s="173"/>
      <c r="B83" s="173"/>
      <c r="C83" s="174"/>
      <c r="D83" s="174"/>
      <c r="E83" s="174"/>
      <c r="F83" s="1">
        <f t="shared" si="4"/>
        <v>0</v>
      </c>
      <c r="G83" s="176"/>
      <c r="H83" s="1">
        <f t="shared" si="5"/>
        <v>0</v>
      </c>
      <c r="J83" s="1">
        <f t="shared" si="6"/>
        <v>0</v>
      </c>
      <c r="L83" s="1">
        <f t="shared" si="7"/>
        <v>0</v>
      </c>
      <c r="M83" s="174"/>
      <c r="N83" s="174"/>
    </row>
    <row r="84" spans="1:18" ht="18" customHeight="1" x14ac:dyDescent="0.3">
      <c r="A84" s="173"/>
      <c r="B84" s="173"/>
      <c r="C84" s="174"/>
      <c r="D84" s="174"/>
      <c r="E84" s="174"/>
      <c r="F84" s="1">
        <f t="shared" si="4"/>
        <v>0</v>
      </c>
      <c r="G84" s="176"/>
      <c r="H84" s="1">
        <f t="shared" si="5"/>
        <v>0</v>
      </c>
      <c r="J84" s="1">
        <f t="shared" si="6"/>
        <v>0</v>
      </c>
      <c r="L84" s="1">
        <f t="shared" si="7"/>
        <v>0</v>
      </c>
      <c r="M84" s="174"/>
      <c r="N84" s="174"/>
      <c r="R84" s="169"/>
    </row>
    <row r="85" spans="1:18" ht="18" customHeight="1" x14ac:dyDescent="0.3">
      <c r="A85" s="173"/>
      <c r="B85" s="173"/>
      <c r="C85" s="174"/>
      <c r="D85" s="174"/>
      <c r="E85" s="174"/>
      <c r="F85" s="1">
        <f t="shared" si="4"/>
        <v>0</v>
      </c>
      <c r="G85" s="176"/>
      <c r="H85" s="1">
        <f t="shared" si="5"/>
        <v>0</v>
      </c>
      <c r="J85" s="1">
        <f t="shared" si="6"/>
        <v>0</v>
      </c>
      <c r="L85" s="1">
        <f t="shared" si="7"/>
        <v>0</v>
      </c>
      <c r="M85" s="174"/>
      <c r="N85" s="174"/>
      <c r="R85" s="169"/>
    </row>
    <row r="86" spans="1:18" ht="18" customHeight="1" x14ac:dyDescent="0.3">
      <c r="A86" s="173"/>
      <c r="B86" s="173"/>
      <c r="C86" s="174"/>
      <c r="D86" s="174"/>
      <c r="E86" s="174"/>
      <c r="F86" s="1">
        <f t="shared" si="4"/>
        <v>0</v>
      </c>
      <c r="G86" s="176"/>
      <c r="H86" s="1">
        <f t="shared" si="5"/>
        <v>0</v>
      </c>
      <c r="J86" s="1">
        <f t="shared" si="6"/>
        <v>0</v>
      </c>
      <c r="L86" s="1">
        <f t="shared" si="7"/>
        <v>0</v>
      </c>
      <c r="M86" s="174"/>
      <c r="N86" s="174"/>
      <c r="R86" s="169"/>
    </row>
    <row r="87" spans="1:18" ht="18" customHeight="1" x14ac:dyDescent="0.3">
      <c r="A87" s="173"/>
      <c r="B87" s="173"/>
      <c r="C87" s="174"/>
      <c r="D87" s="174"/>
      <c r="E87" s="174"/>
      <c r="F87" s="1">
        <f t="shared" si="4"/>
        <v>0</v>
      </c>
      <c r="G87" s="176"/>
      <c r="H87" s="1">
        <f t="shared" si="5"/>
        <v>0</v>
      </c>
      <c r="J87" s="1">
        <f t="shared" si="6"/>
        <v>0</v>
      </c>
      <c r="L87" s="1">
        <f t="shared" si="7"/>
        <v>0</v>
      </c>
      <c r="M87" s="174"/>
      <c r="N87" s="16"/>
      <c r="Q87" s="169"/>
      <c r="R87" s="169"/>
    </row>
    <row r="88" spans="1:18" ht="18" customHeight="1" x14ac:dyDescent="0.3">
      <c r="A88" s="175"/>
      <c r="B88" s="175"/>
      <c r="C88" s="174"/>
      <c r="D88" s="174"/>
      <c r="E88" s="174"/>
      <c r="F88" s="1">
        <f t="shared" si="4"/>
        <v>0</v>
      </c>
      <c r="G88" s="176"/>
      <c r="H88" s="1">
        <f t="shared" si="5"/>
        <v>0</v>
      </c>
      <c r="J88" s="1">
        <f t="shared" si="6"/>
        <v>0</v>
      </c>
      <c r="L88" s="1">
        <f t="shared" si="7"/>
        <v>0</v>
      </c>
      <c r="M88" s="174"/>
      <c r="N88" s="174"/>
      <c r="Q88" s="169"/>
      <c r="R88" s="169"/>
    </row>
    <row r="89" spans="1:18" ht="18" customHeight="1" x14ac:dyDescent="0.3">
      <c r="A89" s="175"/>
      <c r="B89" s="175"/>
      <c r="C89" s="174"/>
      <c r="D89" s="174"/>
      <c r="E89" s="174"/>
      <c r="F89" s="1">
        <f t="shared" si="4"/>
        <v>0</v>
      </c>
      <c r="G89" s="176"/>
      <c r="H89" s="1">
        <f t="shared" si="5"/>
        <v>0</v>
      </c>
      <c r="J89" s="1">
        <f t="shared" si="6"/>
        <v>0</v>
      </c>
      <c r="L89" s="1">
        <f t="shared" si="7"/>
        <v>0</v>
      </c>
      <c r="M89" s="174"/>
      <c r="N89" s="174"/>
      <c r="Q89" s="169"/>
    </row>
    <row r="90" spans="1:18" ht="18" customHeight="1" x14ac:dyDescent="0.3">
      <c r="A90" s="175"/>
      <c r="B90" s="175"/>
      <c r="C90" s="174"/>
      <c r="D90" s="174"/>
      <c r="E90" s="174"/>
      <c r="F90" s="1">
        <f t="shared" si="4"/>
        <v>0</v>
      </c>
      <c r="G90" s="176"/>
      <c r="H90" s="1">
        <f t="shared" si="5"/>
        <v>0</v>
      </c>
      <c r="J90" s="1">
        <f t="shared" si="6"/>
        <v>0</v>
      </c>
      <c r="L90" s="1">
        <f t="shared" si="7"/>
        <v>0</v>
      </c>
      <c r="M90" s="174"/>
      <c r="N90" s="174"/>
      <c r="Q90" s="169"/>
    </row>
    <row r="91" spans="1:18" ht="18" customHeight="1" x14ac:dyDescent="0.3">
      <c r="A91" s="175"/>
      <c r="B91" s="175"/>
      <c r="C91" s="174"/>
      <c r="D91" s="174"/>
      <c r="E91" s="174"/>
      <c r="F91" s="1">
        <f t="shared" si="4"/>
        <v>0</v>
      </c>
      <c r="G91" s="176"/>
      <c r="H91" s="1">
        <f t="shared" si="5"/>
        <v>0</v>
      </c>
      <c r="J91" s="1">
        <f t="shared" si="6"/>
        <v>0</v>
      </c>
      <c r="L91" s="1">
        <f t="shared" si="7"/>
        <v>0</v>
      </c>
      <c r="M91" s="174"/>
      <c r="N91" s="174"/>
      <c r="Q91" s="169"/>
    </row>
    <row r="92" spans="1:18" ht="18" customHeight="1" x14ac:dyDescent="0.3">
      <c r="A92" s="175"/>
      <c r="B92" s="175"/>
      <c r="C92" s="174"/>
      <c r="D92" s="174"/>
      <c r="E92" s="174"/>
      <c r="F92" s="1">
        <f t="shared" si="4"/>
        <v>0</v>
      </c>
      <c r="G92" s="176"/>
      <c r="H92" s="1">
        <f t="shared" si="5"/>
        <v>0</v>
      </c>
      <c r="J92" s="1">
        <f t="shared" si="6"/>
        <v>0</v>
      </c>
      <c r="L92" s="1">
        <f t="shared" si="7"/>
        <v>0</v>
      </c>
      <c r="M92" s="174"/>
      <c r="N92" s="174"/>
      <c r="Q92" s="169"/>
    </row>
    <row r="93" spans="1:18" ht="18" customHeight="1" x14ac:dyDescent="0.3">
      <c r="A93" s="175"/>
      <c r="B93" s="175"/>
      <c r="C93" s="174"/>
      <c r="D93" s="177"/>
      <c r="E93" s="174"/>
      <c r="F93" s="1">
        <f t="shared" si="4"/>
        <v>0</v>
      </c>
      <c r="G93" s="178"/>
      <c r="H93" s="1">
        <f t="shared" si="5"/>
        <v>0</v>
      </c>
      <c r="I93" s="178"/>
      <c r="J93" s="1">
        <f t="shared" si="6"/>
        <v>0</v>
      </c>
      <c r="K93" s="178"/>
      <c r="L93" s="1">
        <f t="shared" si="7"/>
        <v>0</v>
      </c>
      <c r="M93" s="174"/>
      <c r="N93" s="178"/>
    </row>
    <row r="94" spans="1:18" ht="18" customHeight="1" x14ac:dyDescent="0.3">
      <c r="A94" s="175"/>
      <c r="B94" s="175"/>
      <c r="C94" s="174"/>
      <c r="D94" s="174"/>
      <c r="E94" s="174"/>
      <c r="F94" s="1">
        <f t="shared" si="4"/>
        <v>0</v>
      </c>
      <c r="G94" s="179"/>
      <c r="H94" s="1">
        <f t="shared" si="5"/>
        <v>0</v>
      </c>
      <c r="J94" s="1">
        <f t="shared" si="6"/>
        <v>0</v>
      </c>
      <c r="L94" s="1">
        <f t="shared" si="7"/>
        <v>0</v>
      </c>
      <c r="M94" s="174"/>
      <c r="N94" s="174"/>
    </row>
    <row r="95" spans="1:18" ht="18" customHeight="1" x14ac:dyDescent="0.3">
      <c r="A95" s="175"/>
      <c r="B95" s="175"/>
      <c r="C95" s="174"/>
      <c r="D95" s="174"/>
      <c r="E95" s="174"/>
      <c r="F95" s="1">
        <f t="shared" si="4"/>
        <v>0</v>
      </c>
      <c r="G95" s="179"/>
      <c r="H95" s="1">
        <f t="shared" si="5"/>
        <v>0</v>
      </c>
      <c r="J95" s="1">
        <f t="shared" si="6"/>
        <v>0</v>
      </c>
      <c r="L95" s="1">
        <f t="shared" si="7"/>
        <v>0</v>
      </c>
      <c r="M95" s="174"/>
      <c r="N95" s="174"/>
    </row>
    <row r="96" spans="1:18" ht="18" customHeight="1" x14ac:dyDescent="0.3">
      <c r="A96" s="175"/>
      <c r="B96" s="175"/>
      <c r="C96" s="174"/>
      <c r="D96" s="174"/>
      <c r="E96" s="174"/>
      <c r="F96" s="1">
        <f t="shared" si="4"/>
        <v>0</v>
      </c>
      <c r="G96" s="179"/>
      <c r="H96" s="1">
        <f t="shared" si="5"/>
        <v>0</v>
      </c>
      <c r="J96" s="1">
        <f t="shared" si="6"/>
        <v>0</v>
      </c>
      <c r="L96" s="1">
        <f t="shared" si="7"/>
        <v>0</v>
      </c>
      <c r="M96" s="174"/>
      <c r="N96" s="174"/>
    </row>
    <row r="97" spans="1:14" ht="18" customHeight="1" x14ac:dyDescent="0.3">
      <c r="A97" s="175"/>
      <c r="B97" s="175"/>
      <c r="C97" s="174"/>
      <c r="D97" s="174"/>
      <c r="E97" s="174"/>
      <c r="F97" s="1">
        <f t="shared" si="4"/>
        <v>0</v>
      </c>
      <c r="G97" s="179"/>
      <c r="H97" s="1">
        <f t="shared" si="5"/>
        <v>0</v>
      </c>
      <c r="J97" s="1">
        <f t="shared" si="6"/>
        <v>0</v>
      </c>
      <c r="L97" s="1">
        <f t="shared" si="7"/>
        <v>0</v>
      </c>
      <c r="M97" s="174"/>
      <c r="N97" s="174"/>
    </row>
    <row r="98" spans="1:14" ht="18" customHeight="1" x14ac:dyDescent="0.3">
      <c r="A98" s="175"/>
      <c r="B98" s="175"/>
      <c r="C98" s="174"/>
      <c r="D98" s="174"/>
      <c r="E98" s="174"/>
      <c r="F98" s="1">
        <f t="shared" si="4"/>
        <v>0</v>
      </c>
      <c r="G98" s="179"/>
      <c r="H98" s="1">
        <f t="shared" si="5"/>
        <v>0</v>
      </c>
      <c r="J98" s="1">
        <f t="shared" si="6"/>
        <v>0</v>
      </c>
      <c r="L98" s="1">
        <f t="shared" si="7"/>
        <v>0</v>
      </c>
      <c r="M98" s="174"/>
      <c r="N98" s="174"/>
    </row>
    <row r="99" spans="1:14" ht="18" customHeight="1" x14ac:dyDescent="0.3">
      <c r="A99" s="175"/>
      <c r="B99" s="175"/>
      <c r="C99" s="174"/>
      <c r="D99" s="174"/>
      <c r="E99" s="174"/>
      <c r="F99" s="1">
        <f t="shared" si="4"/>
        <v>0</v>
      </c>
      <c r="G99" s="179"/>
      <c r="H99" s="1">
        <f t="shared" si="5"/>
        <v>0</v>
      </c>
      <c r="J99" s="1">
        <f t="shared" si="6"/>
        <v>0</v>
      </c>
      <c r="L99" s="1">
        <f t="shared" si="7"/>
        <v>0</v>
      </c>
      <c r="M99" s="174"/>
      <c r="N99" s="174"/>
    </row>
    <row r="100" spans="1:14" ht="18" customHeight="1" x14ac:dyDescent="0.3">
      <c r="A100" s="175"/>
      <c r="B100" s="175"/>
      <c r="C100" s="174"/>
      <c r="D100" s="174"/>
      <c r="E100" s="174"/>
      <c r="F100" s="1">
        <f t="shared" si="4"/>
        <v>0</v>
      </c>
      <c r="G100" s="179"/>
      <c r="H100" s="1">
        <f t="shared" si="5"/>
        <v>0</v>
      </c>
      <c r="J100" s="1">
        <f t="shared" si="6"/>
        <v>0</v>
      </c>
      <c r="L100" s="1">
        <f t="shared" si="7"/>
        <v>0</v>
      </c>
      <c r="M100" s="174"/>
      <c r="N100" s="174"/>
    </row>
    <row r="101" spans="1:14" ht="18" customHeight="1" x14ac:dyDescent="0.3">
      <c r="A101" s="175"/>
      <c r="B101" s="175"/>
      <c r="C101" s="174"/>
      <c r="D101" s="174"/>
      <c r="E101" s="174"/>
      <c r="F101" s="1">
        <f t="shared" si="4"/>
        <v>0</v>
      </c>
      <c r="G101" s="179"/>
      <c r="H101" s="1">
        <f t="shared" si="5"/>
        <v>0</v>
      </c>
      <c r="J101" s="1">
        <f t="shared" si="6"/>
        <v>0</v>
      </c>
      <c r="L101" s="1">
        <f t="shared" si="7"/>
        <v>0</v>
      </c>
      <c r="M101" s="174"/>
      <c r="N101" s="174"/>
    </row>
    <row r="102" spans="1:14" ht="18" customHeight="1" x14ac:dyDescent="0.3">
      <c r="A102" s="175"/>
      <c r="B102" s="175"/>
      <c r="C102" s="174"/>
      <c r="D102" s="174"/>
      <c r="E102" s="174"/>
      <c r="F102" s="1">
        <f t="shared" si="4"/>
        <v>0</v>
      </c>
      <c r="G102" s="179"/>
      <c r="H102" s="1">
        <f t="shared" si="5"/>
        <v>0</v>
      </c>
      <c r="J102" s="1">
        <f t="shared" si="6"/>
        <v>0</v>
      </c>
      <c r="L102" s="1">
        <f t="shared" si="7"/>
        <v>0</v>
      </c>
      <c r="M102" s="174"/>
      <c r="N102" s="174"/>
    </row>
    <row r="103" spans="1:14" ht="18" customHeight="1" x14ac:dyDescent="0.3">
      <c r="A103" s="175"/>
      <c r="B103" s="175"/>
      <c r="C103" s="174"/>
      <c r="D103" s="174"/>
      <c r="E103" s="174"/>
      <c r="F103" s="1">
        <f t="shared" si="4"/>
        <v>0</v>
      </c>
      <c r="G103" s="179"/>
      <c r="H103" s="1">
        <f t="shared" si="5"/>
        <v>0</v>
      </c>
      <c r="J103" s="1">
        <f t="shared" si="6"/>
        <v>0</v>
      </c>
      <c r="L103" s="1">
        <f t="shared" si="7"/>
        <v>0</v>
      </c>
      <c r="M103" s="174"/>
      <c r="N103" s="174"/>
    </row>
    <row r="104" spans="1:14" ht="18" customHeight="1" x14ac:dyDescent="0.3">
      <c r="A104" s="175"/>
      <c r="B104" s="175"/>
      <c r="C104" s="174"/>
      <c r="D104" s="174"/>
      <c r="E104" s="174"/>
      <c r="F104" s="1">
        <f t="shared" si="4"/>
        <v>0</v>
      </c>
      <c r="G104" s="179"/>
      <c r="H104" s="1">
        <f t="shared" si="5"/>
        <v>0</v>
      </c>
      <c r="J104" s="1">
        <f t="shared" si="6"/>
        <v>0</v>
      </c>
      <c r="L104" s="1">
        <f t="shared" si="7"/>
        <v>0</v>
      </c>
      <c r="M104" s="174"/>
      <c r="N104" s="174"/>
    </row>
    <row r="105" spans="1:14" ht="18" customHeight="1" x14ac:dyDescent="0.3">
      <c r="A105" s="175"/>
      <c r="B105" s="175"/>
      <c r="C105" s="174"/>
      <c r="D105" s="174"/>
      <c r="E105" s="174"/>
      <c r="F105" s="1">
        <f t="shared" si="4"/>
        <v>0</v>
      </c>
      <c r="G105" s="179"/>
      <c r="H105" s="1">
        <f t="shared" si="5"/>
        <v>0</v>
      </c>
      <c r="J105" s="1">
        <f t="shared" si="6"/>
        <v>0</v>
      </c>
      <c r="L105" s="1">
        <f t="shared" si="7"/>
        <v>0</v>
      </c>
      <c r="M105" s="174"/>
      <c r="N105" s="174"/>
    </row>
    <row r="106" spans="1:14" ht="18" customHeight="1" x14ac:dyDescent="0.3">
      <c r="A106" s="175"/>
      <c r="B106" s="175"/>
      <c r="C106" s="174"/>
      <c r="D106" s="180"/>
      <c r="E106" s="174"/>
      <c r="F106" s="1">
        <f t="shared" si="4"/>
        <v>0</v>
      </c>
      <c r="G106" s="176"/>
      <c r="H106" s="1">
        <f t="shared" si="5"/>
        <v>0</v>
      </c>
      <c r="I106" s="179"/>
      <c r="J106" s="1">
        <f t="shared" si="6"/>
        <v>0</v>
      </c>
      <c r="K106" s="179"/>
      <c r="L106" s="1">
        <f t="shared" si="7"/>
        <v>0</v>
      </c>
      <c r="M106" s="174"/>
      <c r="N106" s="174"/>
    </row>
    <row r="107" spans="1:14" ht="18" customHeight="1" x14ac:dyDescent="0.3">
      <c r="A107" s="175"/>
      <c r="B107" s="175"/>
      <c r="C107" s="174"/>
      <c r="D107" s="180"/>
      <c r="E107" s="174"/>
      <c r="F107" s="1">
        <f t="shared" si="4"/>
        <v>0</v>
      </c>
      <c r="G107" s="176"/>
      <c r="H107" s="1">
        <f t="shared" si="5"/>
        <v>0</v>
      </c>
      <c r="I107" s="179"/>
      <c r="J107" s="1">
        <f t="shared" si="6"/>
        <v>0</v>
      </c>
      <c r="K107" s="179"/>
      <c r="L107" s="1">
        <f t="shared" si="7"/>
        <v>0</v>
      </c>
      <c r="M107" s="174"/>
      <c r="N107" s="174"/>
    </row>
    <row r="108" spans="1:14" ht="18" customHeight="1" x14ac:dyDescent="0.3">
      <c r="A108" s="175"/>
      <c r="B108" s="175"/>
      <c r="C108" s="174"/>
      <c r="D108" s="180"/>
      <c r="E108" s="174"/>
      <c r="F108" s="1">
        <f t="shared" si="4"/>
        <v>0</v>
      </c>
      <c r="G108" s="176"/>
      <c r="H108" s="1">
        <f t="shared" si="5"/>
        <v>0</v>
      </c>
      <c r="I108" s="179"/>
      <c r="J108" s="1">
        <f t="shared" si="6"/>
        <v>0</v>
      </c>
      <c r="K108" s="179"/>
      <c r="L108" s="1">
        <f t="shared" si="7"/>
        <v>0</v>
      </c>
      <c r="M108" s="174"/>
      <c r="N108" s="174"/>
    </row>
    <row r="109" spans="1:14" ht="18" customHeight="1" x14ac:dyDescent="0.3">
      <c r="A109" s="175"/>
      <c r="B109" s="175"/>
      <c r="C109" s="174"/>
      <c r="D109" s="180"/>
      <c r="E109" s="174"/>
      <c r="F109" s="1">
        <f t="shared" si="4"/>
        <v>0</v>
      </c>
      <c r="G109" s="176"/>
      <c r="H109" s="1">
        <f t="shared" si="5"/>
        <v>0</v>
      </c>
      <c r="I109" s="179"/>
      <c r="J109" s="1">
        <f t="shared" si="6"/>
        <v>0</v>
      </c>
      <c r="K109" s="179"/>
      <c r="L109" s="1">
        <f t="shared" si="7"/>
        <v>0</v>
      </c>
      <c r="M109" s="174"/>
      <c r="N109" s="174"/>
    </row>
    <row r="110" spans="1:14" ht="18" customHeight="1" x14ac:dyDescent="0.3">
      <c r="A110" s="175"/>
      <c r="B110" s="175"/>
      <c r="C110" s="174"/>
      <c r="D110" s="180"/>
      <c r="E110" s="174"/>
      <c r="F110" s="1">
        <f t="shared" si="4"/>
        <v>0</v>
      </c>
      <c r="G110" s="176"/>
      <c r="H110" s="1">
        <f t="shared" si="5"/>
        <v>0</v>
      </c>
      <c r="I110" s="179"/>
      <c r="J110" s="1">
        <f t="shared" si="6"/>
        <v>0</v>
      </c>
      <c r="K110" s="179"/>
      <c r="L110" s="1">
        <f t="shared" si="7"/>
        <v>0</v>
      </c>
      <c r="M110" s="174"/>
      <c r="N110" s="174"/>
    </row>
    <row r="111" spans="1:14" ht="18" customHeight="1" x14ac:dyDescent="0.3">
      <c r="A111" s="175"/>
      <c r="B111" s="175"/>
      <c r="C111" s="174"/>
      <c r="D111" s="180"/>
      <c r="E111" s="174"/>
      <c r="F111" s="1">
        <f t="shared" si="4"/>
        <v>0</v>
      </c>
      <c r="G111" s="176"/>
      <c r="H111" s="1">
        <f t="shared" si="5"/>
        <v>0</v>
      </c>
      <c r="I111" s="179"/>
      <c r="J111" s="1">
        <f t="shared" si="6"/>
        <v>0</v>
      </c>
      <c r="K111" s="179"/>
      <c r="L111" s="1">
        <f t="shared" si="7"/>
        <v>0</v>
      </c>
      <c r="M111" s="174"/>
      <c r="N111" s="174"/>
    </row>
    <row r="112" spans="1:14" ht="18" customHeight="1" x14ac:dyDescent="0.3">
      <c r="A112" s="175"/>
      <c r="B112" s="175"/>
      <c r="C112" s="174"/>
      <c r="D112" s="180"/>
      <c r="E112" s="174"/>
      <c r="F112" s="1">
        <f t="shared" si="4"/>
        <v>0</v>
      </c>
      <c r="G112" s="176"/>
      <c r="H112" s="1">
        <f t="shared" si="5"/>
        <v>0</v>
      </c>
      <c r="I112" s="179"/>
      <c r="J112" s="1">
        <f t="shared" si="6"/>
        <v>0</v>
      </c>
      <c r="K112" s="179"/>
      <c r="L112" s="1">
        <f t="shared" si="7"/>
        <v>0</v>
      </c>
      <c r="M112" s="174"/>
      <c r="N112" s="174"/>
    </row>
    <row r="113" spans="1:14" ht="18" customHeight="1" x14ac:dyDescent="0.3">
      <c r="A113" s="175"/>
      <c r="B113" s="175"/>
      <c r="C113" s="174"/>
      <c r="D113" s="180"/>
      <c r="E113" s="174"/>
      <c r="F113" s="1">
        <f t="shared" si="4"/>
        <v>0</v>
      </c>
      <c r="G113" s="176"/>
      <c r="H113" s="1">
        <f t="shared" si="5"/>
        <v>0</v>
      </c>
      <c r="I113" s="179"/>
      <c r="J113" s="1">
        <f t="shared" si="6"/>
        <v>0</v>
      </c>
      <c r="K113" s="179"/>
      <c r="L113" s="1">
        <f t="shared" si="7"/>
        <v>0</v>
      </c>
      <c r="M113" s="174"/>
      <c r="N113" s="174"/>
    </row>
    <row r="114" spans="1:14" ht="18" customHeight="1" x14ac:dyDescent="0.3">
      <c r="A114" s="175"/>
      <c r="B114" s="175"/>
      <c r="C114" s="174"/>
      <c r="D114" s="180"/>
      <c r="E114" s="174"/>
      <c r="F114" s="1">
        <f t="shared" si="4"/>
        <v>0</v>
      </c>
      <c r="G114" s="176"/>
      <c r="H114" s="1">
        <f t="shared" si="5"/>
        <v>0</v>
      </c>
      <c r="I114" s="179"/>
      <c r="J114" s="1">
        <f t="shared" si="6"/>
        <v>0</v>
      </c>
      <c r="K114" s="179"/>
      <c r="L114" s="1">
        <f t="shared" si="7"/>
        <v>0</v>
      </c>
      <c r="M114" s="174"/>
      <c r="N114" s="174"/>
    </row>
    <row r="115" spans="1:14" ht="18" customHeight="1" x14ac:dyDescent="0.3">
      <c r="A115" s="175"/>
      <c r="B115" s="175"/>
      <c r="C115" s="174"/>
      <c r="D115" s="180"/>
      <c r="E115" s="174"/>
      <c r="F115" s="1">
        <f t="shared" si="4"/>
        <v>0</v>
      </c>
      <c r="G115" s="176"/>
      <c r="H115" s="1">
        <f t="shared" si="5"/>
        <v>0</v>
      </c>
      <c r="I115" s="179"/>
      <c r="J115" s="1">
        <f t="shared" si="6"/>
        <v>0</v>
      </c>
      <c r="K115" s="179"/>
      <c r="L115" s="1">
        <f t="shared" si="7"/>
        <v>0</v>
      </c>
      <c r="M115" s="174"/>
      <c r="N115" s="174"/>
    </row>
    <row r="116" spans="1:14" ht="18" customHeight="1" x14ac:dyDescent="0.3">
      <c r="A116" s="175"/>
      <c r="B116" s="175"/>
      <c r="C116" s="174"/>
      <c r="D116" s="180"/>
      <c r="E116" s="174"/>
      <c r="F116" s="1">
        <f t="shared" si="4"/>
        <v>0</v>
      </c>
      <c r="G116" s="176"/>
      <c r="H116" s="1">
        <f t="shared" si="5"/>
        <v>0</v>
      </c>
      <c r="I116" s="181"/>
      <c r="J116" s="1">
        <f t="shared" si="6"/>
        <v>0</v>
      </c>
      <c r="K116" s="181"/>
      <c r="L116" s="1">
        <f t="shared" si="7"/>
        <v>0</v>
      </c>
      <c r="M116" s="174"/>
      <c r="N116" s="174"/>
    </row>
    <row r="117" spans="1:14" ht="18" customHeight="1" x14ac:dyDescent="0.3">
      <c r="A117" s="175"/>
      <c r="B117" s="175"/>
      <c r="C117" s="174"/>
      <c r="D117" s="180"/>
      <c r="E117" s="174"/>
      <c r="F117" s="1">
        <f t="shared" si="4"/>
        <v>0</v>
      </c>
      <c r="G117" s="176"/>
      <c r="H117" s="1">
        <f t="shared" si="5"/>
        <v>0</v>
      </c>
      <c r="I117" s="181"/>
      <c r="J117" s="1">
        <f t="shared" si="6"/>
        <v>0</v>
      </c>
      <c r="K117" s="181"/>
      <c r="L117" s="1">
        <f t="shared" si="7"/>
        <v>0</v>
      </c>
      <c r="M117" s="174"/>
      <c r="N117" s="174"/>
    </row>
    <row r="118" spans="1:14" ht="18" customHeight="1" x14ac:dyDescent="0.3">
      <c r="A118" s="175"/>
      <c r="B118" s="175"/>
      <c r="C118" s="174"/>
      <c r="D118" s="180"/>
      <c r="E118" s="174"/>
      <c r="F118" s="1">
        <f t="shared" si="4"/>
        <v>0</v>
      </c>
      <c r="G118" s="176"/>
      <c r="H118" s="1">
        <f t="shared" si="5"/>
        <v>0</v>
      </c>
      <c r="I118" s="181"/>
      <c r="J118" s="1">
        <f t="shared" si="6"/>
        <v>0</v>
      </c>
      <c r="K118" s="181"/>
      <c r="L118" s="1">
        <f t="shared" si="7"/>
        <v>0</v>
      </c>
      <c r="M118" s="174"/>
      <c r="N118" s="174"/>
    </row>
    <row r="119" spans="1:14" ht="18" customHeight="1" x14ac:dyDescent="0.3">
      <c r="A119" s="175"/>
      <c r="B119" s="175"/>
      <c r="C119" s="174"/>
      <c r="D119" s="182"/>
      <c r="E119" s="174"/>
      <c r="F119" s="1">
        <f t="shared" si="4"/>
        <v>0</v>
      </c>
      <c r="G119" s="181"/>
      <c r="H119" s="1">
        <f t="shared" si="5"/>
        <v>0</v>
      </c>
      <c r="I119" s="176"/>
      <c r="J119" s="1">
        <f t="shared" si="6"/>
        <v>0</v>
      </c>
      <c r="K119" s="176"/>
      <c r="L119" s="1">
        <f t="shared" si="7"/>
        <v>0</v>
      </c>
      <c r="M119" s="174"/>
      <c r="N119" s="174"/>
    </row>
    <row r="120" spans="1:14" ht="18" customHeight="1" x14ac:dyDescent="0.3">
      <c r="A120" s="175"/>
      <c r="B120" s="175"/>
      <c r="C120" s="174"/>
      <c r="D120" s="183"/>
      <c r="E120" s="174"/>
      <c r="F120" s="1">
        <f t="shared" si="4"/>
        <v>0</v>
      </c>
      <c r="G120" s="181"/>
      <c r="H120" s="1">
        <f t="shared" si="5"/>
        <v>0</v>
      </c>
      <c r="I120" s="176"/>
      <c r="J120" s="1">
        <f t="shared" si="6"/>
        <v>0</v>
      </c>
      <c r="K120" s="176"/>
      <c r="L120" s="1">
        <f t="shared" si="7"/>
        <v>0</v>
      </c>
      <c r="M120" s="174"/>
      <c r="N120" s="174"/>
    </row>
    <row r="121" spans="1:14" ht="18" customHeight="1" x14ac:dyDescent="0.3">
      <c r="A121" s="175"/>
      <c r="B121" s="175"/>
      <c r="C121" s="174"/>
      <c r="D121" s="183"/>
      <c r="E121" s="174"/>
      <c r="F121" s="1">
        <f t="shared" si="4"/>
        <v>0</v>
      </c>
      <c r="G121" s="181"/>
      <c r="H121" s="1">
        <f t="shared" si="5"/>
        <v>0</v>
      </c>
      <c r="I121" s="176"/>
      <c r="J121" s="1">
        <f t="shared" si="6"/>
        <v>0</v>
      </c>
      <c r="K121" s="176"/>
      <c r="L121" s="1">
        <f t="shared" si="7"/>
        <v>0</v>
      </c>
      <c r="M121" s="174"/>
      <c r="N121" s="174"/>
    </row>
    <row r="122" spans="1:14" ht="18" customHeight="1" x14ac:dyDescent="0.3">
      <c r="A122" s="175"/>
      <c r="B122" s="175"/>
      <c r="C122" s="174"/>
      <c r="D122" s="183"/>
      <c r="E122" s="174"/>
      <c r="F122" s="1">
        <f t="shared" si="4"/>
        <v>0</v>
      </c>
      <c r="G122" s="181"/>
      <c r="H122" s="1">
        <f t="shared" si="5"/>
        <v>0</v>
      </c>
      <c r="J122" s="1">
        <f t="shared" si="6"/>
        <v>0</v>
      </c>
      <c r="L122" s="1">
        <f t="shared" si="7"/>
        <v>0</v>
      </c>
    </row>
    <row r="123" spans="1:14" ht="18" customHeight="1" x14ac:dyDescent="0.3">
      <c r="A123" s="175"/>
      <c r="B123" s="175"/>
      <c r="C123" s="174"/>
      <c r="D123" s="183"/>
      <c r="E123" s="174"/>
      <c r="F123" s="1">
        <f t="shared" si="4"/>
        <v>0</v>
      </c>
      <c r="G123" s="181"/>
      <c r="H123" s="1">
        <f t="shared" si="5"/>
        <v>0</v>
      </c>
      <c r="J123" s="1">
        <f t="shared" si="6"/>
        <v>0</v>
      </c>
      <c r="L123" s="1">
        <f t="shared" si="7"/>
        <v>0</v>
      </c>
    </row>
    <row r="124" spans="1:14" ht="18" customHeight="1" x14ac:dyDescent="0.3">
      <c r="A124" s="175"/>
      <c r="B124" s="175"/>
      <c r="C124" s="174"/>
      <c r="D124" s="183"/>
      <c r="E124" s="174"/>
      <c r="F124" s="1">
        <f t="shared" si="4"/>
        <v>0</v>
      </c>
      <c r="G124" s="181"/>
      <c r="H124" s="1">
        <f t="shared" si="5"/>
        <v>0</v>
      </c>
      <c r="J124" s="1">
        <f t="shared" si="6"/>
        <v>0</v>
      </c>
      <c r="L124" s="1">
        <f t="shared" si="7"/>
        <v>0</v>
      </c>
    </row>
    <row r="125" spans="1:14" ht="18" customHeight="1" x14ac:dyDescent="0.3">
      <c r="A125" s="175"/>
      <c r="B125" s="176"/>
      <c r="D125" s="176"/>
      <c r="F125" s="1">
        <f t="shared" si="4"/>
        <v>0</v>
      </c>
      <c r="G125" s="174"/>
      <c r="H125" s="1">
        <f t="shared" si="5"/>
        <v>0</v>
      </c>
      <c r="J125" s="1">
        <f t="shared" si="6"/>
        <v>0</v>
      </c>
      <c r="L125" s="1">
        <f t="shared" si="7"/>
        <v>0</v>
      </c>
    </row>
    <row r="126" spans="1:14" ht="18" customHeight="1" x14ac:dyDescent="0.3">
      <c r="A126" s="175"/>
      <c r="B126" s="176"/>
      <c r="D126" s="176"/>
      <c r="F126" s="1">
        <f t="shared" si="4"/>
        <v>0</v>
      </c>
      <c r="G126" s="174"/>
      <c r="H126" s="1">
        <f t="shared" si="5"/>
        <v>0</v>
      </c>
      <c r="J126" s="1">
        <f t="shared" si="6"/>
        <v>0</v>
      </c>
      <c r="L126" s="1">
        <f t="shared" si="7"/>
        <v>0</v>
      </c>
    </row>
    <row r="127" spans="1:14" ht="18" customHeight="1" x14ac:dyDescent="0.3">
      <c r="A127" s="175"/>
      <c r="B127" s="176"/>
      <c r="D127" s="176"/>
      <c r="F127" s="1">
        <f t="shared" si="4"/>
        <v>0</v>
      </c>
      <c r="G127" s="174"/>
      <c r="H127" s="1">
        <f t="shared" si="5"/>
        <v>0</v>
      </c>
      <c r="J127" s="1">
        <f t="shared" si="6"/>
        <v>0</v>
      </c>
      <c r="L127" s="1">
        <f t="shared" si="7"/>
        <v>0</v>
      </c>
    </row>
    <row r="128" spans="1:14" ht="18" customHeight="1" x14ac:dyDescent="0.3">
      <c r="A128" s="175"/>
      <c r="B128" s="176"/>
      <c r="D128" s="176"/>
      <c r="F128" s="1">
        <f t="shared" si="4"/>
        <v>0</v>
      </c>
      <c r="G128" s="174"/>
      <c r="H128" s="1">
        <f t="shared" si="5"/>
        <v>0</v>
      </c>
      <c r="J128" s="1">
        <f t="shared" si="6"/>
        <v>0</v>
      </c>
      <c r="L128" s="1">
        <f t="shared" si="7"/>
        <v>0</v>
      </c>
    </row>
    <row r="129" spans="1:12" ht="18" customHeight="1" x14ac:dyDescent="0.3">
      <c r="A129" s="175"/>
      <c r="B129" s="176"/>
      <c r="D129" s="176"/>
      <c r="F129" s="1">
        <f t="shared" si="4"/>
        <v>0</v>
      </c>
      <c r="G129" s="174"/>
      <c r="H129" s="1">
        <f t="shared" si="5"/>
        <v>0</v>
      </c>
      <c r="J129" s="1">
        <f t="shared" si="6"/>
        <v>0</v>
      </c>
      <c r="L129" s="1">
        <f t="shared" si="7"/>
        <v>0</v>
      </c>
    </row>
    <row r="130" spans="1:12" ht="18" customHeight="1" x14ac:dyDescent="0.3">
      <c r="A130" s="175"/>
      <c r="B130" s="176"/>
      <c r="D130" s="176"/>
      <c r="F130" s="1">
        <f t="shared" si="4"/>
        <v>0</v>
      </c>
      <c r="G130" s="174"/>
      <c r="H130" s="1">
        <f t="shared" si="5"/>
        <v>0</v>
      </c>
      <c r="J130" s="1">
        <f t="shared" si="6"/>
        <v>0</v>
      </c>
      <c r="L130" s="1">
        <f t="shared" si="7"/>
        <v>0</v>
      </c>
    </row>
    <row r="131" spans="1:12" ht="18" customHeight="1" x14ac:dyDescent="0.3">
      <c r="A131" s="175"/>
      <c r="B131" s="176"/>
      <c r="D131" s="176"/>
      <c r="F131" s="1">
        <f t="shared" si="4"/>
        <v>0</v>
      </c>
      <c r="G131" s="174"/>
      <c r="H131" s="1">
        <f t="shared" si="5"/>
        <v>0</v>
      </c>
      <c r="J131" s="1">
        <f t="shared" si="6"/>
        <v>0</v>
      </c>
      <c r="L131" s="1">
        <f t="shared" si="7"/>
        <v>0</v>
      </c>
    </row>
    <row r="132" spans="1:12" ht="18" customHeight="1" x14ac:dyDescent="0.3">
      <c r="A132" s="175"/>
      <c r="B132" s="179"/>
      <c r="D132" s="179"/>
      <c r="F132" s="1">
        <f t="shared" si="4"/>
        <v>0</v>
      </c>
      <c r="G132" s="174"/>
      <c r="H132" s="1">
        <f t="shared" si="5"/>
        <v>0</v>
      </c>
      <c r="J132" s="1">
        <f t="shared" si="6"/>
        <v>0</v>
      </c>
      <c r="L132" s="1">
        <f t="shared" si="7"/>
        <v>0</v>
      </c>
    </row>
    <row r="133" spans="1:12" ht="18" customHeight="1" x14ac:dyDescent="0.3">
      <c r="A133" s="175"/>
      <c r="B133" s="179"/>
      <c r="D133" s="179"/>
      <c r="F133" s="1">
        <f t="shared" ref="F133:F196" si="8">SUM(H133,J133,L133)</f>
        <v>0</v>
      </c>
      <c r="G133" s="174"/>
      <c r="H133" s="1">
        <f t="shared" ref="H133:H196" si="9">ROUNDUP(D133*G133,0)</f>
        <v>0</v>
      </c>
      <c r="J133" s="1">
        <f t="shared" ref="J133:J196" si="10">ROUNDUP(D133*I133,0)</f>
        <v>0</v>
      </c>
      <c r="L133" s="1">
        <f t="shared" ref="L133:L196" si="11">ROUNDUP(D133*K133,0)</f>
        <v>0</v>
      </c>
    </row>
    <row r="134" spans="1:12" ht="18" customHeight="1" x14ac:dyDescent="0.3">
      <c r="A134" s="175"/>
      <c r="B134" s="179"/>
      <c r="D134" s="179"/>
      <c r="F134" s="1">
        <f t="shared" si="8"/>
        <v>0</v>
      </c>
      <c r="G134" s="174"/>
      <c r="H134" s="1">
        <f t="shared" si="9"/>
        <v>0</v>
      </c>
      <c r="J134" s="1">
        <f t="shared" si="10"/>
        <v>0</v>
      </c>
      <c r="L134" s="1">
        <f t="shared" si="11"/>
        <v>0</v>
      </c>
    </row>
    <row r="135" spans="1:12" ht="18" customHeight="1" x14ac:dyDescent="0.3">
      <c r="A135" s="175"/>
      <c r="B135" s="179"/>
      <c r="D135" s="179"/>
      <c r="F135" s="1">
        <f t="shared" si="8"/>
        <v>0</v>
      </c>
      <c r="G135" s="174"/>
      <c r="H135" s="1">
        <f t="shared" si="9"/>
        <v>0</v>
      </c>
      <c r="J135" s="1">
        <f t="shared" si="10"/>
        <v>0</v>
      </c>
      <c r="L135" s="1">
        <f t="shared" si="11"/>
        <v>0</v>
      </c>
    </row>
    <row r="136" spans="1:12" ht="18" customHeight="1" x14ac:dyDescent="0.3">
      <c r="A136" s="175"/>
      <c r="B136" s="179"/>
      <c r="D136" s="179"/>
      <c r="F136" s="1">
        <f t="shared" si="8"/>
        <v>0</v>
      </c>
      <c r="G136" s="174"/>
      <c r="H136" s="1">
        <f t="shared" si="9"/>
        <v>0</v>
      </c>
      <c r="J136" s="1">
        <f t="shared" si="10"/>
        <v>0</v>
      </c>
      <c r="L136" s="1">
        <f t="shared" si="11"/>
        <v>0</v>
      </c>
    </row>
    <row r="137" spans="1:12" ht="18" customHeight="1" x14ac:dyDescent="0.3">
      <c r="A137" s="175"/>
      <c r="B137" s="179"/>
      <c r="D137" s="179"/>
      <c r="F137" s="1">
        <f t="shared" si="8"/>
        <v>0</v>
      </c>
      <c r="G137" s="174"/>
      <c r="H137" s="1">
        <f t="shared" si="9"/>
        <v>0</v>
      </c>
      <c r="J137" s="1">
        <f t="shared" si="10"/>
        <v>0</v>
      </c>
      <c r="L137" s="1">
        <f t="shared" si="11"/>
        <v>0</v>
      </c>
    </row>
    <row r="138" spans="1:12" ht="18" customHeight="1" x14ac:dyDescent="0.3">
      <c r="A138" s="175"/>
      <c r="B138" s="179"/>
      <c r="D138" s="179"/>
      <c r="F138" s="1">
        <f t="shared" si="8"/>
        <v>0</v>
      </c>
      <c r="G138" s="174"/>
      <c r="H138" s="1">
        <f t="shared" si="9"/>
        <v>0</v>
      </c>
      <c r="J138" s="1">
        <f t="shared" si="10"/>
        <v>0</v>
      </c>
      <c r="L138" s="1">
        <f t="shared" si="11"/>
        <v>0</v>
      </c>
    </row>
    <row r="139" spans="1:12" ht="18" customHeight="1" x14ac:dyDescent="0.3">
      <c r="A139" s="175"/>
      <c r="B139" s="179"/>
      <c r="D139" s="179"/>
      <c r="F139" s="1">
        <f t="shared" si="8"/>
        <v>0</v>
      </c>
      <c r="G139" s="174"/>
      <c r="H139" s="1">
        <f t="shared" si="9"/>
        <v>0</v>
      </c>
      <c r="J139" s="1">
        <f t="shared" si="10"/>
        <v>0</v>
      </c>
      <c r="L139" s="1">
        <f t="shared" si="11"/>
        <v>0</v>
      </c>
    </row>
    <row r="140" spans="1:12" ht="18" customHeight="1" x14ac:dyDescent="0.3">
      <c r="A140" s="175"/>
      <c r="B140" s="179"/>
      <c r="D140" s="179"/>
      <c r="F140" s="1">
        <f t="shared" si="8"/>
        <v>0</v>
      </c>
      <c r="G140" s="174"/>
      <c r="H140" s="1">
        <f t="shared" si="9"/>
        <v>0</v>
      </c>
      <c r="J140" s="1">
        <f t="shared" si="10"/>
        <v>0</v>
      </c>
      <c r="L140" s="1">
        <f t="shared" si="11"/>
        <v>0</v>
      </c>
    </row>
    <row r="141" spans="1:12" ht="18" customHeight="1" x14ac:dyDescent="0.3">
      <c r="A141" s="175"/>
      <c r="B141" s="181"/>
      <c r="D141" s="181"/>
      <c r="F141" s="1">
        <f t="shared" si="8"/>
        <v>0</v>
      </c>
      <c r="G141" s="174"/>
      <c r="H141" s="1">
        <f t="shared" si="9"/>
        <v>0</v>
      </c>
      <c r="J141" s="1">
        <f t="shared" si="10"/>
        <v>0</v>
      </c>
      <c r="L141" s="1">
        <f t="shared" si="11"/>
        <v>0</v>
      </c>
    </row>
    <row r="142" spans="1:12" ht="18" customHeight="1" x14ac:dyDescent="0.3">
      <c r="A142" s="175"/>
      <c r="B142" s="181"/>
      <c r="D142" s="181"/>
      <c r="F142" s="1">
        <f t="shared" si="8"/>
        <v>0</v>
      </c>
      <c r="G142" s="174"/>
      <c r="H142" s="1">
        <f t="shared" si="9"/>
        <v>0</v>
      </c>
      <c r="J142" s="1">
        <f t="shared" si="10"/>
        <v>0</v>
      </c>
      <c r="L142" s="1">
        <f t="shared" si="11"/>
        <v>0</v>
      </c>
    </row>
    <row r="143" spans="1:12" ht="18" customHeight="1" x14ac:dyDescent="0.3">
      <c r="A143" s="175"/>
      <c r="B143" s="181"/>
      <c r="D143" s="181"/>
      <c r="F143" s="1">
        <f t="shared" si="8"/>
        <v>0</v>
      </c>
      <c r="G143" s="174"/>
      <c r="H143" s="1">
        <f t="shared" si="9"/>
        <v>0</v>
      </c>
      <c r="J143" s="1">
        <f t="shared" si="10"/>
        <v>0</v>
      </c>
      <c r="L143" s="1">
        <f t="shared" si="11"/>
        <v>0</v>
      </c>
    </row>
    <row r="144" spans="1:12" ht="18" customHeight="1" x14ac:dyDescent="0.3">
      <c r="A144" s="175"/>
      <c r="F144" s="1">
        <f t="shared" si="8"/>
        <v>0</v>
      </c>
      <c r="G144" s="174"/>
      <c r="H144" s="1">
        <f t="shared" si="9"/>
        <v>0</v>
      </c>
      <c r="J144" s="1">
        <f t="shared" si="10"/>
        <v>0</v>
      </c>
      <c r="L144" s="1">
        <f t="shared" si="11"/>
        <v>0</v>
      </c>
    </row>
    <row r="145" spans="1:12" ht="18" customHeight="1" x14ac:dyDescent="0.3">
      <c r="A145" s="175"/>
      <c r="F145" s="1">
        <f t="shared" si="8"/>
        <v>0</v>
      </c>
      <c r="G145" s="174"/>
      <c r="H145" s="1">
        <f t="shared" si="9"/>
        <v>0</v>
      </c>
      <c r="J145" s="1">
        <f t="shared" si="10"/>
        <v>0</v>
      </c>
      <c r="L145" s="1">
        <f t="shared" si="11"/>
        <v>0</v>
      </c>
    </row>
    <row r="146" spans="1:12" ht="18" customHeight="1" x14ac:dyDescent="0.3">
      <c r="A146" s="175"/>
      <c r="F146" s="1">
        <f t="shared" si="8"/>
        <v>0</v>
      </c>
      <c r="G146" s="174"/>
      <c r="H146" s="1">
        <f t="shared" si="9"/>
        <v>0</v>
      </c>
      <c r="J146" s="1">
        <f t="shared" si="10"/>
        <v>0</v>
      </c>
      <c r="L146" s="1">
        <f t="shared" si="11"/>
        <v>0</v>
      </c>
    </row>
    <row r="147" spans="1:12" ht="18" customHeight="1" x14ac:dyDescent="0.3">
      <c r="A147" s="175"/>
      <c r="F147" s="1">
        <f t="shared" si="8"/>
        <v>0</v>
      </c>
      <c r="G147" s="174"/>
      <c r="H147" s="1">
        <f t="shared" si="9"/>
        <v>0</v>
      </c>
      <c r="J147" s="1">
        <f t="shared" si="10"/>
        <v>0</v>
      </c>
      <c r="L147" s="1">
        <f t="shared" si="11"/>
        <v>0</v>
      </c>
    </row>
    <row r="148" spans="1:12" ht="18" customHeight="1" x14ac:dyDescent="0.3">
      <c r="A148" s="175"/>
      <c r="F148" s="1">
        <f t="shared" si="8"/>
        <v>0</v>
      </c>
      <c r="G148" s="174"/>
      <c r="H148" s="1">
        <f t="shared" si="9"/>
        <v>0</v>
      </c>
      <c r="J148" s="1">
        <f t="shared" si="10"/>
        <v>0</v>
      </c>
      <c r="L148" s="1">
        <f t="shared" si="11"/>
        <v>0</v>
      </c>
    </row>
    <row r="149" spans="1:12" ht="18" customHeight="1" x14ac:dyDescent="0.3">
      <c r="A149" s="175"/>
      <c r="F149" s="1">
        <f t="shared" si="8"/>
        <v>0</v>
      </c>
      <c r="G149" s="174"/>
      <c r="H149" s="1">
        <f t="shared" si="9"/>
        <v>0</v>
      </c>
      <c r="J149" s="1">
        <f t="shared" si="10"/>
        <v>0</v>
      </c>
      <c r="L149" s="1">
        <f t="shared" si="11"/>
        <v>0</v>
      </c>
    </row>
    <row r="150" spans="1:12" ht="18" customHeight="1" x14ac:dyDescent="0.3">
      <c r="A150" s="175"/>
      <c r="F150" s="1">
        <f t="shared" si="8"/>
        <v>0</v>
      </c>
      <c r="G150" s="174"/>
      <c r="H150" s="1">
        <f t="shared" si="9"/>
        <v>0</v>
      </c>
      <c r="J150" s="1">
        <f t="shared" si="10"/>
        <v>0</v>
      </c>
      <c r="L150" s="1">
        <f t="shared" si="11"/>
        <v>0</v>
      </c>
    </row>
    <row r="151" spans="1:12" ht="18" customHeight="1" x14ac:dyDescent="0.3">
      <c r="F151" s="1">
        <f t="shared" si="8"/>
        <v>0</v>
      </c>
      <c r="G151" s="174"/>
      <c r="H151" s="1">
        <f t="shared" si="9"/>
        <v>0</v>
      </c>
      <c r="J151" s="1">
        <f t="shared" si="10"/>
        <v>0</v>
      </c>
      <c r="L151" s="1">
        <f t="shared" si="11"/>
        <v>0</v>
      </c>
    </row>
    <row r="152" spans="1:12" ht="18" customHeight="1" x14ac:dyDescent="0.3">
      <c r="F152" s="1">
        <f t="shared" si="8"/>
        <v>0</v>
      </c>
      <c r="G152" s="174"/>
      <c r="H152" s="1">
        <f t="shared" si="9"/>
        <v>0</v>
      </c>
      <c r="J152" s="1">
        <f t="shared" si="10"/>
        <v>0</v>
      </c>
      <c r="L152" s="1">
        <f t="shared" si="11"/>
        <v>0</v>
      </c>
    </row>
    <row r="153" spans="1:12" ht="18" customHeight="1" x14ac:dyDescent="0.3">
      <c r="F153" s="1">
        <f t="shared" si="8"/>
        <v>0</v>
      </c>
      <c r="G153" s="174"/>
      <c r="H153" s="1">
        <f t="shared" si="9"/>
        <v>0</v>
      </c>
      <c r="J153" s="1">
        <f t="shared" si="10"/>
        <v>0</v>
      </c>
      <c r="L153" s="1">
        <f t="shared" si="11"/>
        <v>0</v>
      </c>
    </row>
    <row r="154" spans="1:12" ht="18" customHeight="1" x14ac:dyDescent="0.3">
      <c r="F154" s="1">
        <f t="shared" si="8"/>
        <v>0</v>
      </c>
      <c r="H154" s="1">
        <f t="shared" si="9"/>
        <v>0</v>
      </c>
      <c r="J154" s="1">
        <f t="shared" si="10"/>
        <v>0</v>
      </c>
      <c r="L154" s="1">
        <f t="shared" si="11"/>
        <v>0</v>
      </c>
    </row>
    <row r="155" spans="1:12" ht="18" customHeight="1" x14ac:dyDescent="0.3">
      <c r="F155" s="1">
        <f t="shared" si="8"/>
        <v>0</v>
      </c>
      <c r="H155" s="1">
        <f t="shared" si="9"/>
        <v>0</v>
      </c>
      <c r="J155" s="1">
        <f t="shared" si="10"/>
        <v>0</v>
      </c>
      <c r="L155" s="1">
        <f t="shared" si="11"/>
        <v>0</v>
      </c>
    </row>
    <row r="156" spans="1:12" ht="18" customHeight="1" x14ac:dyDescent="0.3">
      <c r="F156" s="1">
        <f t="shared" si="8"/>
        <v>0</v>
      </c>
      <c r="H156" s="1">
        <f t="shared" si="9"/>
        <v>0</v>
      </c>
      <c r="J156" s="1">
        <f t="shared" si="10"/>
        <v>0</v>
      </c>
      <c r="L156" s="1">
        <f t="shared" si="11"/>
        <v>0</v>
      </c>
    </row>
    <row r="157" spans="1:12" ht="18" customHeight="1" x14ac:dyDescent="0.3">
      <c r="F157" s="1">
        <f t="shared" si="8"/>
        <v>0</v>
      </c>
      <c r="H157" s="1">
        <f t="shared" si="9"/>
        <v>0</v>
      </c>
      <c r="J157" s="1">
        <f t="shared" si="10"/>
        <v>0</v>
      </c>
      <c r="L157" s="1">
        <f t="shared" si="11"/>
        <v>0</v>
      </c>
    </row>
    <row r="158" spans="1:12" ht="18" customHeight="1" x14ac:dyDescent="0.3">
      <c r="F158" s="1">
        <f t="shared" si="8"/>
        <v>0</v>
      </c>
      <c r="H158" s="1">
        <f t="shared" si="9"/>
        <v>0</v>
      </c>
      <c r="J158" s="1">
        <f t="shared" si="10"/>
        <v>0</v>
      </c>
      <c r="L158" s="1">
        <f t="shared" si="11"/>
        <v>0</v>
      </c>
    </row>
    <row r="159" spans="1:12" ht="18" customHeight="1" x14ac:dyDescent="0.3">
      <c r="F159" s="1">
        <f t="shared" si="8"/>
        <v>0</v>
      </c>
      <c r="H159" s="1">
        <f t="shared" si="9"/>
        <v>0</v>
      </c>
      <c r="J159" s="1">
        <f t="shared" si="10"/>
        <v>0</v>
      </c>
      <c r="L159" s="1">
        <f t="shared" si="11"/>
        <v>0</v>
      </c>
    </row>
    <row r="160" spans="1:12" ht="18" customHeight="1" x14ac:dyDescent="0.3">
      <c r="F160" s="1">
        <f t="shared" si="8"/>
        <v>0</v>
      </c>
      <c r="H160" s="1">
        <f t="shared" si="9"/>
        <v>0</v>
      </c>
      <c r="J160" s="1">
        <f t="shared" si="10"/>
        <v>0</v>
      </c>
      <c r="L160" s="1">
        <f t="shared" si="11"/>
        <v>0</v>
      </c>
    </row>
    <row r="161" spans="6:12" ht="18" customHeight="1" x14ac:dyDescent="0.3">
      <c r="F161" s="1">
        <f t="shared" si="8"/>
        <v>0</v>
      </c>
      <c r="H161" s="1">
        <f t="shared" si="9"/>
        <v>0</v>
      </c>
      <c r="J161" s="1">
        <f t="shared" si="10"/>
        <v>0</v>
      </c>
      <c r="L161" s="1">
        <f t="shared" si="11"/>
        <v>0</v>
      </c>
    </row>
    <row r="162" spans="6:12" ht="18" customHeight="1" x14ac:dyDescent="0.3">
      <c r="F162" s="1">
        <f t="shared" si="8"/>
        <v>0</v>
      </c>
      <c r="H162" s="1">
        <f t="shared" si="9"/>
        <v>0</v>
      </c>
      <c r="J162" s="1">
        <f t="shared" si="10"/>
        <v>0</v>
      </c>
      <c r="L162" s="1">
        <f t="shared" si="11"/>
        <v>0</v>
      </c>
    </row>
    <row r="163" spans="6:12" ht="18" customHeight="1" x14ac:dyDescent="0.3">
      <c r="F163" s="1">
        <f t="shared" si="8"/>
        <v>0</v>
      </c>
      <c r="H163" s="1">
        <f t="shared" si="9"/>
        <v>0</v>
      </c>
      <c r="J163" s="1">
        <f t="shared" si="10"/>
        <v>0</v>
      </c>
      <c r="L163" s="1">
        <f t="shared" si="11"/>
        <v>0</v>
      </c>
    </row>
    <row r="164" spans="6:12" ht="18" customHeight="1" x14ac:dyDescent="0.3">
      <c r="F164" s="1">
        <f t="shared" si="8"/>
        <v>0</v>
      </c>
      <c r="H164" s="1">
        <f t="shared" si="9"/>
        <v>0</v>
      </c>
      <c r="J164" s="1">
        <f t="shared" si="10"/>
        <v>0</v>
      </c>
      <c r="L164" s="1">
        <f t="shared" si="11"/>
        <v>0</v>
      </c>
    </row>
    <row r="165" spans="6:12" ht="18" customHeight="1" x14ac:dyDescent="0.3">
      <c r="F165" s="1">
        <f t="shared" si="8"/>
        <v>0</v>
      </c>
      <c r="H165" s="1">
        <f t="shared" si="9"/>
        <v>0</v>
      </c>
      <c r="J165" s="1">
        <f t="shared" si="10"/>
        <v>0</v>
      </c>
      <c r="L165" s="1">
        <f t="shared" si="11"/>
        <v>0</v>
      </c>
    </row>
    <row r="166" spans="6:12" ht="18" customHeight="1" x14ac:dyDescent="0.3">
      <c r="F166" s="1">
        <f t="shared" si="8"/>
        <v>0</v>
      </c>
      <c r="H166" s="1">
        <f t="shared" si="9"/>
        <v>0</v>
      </c>
      <c r="J166" s="1">
        <f t="shared" si="10"/>
        <v>0</v>
      </c>
      <c r="L166" s="1">
        <f t="shared" si="11"/>
        <v>0</v>
      </c>
    </row>
    <row r="167" spans="6:12" ht="18" customHeight="1" x14ac:dyDescent="0.3">
      <c r="F167" s="1">
        <f t="shared" si="8"/>
        <v>0</v>
      </c>
      <c r="H167" s="1">
        <f t="shared" si="9"/>
        <v>0</v>
      </c>
      <c r="J167" s="1">
        <f t="shared" si="10"/>
        <v>0</v>
      </c>
      <c r="L167" s="1">
        <f t="shared" si="11"/>
        <v>0</v>
      </c>
    </row>
    <row r="168" spans="6:12" ht="18" customHeight="1" x14ac:dyDescent="0.3">
      <c r="F168" s="1">
        <f t="shared" si="8"/>
        <v>0</v>
      </c>
      <c r="H168" s="1">
        <f t="shared" si="9"/>
        <v>0</v>
      </c>
      <c r="J168" s="1">
        <f t="shared" si="10"/>
        <v>0</v>
      </c>
      <c r="L168" s="1">
        <f t="shared" si="11"/>
        <v>0</v>
      </c>
    </row>
    <row r="169" spans="6:12" ht="18" customHeight="1" x14ac:dyDescent="0.3">
      <c r="F169" s="1">
        <f t="shared" si="8"/>
        <v>0</v>
      </c>
      <c r="H169" s="1">
        <f t="shared" si="9"/>
        <v>0</v>
      </c>
      <c r="J169" s="1">
        <f t="shared" si="10"/>
        <v>0</v>
      </c>
      <c r="L169" s="1">
        <f t="shared" si="11"/>
        <v>0</v>
      </c>
    </row>
    <row r="170" spans="6:12" ht="18" customHeight="1" x14ac:dyDescent="0.3">
      <c r="F170" s="1">
        <f t="shared" si="8"/>
        <v>0</v>
      </c>
      <c r="H170" s="1">
        <f t="shared" si="9"/>
        <v>0</v>
      </c>
      <c r="J170" s="1">
        <f t="shared" si="10"/>
        <v>0</v>
      </c>
      <c r="L170" s="1">
        <f t="shared" si="11"/>
        <v>0</v>
      </c>
    </row>
    <row r="171" spans="6:12" ht="18" customHeight="1" x14ac:dyDescent="0.3">
      <c r="F171" s="1">
        <f t="shared" si="8"/>
        <v>0</v>
      </c>
      <c r="H171" s="1">
        <f t="shared" si="9"/>
        <v>0</v>
      </c>
      <c r="J171" s="1">
        <f t="shared" si="10"/>
        <v>0</v>
      </c>
      <c r="L171" s="1">
        <f t="shared" si="11"/>
        <v>0</v>
      </c>
    </row>
    <row r="172" spans="6:12" ht="18" customHeight="1" x14ac:dyDescent="0.3">
      <c r="F172" s="1">
        <f t="shared" si="8"/>
        <v>0</v>
      </c>
      <c r="H172" s="1">
        <f t="shared" si="9"/>
        <v>0</v>
      </c>
      <c r="J172" s="1">
        <f t="shared" si="10"/>
        <v>0</v>
      </c>
      <c r="L172" s="1">
        <f t="shared" si="11"/>
        <v>0</v>
      </c>
    </row>
    <row r="173" spans="6:12" ht="18" customHeight="1" x14ac:dyDescent="0.3">
      <c r="F173" s="1">
        <f t="shared" si="8"/>
        <v>0</v>
      </c>
      <c r="H173" s="1">
        <f t="shared" si="9"/>
        <v>0</v>
      </c>
      <c r="J173" s="1">
        <f t="shared" si="10"/>
        <v>0</v>
      </c>
      <c r="L173" s="1">
        <f t="shared" si="11"/>
        <v>0</v>
      </c>
    </row>
    <row r="174" spans="6:12" ht="18" customHeight="1" x14ac:dyDescent="0.3">
      <c r="F174" s="1">
        <f t="shared" si="8"/>
        <v>0</v>
      </c>
      <c r="H174" s="1">
        <f t="shared" si="9"/>
        <v>0</v>
      </c>
      <c r="J174" s="1">
        <f t="shared" si="10"/>
        <v>0</v>
      </c>
      <c r="L174" s="1">
        <f t="shared" si="11"/>
        <v>0</v>
      </c>
    </row>
    <row r="175" spans="6:12" ht="18" customHeight="1" x14ac:dyDescent="0.3">
      <c r="F175" s="1">
        <f t="shared" si="8"/>
        <v>0</v>
      </c>
      <c r="H175" s="1">
        <f t="shared" si="9"/>
        <v>0</v>
      </c>
      <c r="J175" s="1">
        <f t="shared" si="10"/>
        <v>0</v>
      </c>
      <c r="L175" s="1">
        <f t="shared" si="11"/>
        <v>0</v>
      </c>
    </row>
    <row r="176" spans="6:12" ht="18" customHeight="1" x14ac:dyDescent="0.3">
      <c r="F176" s="1">
        <f t="shared" si="8"/>
        <v>0</v>
      </c>
      <c r="H176" s="1">
        <f t="shared" si="9"/>
        <v>0</v>
      </c>
      <c r="J176" s="1">
        <f t="shared" si="10"/>
        <v>0</v>
      </c>
      <c r="L176" s="1">
        <f t="shared" si="11"/>
        <v>0</v>
      </c>
    </row>
    <row r="177" spans="6:12" ht="18" customHeight="1" x14ac:dyDescent="0.3">
      <c r="F177" s="1">
        <f t="shared" si="8"/>
        <v>0</v>
      </c>
      <c r="H177" s="1">
        <f t="shared" si="9"/>
        <v>0</v>
      </c>
      <c r="J177" s="1">
        <f t="shared" si="10"/>
        <v>0</v>
      </c>
      <c r="L177" s="1">
        <f t="shared" si="11"/>
        <v>0</v>
      </c>
    </row>
    <row r="178" spans="6:12" ht="18" customHeight="1" x14ac:dyDescent="0.3">
      <c r="F178" s="1">
        <f t="shared" si="8"/>
        <v>0</v>
      </c>
      <c r="H178" s="1">
        <f t="shared" si="9"/>
        <v>0</v>
      </c>
      <c r="J178" s="1">
        <f t="shared" si="10"/>
        <v>0</v>
      </c>
      <c r="L178" s="1">
        <f t="shared" si="11"/>
        <v>0</v>
      </c>
    </row>
    <row r="179" spans="6:12" ht="18" customHeight="1" x14ac:dyDescent="0.3">
      <c r="F179" s="1">
        <f t="shared" si="8"/>
        <v>0</v>
      </c>
      <c r="H179" s="1">
        <f t="shared" si="9"/>
        <v>0</v>
      </c>
      <c r="J179" s="1">
        <f t="shared" si="10"/>
        <v>0</v>
      </c>
      <c r="L179" s="1">
        <f t="shared" si="11"/>
        <v>0</v>
      </c>
    </row>
    <row r="180" spans="6:12" ht="18" customHeight="1" x14ac:dyDescent="0.3">
      <c r="F180" s="1">
        <f t="shared" si="8"/>
        <v>0</v>
      </c>
      <c r="H180" s="1">
        <f t="shared" si="9"/>
        <v>0</v>
      </c>
      <c r="J180" s="1">
        <f t="shared" si="10"/>
        <v>0</v>
      </c>
      <c r="L180" s="1">
        <f t="shared" si="11"/>
        <v>0</v>
      </c>
    </row>
    <row r="181" spans="6:12" ht="18" customHeight="1" x14ac:dyDescent="0.3">
      <c r="F181" s="1">
        <f t="shared" si="8"/>
        <v>0</v>
      </c>
      <c r="H181" s="1">
        <f t="shared" si="9"/>
        <v>0</v>
      </c>
      <c r="J181" s="1">
        <f t="shared" si="10"/>
        <v>0</v>
      </c>
      <c r="L181" s="1">
        <f t="shared" si="11"/>
        <v>0</v>
      </c>
    </row>
    <row r="182" spans="6:12" ht="18" customHeight="1" x14ac:dyDescent="0.3">
      <c r="F182" s="1">
        <f t="shared" si="8"/>
        <v>0</v>
      </c>
      <c r="H182" s="1">
        <f t="shared" si="9"/>
        <v>0</v>
      </c>
      <c r="J182" s="1">
        <f t="shared" si="10"/>
        <v>0</v>
      </c>
      <c r="L182" s="1">
        <f t="shared" si="11"/>
        <v>0</v>
      </c>
    </row>
    <row r="183" spans="6:12" ht="18" customHeight="1" x14ac:dyDescent="0.3">
      <c r="F183" s="1">
        <f t="shared" si="8"/>
        <v>0</v>
      </c>
      <c r="H183" s="1">
        <f t="shared" si="9"/>
        <v>0</v>
      </c>
      <c r="J183" s="1">
        <f t="shared" si="10"/>
        <v>0</v>
      </c>
      <c r="L183" s="1">
        <f t="shared" si="11"/>
        <v>0</v>
      </c>
    </row>
    <row r="184" spans="6:12" ht="18" customHeight="1" x14ac:dyDescent="0.3">
      <c r="F184" s="1">
        <f t="shared" si="8"/>
        <v>0</v>
      </c>
      <c r="H184" s="1">
        <f t="shared" si="9"/>
        <v>0</v>
      </c>
      <c r="J184" s="1">
        <f t="shared" si="10"/>
        <v>0</v>
      </c>
      <c r="L184" s="1">
        <f t="shared" si="11"/>
        <v>0</v>
      </c>
    </row>
    <row r="185" spans="6:12" ht="18" customHeight="1" x14ac:dyDescent="0.3">
      <c r="F185" s="1">
        <f t="shared" si="8"/>
        <v>0</v>
      </c>
      <c r="H185" s="1">
        <f t="shared" si="9"/>
        <v>0</v>
      </c>
      <c r="J185" s="1">
        <f t="shared" si="10"/>
        <v>0</v>
      </c>
      <c r="L185" s="1">
        <f t="shared" si="11"/>
        <v>0</v>
      </c>
    </row>
    <row r="186" spans="6:12" ht="18" customHeight="1" x14ac:dyDescent="0.3">
      <c r="F186" s="1">
        <f t="shared" si="8"/>
        <v>0</v>
      </c>
      <c r="H186" s="1">
        <f t="shared" si="9"/>
        <v>0</v>
      </c>
      <c r="J186" s="1">
        <f t="shared" si="10"/>
        <v>0</v>
      </c>
      <c r="L186" s="1">
        <f t="shared" si="11"/>
        <v>0</v>
      </c>
    </row>
    <row r="187" spans="6:12" ht="18" customHeight="1" x14ac:dyDescent="0.3">
      <c r="F187" s="1">
        <f t="shared" si="8"/>
        <v>0</v>
      </c>
      <c r="H187" s="1">
        <f t="shared" si="9"/>
        <v>0</v>
      </c>
      <c r="J187" s="1">
        <f t="shared" si="10"/>
        <v>0</v>
      </c>
      <c r="L187" s="1">
        <f t="shared" si="11"/>
        <v>0</v>
      </c>
    </row>
    <row r="188" spans="6:12" ht="18" customHeight="1" x14ac:dyDescent="0.3">
      <c r="F188" s="1">
        <f t="shared" si="8"/>
        <v>0</v>
      </c>
      <c r="H188" s="1">
        <f t="shared" si="9"/>
        <v>0</v>
      </c>
      <c r="J188" s="1">
        <f t="shared" si="10"/>
        <v>0</v>
      </c>
      <c r="L188" s="1">
        <f t="shared" si="11"/>
        <v>0</v>
      </c>
    </row>
    <row r="189" spans="6:12" ht="18" customHeight="1" x14ac:dyDescent="0.3">
      <c r="F189" s="1">
        <f t="shared" si="8"/>
        <v>0</v>
      </c>
      <c r="H189" s="1">
        <f t="shared" si="9"/>
        <v>0</v>
      </c>
      <c r="J189" s="1">
        <f t="shared" si="10"/>
        <v>0</v>
      </c>
      <c r="L189" s="1">
        <f t="shared" si="11"/>
        <v>0</v>
      </c>
    </row>
    <row r="190" spans="6:12" ht="18" customHeight="1" x14ac:dyDescent="0.3">
      <c r="F190" s="1">
        <f t="shared" si="8"/>
        <v>0</v>
      </c>
      <c r="H190" s="1">
        <f t="shared" si="9"/>
        <v>0</v>
      </c>
      <c r="J190" s="1">
        <f t="shared" si="10"/>
        <v>0</v>
      </c>
      <c r="L190" s="1">
        <f t="shared" si="11"/>
        <v>0</v>
      </c>
    </row>
    <row r="191" spans="6:12" ht="18" customHeight="1" x14ac:dyDescent="0.3">
      <c r="F191" s="1">
        <f t="shared" si="8"/>
        <v>0</v>
      </c>
      <c r="H191" s="1">
        <f t="shared" si="9"/>
        <v>0</v>
      </c>
      <c r="J191" s="1">
        <f t="shared" si="10"/>
        <v>0</v>
      </c>
      <c r="L191" s="1">
        <f t="shared" si="11"/>
        <v>0</v>
      </c>
    </row>
    <row r="192" spans="6:12" ht="18" customHeight="1" x14ac:dyDescent="0.3">
      <c r="F192" s="1">
        <f t="shared" si="8"/>
        <v>0</v>
      </c>
      <c r="H192" s="1">
        <f t="shared" si="9"/>
        <v>0</v>
      </c>
      <c r="J192" s="1">
        <f t="shared" si="10"/>
        <v>0</v>
      </c>
      <c r="L192" s="1">
        <f t="shared" si="11"/>
        <v>0</v>
      </c>
    </row>
    <row r="193" spans="6:12" ht="18" customHeight="1" x14ac:dyDescent="0.3">
      <c r="F193" s="1">
        <f t="shared" si="8"/>
        <v>0</v>
      </c>
      <c r="H193" s="1">
        <f t="shared" si="9"/>
        <v>0</v>
      </c>
      <c r="J193" s="1">
        <f t="shared" si="10"/>
        <v>0</v>
      </c>
      <c r="L193" s="1">
        <f t="shared" si="11"/>
        <v>0</v>
      </c>
    </row>
    <row r="194" spans="6:12" ht="18" customHeight="1" x14ac:dyDescent="0.3">
      <c r="F194" s="1">
        <f t="shared" si="8"/>
        <v>0</v>
      </c>
      <c r="H194" s="1">
        <f t="shared" si="9"/>
        <v>0</v>
      </c>
      <c r="J194" s="1">
        <f t="shared" si="10"/>
        <v>0</v>
      </c>
      <c r="L194" s="1">
        <f t="shared" si="11"/>
        <v>0</v>
      </c>
    </row>
    <row r="195" spans="6:12" ht="18" customHeight="1" x14ac:dyDescent="0.3">
      <c r="F195" s="1">
        <f t="shared" si="8"/>
        <v>0</v>
      </c>
      <c r="H195" s="1">
        <f t="shared" si="9"/>
        <v>0</v>
      </c>
      <c r="J195" s="1">
        <f t="shared" si="10"/>
        <v>0</v>
      </c>
      <c r="L195" s="1">
        <f t="shared" si="11"/>
        <v>0</v>
      </c>
    </row>
    <row r="196" spans="6:12" ht="18" customHeight="1" x14ac:dyDescent="0.3">
      <c r="F196" s="1">
        <f t="shared" si="8"/>
        <v>0</v>
      </c>
      <c r="H196" s="1">
        <f t="shared" si="9"/>
        <v>0</v>
      </c>
      <c r="J196" s="1">
        <f t="shared" si="10"/>
        <v>0</v>
      </c>
      <c r="L196" s="1">
        <f t="shared" si="11"/>
        <v>0</v>
      </c>
    </row>
    <row r="197" spans="6:12" ht="18" customHeight="1" x14ac:dyDescent="0.3">
      <c r="F197" s="1">
        <f t="shared" ref="F197:F260" si="12">SUM(H197,J197,L197)</f>
        <v>0</v>
      </c>
      <c r="H197" s="1">
        <f t="shared" ref="H197:H260" si="13">ROUNDUP(D197*G197,0)</f>
        <v>0</v>
      </c>
      <c r="J197" s="1">
        <f t="shared" ref="J197:J260" si="14">ROUNDUP(D197*I197,0)</f>
        <v>0</v>
      </c>
      <c r="L197" s="1">
        <f t="shared" ref="L197:L260" si="15">ROUNDUP(D197*K197,0)</f>
        <v>0</v>
      </c>
    </row>
    <row r="198" spans="6:12" ht="18" customHeight="1" x14ac:dyDescent="0.3">
      <c r="F198" s="1">
        <f t="shared" si="12"/>
        <v>0</v>
      </c>
      <c r="H198" s="1">
        <f t="shared" si="13"/>
        <v>0</v>
      </c>
      <c r="J198" s="1">
        <f t="shared" si="14"/>
        <v>0</v>
      </c>
      <c r="L198" s="1">
        <f t="shared" si="15"/>
        <v>0</v>
      </c>
    </row>
    <row r="199" spans="6:12" ht="18" customHeight="1" x14ac:dyDescent="0.3">
      <c r="F199" s="1">
        <f t="shared" si="12"/>
        <v>0</v>
      </c>
      <c r="H199" s="1">
        <f t="shared" si="13"/>
        <v>0</v>
      </c>
      <c r="J199" s="1">
        <f t="shared" si="14"/>
        <v>0</v>
      </c>
      <c r="L199" s="1">
        <f t="shared" si="15"/>
        <v>0</v>
      </c>
    </row>
    <row r="200" spans="6:12" ht="18" customHeight="1" x14ac:dyDescent="0.3">
      <c r="F200" s="1">
        <f t="shared" si="12"/>
        <v>0</v>
      </c>
      <c r="H200" s="1">
        <f t="shared" si="13"/>
        <v>0</v>
      </c>
      <c r="J200" s="1">
        <f t="shared" si="14"/>
        <v>0</v>
      </c>
      <c r="L200" s="1">
        <f t="shared" si="15"/>
        <v>0</v>
      </c>
    </row>
    <row r="201" spans="6:12" ht="18" customHeight="1" x14ac:dyDescent="0.3">
      <c r="F201" s="1">
        <f t="shared" si="12"/>
        <v>0</v>
      </c>
      <c r="H201" s="1">
        <f t="shared" si="13"/>
        <v>0</v>
      </c>
      <c r="J201" s="1">
        <f t="shared" si="14"/>
        <v>0</v>
      </c>
      <c r="L201" s="1">
        <f t="shared" si="15"/>
        <v>0</v>
      </c>
    </row>
    <row r="202" spans="6:12" ht="18" customHeight="1" x14ac:dyDescent="0.3">
      <c r="F202" s="1">
        <f t="shared" si="12"/>
        <v>0</v>
      </c>
      <c r="H202" s="1">
        <f t="shared" si="13"/>
        <v>0</v>
      </c>
      <c r="J202" s="1">
        <f t="shared" si="14"/>
        <v>0</v>
      </c>
      <c r="L202" s="1">
        <f t="shared" si="15"/>
        <v>0</v>
      </c>
    </row>
    <row r="203" spans="6:12" ht="18" customHeight="1" x14ac:dyDescent="0.3">
      <c r="F203" s="1">
        <f t="shared" si="12"/>
        <v>0</v>
      </c>
      <c r="H203" s="1">
        <f t="shared" si="13"/>
        <v>0</v>
      </c>
      <c r="J203" s="1">
        <f t="shared" si="14"/>
        <v>0</v>
      </c>
      <c r="L203" s="1">
        <f t="shared" si="15"/>
        <v>0</v>
      </c>
    </row>
    <row r="204" spans="6:12" ht="18" customHeight="1" x14ac:dyDescent="0.3">
      <c r="F204" s="1">
        <f t="shared" si="12"/>
        <v>0</v>
      </c>
      <c r="H204" s="1">
        <f t="shared" si="13"/>
        <v>0</v>
      </c>
      <c r="J204" s="1">
        <f t="shared" si="14"/>
        <v>0</v>
      </c>
      <c r="L204" s="1">
        <f t="shared" si="15"/>
        <v>0</v>
      </c>
    </row>
    <row r="205" spans="6:12" ht="18" customHeight="1" x14ac:dyDescent="0.3">
      <c r="F205" s="1">
        <f t="shared" si="12"/>
        <v>0</v>
      </c>
      <c r="H205" s="1">
        <f t="shared" si="13"/>
        <v>0</v>
      </c>
      <c r="J205" s="1">
        <f t="shared" si="14"/>
        <v>0</v>
      </c>
      <c r="L205" s="1">
        <f t="shared" si="15"/>
        <v>0</v>
      </c>
    </row>
    <row r="206" spans="6:12" ht="18" customHeight="1" x14ac:dyDescent="0.3">
      <c r="F206" s="1">
        <f t="shared" si="12"/>
        <v>0</v>
      </c>
      <c r="H206" s="1">
        <f t="shared" si="13"/>
        <v>0</v>
      </c>
      <c r="J206" s="1">
        <f t="shared" si="14"/>
        <v>0</v>
      </c>
      <c r="L206" s="1">
        <f t="shared" si="15"/>
        <v>0</v>
      </c>
    </row>
    <row r="207" spans="6:12" ht="18" customHeight="1" x14ac:dyDescent="0.3">
      <c r="F207" s="1">
        <f t="shared" si="12"/>
        <v>0</v>
      </c>
      <c r="H207" s="1">
        <f t="shared" si="13"/>
        <v>0</v>
      </c>
      <c r="J207" s="1">
        <f t="shared" si="14"/>
        <v>0</v>
      </c>
      <c r="L207" s="1">
        <f t="shared" si="15"/>
        <v>0</v>
      </c>
    </row>
    <row r="208" spans="6:12" ht="18" customHeight="1" x14ac:dyDescent="0.3">
      <c r="F208" s="1">
        <f t="shared" si="12"/>
        <v>0</v>
      </c>
      <c r="H208" s="1">
        <f t="shared" si="13"/>
        <v>0</v>
      </c>
      <c r="J208" s="1">
        <f t="shared" si="14"/>
        <v>0</v>
      </c>
      <c r="L208" s="1">
        <f t="shared" si="15"/>
        <v>0</v>
      </c>
    </row>
    <row r="209" spans="6:12" ht="18" customHeight="1" x14ac:dyDescent="0.3">
      <c r="F209" s="1">
        <f t="shared" si="12"/>
        <v>0</v>
      </c>
      <c r="H209" s="1">
        <f t="shared" si="13"/>
        <v>0</v>
      </c>
      <c r="J209" s="1">
        <f t="shared" si="14"/>
        <v>0</v>
      </c>
      <c r="L209" s="1">
        <f t="shared" si="15"/>
        <v>0</v>
      </c>
    </row>
    <row r="210" spans="6:12" ht="18" customHeight="1" x14ac:dyDescent="0.3">
      <c r="F210" s="1">
        <f t="shared" si="12"/>
        <v>0</v>
      </c>
      <c r="H210" s="1">
        <f t="shared" si="13"/>
        <v>0</v>
      </c>
      <c r="J210" s="1">
        <f t="shared" si="14"/>
        <v>0</v>
      </c>
      <c r="L210" s="1">
        <f t="shared" si="15"/>
        <v>0</v>
      </c>
    </row>
    <row r="211" spans="6:12" ht="18" customHeight="1" x14ac:dyDescent="0.3">
      <c r="F211" s="1">
        <f t="shared" si="12"/>
        <v>0</v>
      </c>
      <c r="H211" s="1">
        <f t="shared" si="13"/>
        <v>0</v>
      </c>
      <c r="J211" s="1">
        <f t="shared" si="14"/>
        <v>0</v>
      </c>
      <c r="L211" s="1">
        <f t="shared" si="15"/>
        <v>0</v>
      </c>
    </row>
    <row r="212" spans="6:12" ht="18" customHeight="1" x14ac:dyDescent="0.3">
      <c r="F212" s="1">
        <f t="shared" si="12"/>
        <v>0</v>
      </c>
      <c r="H212" s="1">
        <f t="shared" si="13"/>
        <v>0</v>
      </c>
      <c r="J212" s="1">
        <f t="shared" si="14"/>
        <v>0</v>
      </c>
      <c r="L212" s="1">
        <f t="shared" si="15"/>
        <v>0</v>
      </c>
    </row>
    <row r="213" spans="6:12" ht="18" customHeight="1" x14ac:dyDescent="0.3">
      <c r="F213" s="1">
        <f t="shared" si="12"/>
        <v>0</v>
      </c>
      <c r="H213" s="1">
        <f t="shared" si="13"/>
        <v>0</v>
      </c>
      <c r="J213" s="1">
        <f t="shared" si="14"/>
        <v>0</v>
      </c>
      <c r="L213" s="1">
        <f t="shared" si="15"/>
        <v>0</v>
      </c>
    </row>
    <row r="214" spans="6:12" ht="18" customHeight="1" x14ac:dyDescent="0.3">
      <c r="F214" s="1">
        <f t="shared" si="12"/>
        <v>0</v>
      </c>
      <c r="H214" s="1">
        <f t="shared" si="13"/>
        <v>0</v>
      </c>
      <c r="J214" s="1">
        <f t="shared" si="14"/>
        <v>0</v>
      </c>
      <c r="L214" s="1">
        <f t="shared" si="15"/>
        <v>0</v>
      </c>
    </row>
    <row r="215" spans="6:12" ht="18" customHeight="1" x14ac:dyDescent="0.3">
      <c r="F215" s="1">
        <f t="shared" si="12"/>
        <v>0</v>
      </c>
      <c r="H215" s="1">
        <f t="shared" si="13"/>
        <v>0</v>
      </c>
      <c r="J215" s="1">
        <f t="shared" si="14"/>
        <v>0</v>
      </c>
      <c r="L215" s="1">
        <f t="shared" si="15"/>
        <v>0</v>
      </c>
    </row>
    <row r="216" spans="6:12" ht="18" customHeight="1" x14ac:dyDescent="0.3">
      <c r="F216" s="1">
        <f t="shared" si="12"/>
        <v>0</v>
      </c>
      <c r="H216" s="1">
        <f t="shared" si="13"/>
        <v>0</v>
      </c>
      <c r="J216" s="1">
        <f t="shared" si="14"/>
        <v>0</v>
      </c>
      <c r="L216" s="1">
        <f t="shared" si="15"/>
        <v>0</v>
      </c>
    </row>
    <row r="217" spans="6:12" ht="18" customHeight="1" x14ac:dyDescent="0.3">
      <c r="F217" s="1">
        <f t="shared" si="12"/>
        <v>0</v>
      </c>
      <c r="H217" s="1">
        <f t="shared" si="13"/>
        <v>0</v>
      </c>
      <c r="J217" s="1">
        <f t="shared" si="14"/>
        <v>0</v>
      </c>
      <c r="L217" s="1">
        <f t="shared" si="15"/>
        <v>0</v>
      </c>
    </row>
    <row r="218" spans="6:12" ht="18" customHeight="1" x14ac:dyDescent="0.3">
      <c r="F218" s="1">
        <f t="shared" si="12"/>
        <v>0</v>
      </c>
      <c r="H218" s="1">
        <f t="shared" si="13"/>
        <v>0</v>
      </c>
      <c r="J218" s="1">
        <f t="shared" si="14"/>
        <v>0</v>
      </c>
      <c r="L218" s="1">
        <f t="shared" si="15"/>
        <v>0</v>
      </c>
    </row>
    <row r="219" spans="6:12" ht="18" customHeight="1" x14ac:dyDescent="0.3">
      <c r="F219" s="1">
        <f t="shared" si="12"/>
        <v>0</v>
      </c>
      <c r="H219" s="1">
        <f t="shared" si="13"/>
        <v>0</v>
      </c>
      <c r="J219" s="1">
        <f t="shared" si="14"/>
        <v>0</v>
      </c>
      <c r="L219" s="1">
        <f t="shared" si="15"/>
        <v>0</v>
      </c>
    </row>
    <row r="220" spans="6:12" ht="18" customHeight="1" x14ac:dyDescent="0.3">
      <c r="F220" s="1">
        <f t="shared" si="12"/>
        <v>0</v>
      </c>
      <c r="H220" s="1">
        <f t="shared" si="13"/>
        <v>0</v>
      </c>
      <c r="J220" s="1">
        <f t="shared" si="14"/>
        <v>0</v>
      </c>
      <c r="L220" s="1">
        <f t="shared" si="15"/>
        <v>0</v>
      </c>
    </row>
    <row r="221" spans="6:12" ht="18" customHeight="1" x14ac:dyDescent="0.3">
      <c r="F221" s="1">
        <f t="shared" si="12"/>
        <v>0</v>
      </c>
      <c r="H221" s="1">
        <f t="shared" si="13"/>
        <v>0</v>
      </c>
      <c r="J221" s="1">
        <f t="shared" si="14"/>
        <v>0</v>
      </c>
      <c r="L221" s="1">
        <f t="shared" si="15"/>
        <v>0</v>
      </c>
    </row>
    <row r="222" spans="6:12" ht="18" customHeight="1" x14ac:dyDescent="0.3">
      <c r="F222" s="1">
        <f t="shared" si="12"/>
        <v>0</v>
      </c>
      <c r="H222" s="1">
        <f t="shared" si="13"/>
        <v>0</v>
      </c>
      <c r="J222" s="1">
        <f t="shared" si="14"/>
        <v>0</v>
      </c>
      <c r="L222" s="1">
        <f t="shared" si="15"/>
        <v>0</v>
      </c>
    </row>
    <row r="223" spans="6:12" ht="18" customHeight="1" x14ac:dyDescent="0.3">
      <c r="F223" s="1">
        <f t="shared" si="12"/>
        <v>0</v>
      </c>
      <c r="H223" s="1">
        <f t="shared" si="13"/>
        <v>0</v>
      </c>
      <c r="J223" s="1">
        <f t="shared" si="14"/>
        <v>0</v>
      </c>
      <c r="L223" s="1">
        <f t="shared" si="15"/>
        <v>0</v>
      </c>
    </row>
    <row r="224" spans="6:12" ht="18" customHeight="1" x14ac:dyDescent="0.3">
      <c r="F224" s="1">
        <f t="shared" si="12"/>
        <v>0</v>
      </c>
      <c r="H224" s="1">
        <f t="shared" si="13"/>
        <v>0</v>
      </c>
      <c r="J224" s="1">
        <f t="shared" si="14"/>
        <v>0</v>
      </c>
      <c r="L224" s="1">
        <f t="shared" si="15"/>
        <v>0</v>
      </c>
    </row>
    <row r="225" spans="6:12" ht="18" customHeight="1" x14ac:dyDescent="0.3">
      <c r="F225" s="1">
        <f t="shared" si="12"/>
        <v>0</v>
      </c>
      <c r="H225" s="1">
        <f t="shared" si="13"/>
        <v>0</v>
      </c>
      <c r="J225" s="1">
        <f t="shared" si="14"/>
        <v>0</v>
      </c>
      <c r="L225" s="1">
        <f t="shared" si="15"/>
        <v>0</v>
      </c>
    </row>
    <row r="226" spans="6:12" ht="18" customHeight="1" x14ac:dyDescent="0.3">
      <c r="F226" s="1">
        <f t="shared" si="12"/>
        <v>0</v>
      </c>
      <c r="H226" s="1">
        <f t="shared" si="13"/>
        <v>0</v>
      </c>
      <c r="J226" s="1">
        <f t="shared" si="14"/>
        <v>0</v>
      </c>
      <c r="L226" s="1">
        <f t="shared" si="15"/>
        <v>0</v>
      </c>
    </row>
    <row r="227" spans="6:12" ht="18" customHeight="1" x14ac:dyDescent="0.3">
      <c r="F227" s="1">
        <f t="shared" si="12"/>
        <v>0</v>
      </c>
      <c r="H227" s="1">
        <f t="shared" si="13"/>
        <v>0</v>
      </c>
      <c r="J227" s="1">
        <f t="shared" si="14"/>
        <v>0</v>
      </c>
      <c r="L227" s="1">
        <f t="shared" si="15"/>
        <v>0</v>
      </c>
    </row>
    <row r="228" spans="6:12" ht="18" customHeight="1" x14ac:dyDescent="0.3">
      <c r="F228" s="1">
        <f t="shared" si="12"/>
        <v>0</v>
      </c>
      <c r="H228" s="1">
        <f t="shared" si="13"/>
        <v>0</v>
      </c>
      <c r="J228" s="1">
        <f t="shared" si="14"/>
        <v>0</v>
      </c>
      <c r="L228" s="1">
        <f t="shared" si="15"/>
        <v>0</v>
      </c>
    </row>
    <row r="229" spans="6:12" ht="18" customHeight="1" x14ac:dyDescent="0.3">
      <c r="F229" s="1">
        <f t="shared" si="12"/>
        <v>0</v>
      </c>
      <c r="H229" s="1">
        <f t="shared" si="13"/>
        <v>0</v>
      </c>
      <c r="J229" s="1">
        <f t="shared" si="14"/>
        <v>0</v>
      </c>
      <c r="L229" s="1">
        <f t="shared" si="15"/>
        <v>0</v>
      </c>
    </row>
    <row r="230" spans="6:12" ht="18" customHeight="1" x14ac:dyDescent="0.3">
      <c r="F230" s="1">
        <f t="shared" si="12"/>
        <v>0</v>
      </c>
      <c r="H230" s="1">
        <f t="shared" si="13"/>
        <v>0</v>
      </c>
      <c r="J230" s="1">
        <f t="shared" si="14"/>
        <v>0</v>
      </c>
      <c r="L230" s="1">
        <f t="shared" si="15"/>
        <v>0</v>
      </c>
    </row>
    <row r="231" spans="6:12" ht="18" customHeight="1" x14ac:dyDescent="0.3">
      <c r="F231" s="1">
        <f t="shared" si="12"/>
        <v>0</v>
      </c>
      <c r="H231" s="1">
        <f t="shared" si="13"/>
        <v>0</v>
      </c>
      <c r="J231" s="1">
        <f t="shared" si="14"/>
        <v>0</v>
      </c>
      <c r="L231" s="1">
        <f t="shared" si="15"/>
        <v>0</v>
      </c>
    </row>
    <row r="232" spans="6:12" ht="18" customHeight="1" x14ac:dyDescent="0.3">
      <c r="F232" s="1">
        <f t="shared" si="12"/>
        <v>0</v>
      </c>
      <c r="H232" s="1">
        <f t="shared" si="13"/>
        <v>0</v>
      </c>
      <c r="J232" s="1">
        <f t="shared" si="14"/>
        <v>0</v>
      </c>
      <c r="L232" s="1">
        <f t="shared" si="15"/>
        <v>0</v>
      </c>
    </row>
    <row r="233" spans="6:12" ht="18" customHeight="1" x14ac:dyDescent="0.3">
      <c r="F233" s="1">
        <f t="shared" si="12"/>
        <v>0</v>
      </c>
      <c r="H233" s="1">
        <f t="shared" si="13"/>
        <v>0</v>
      </c>
      <c r="J233" s="1">
        <f t="shared" si="14"/>
        <v>0</v>
      </c>
      <c r="L233" s="1">
        <f t="shared" si="15"/>
        <v>0</v>
      </c>
    </row>
    <row r="234" spans="6:12" ht="18" customHeight="1" x14ac:dyDescent="0.3">
      <c r="F234" s="1">
        <f t="shared" si="12"/>
        <v>0</v>
      </c>
      <c r="H234" s="1">
        <f t="shared" si="13"/>
        <v>0</v>
      </c>
      <c r="J234" s="1">
        <f t="shared" si="14"/>
        <v>0</v>
      </c>
      <c r="L234" s="1">
        <f t="shared" si="15"/>
        <v>0</v>
      </c>
    </row>
    <row r="235" spans="6:12" ht="18" customHeight="1" x14ac:dyDescent="0.3">
      <c r="F235" s="1">
        <f t="shared" si="12"/>
        <v>0</v>
      </c>
      <c r="H235" s="1">
        <f t="shared" si="13"/>
        <v>0</v>
      </c>
      <c r="J235" s="1">
        <f t="shared" si="14"/>
        <v>0</v>
      </c>
      <c r="L235" s="1">
        <f t="shared" si="15"/>
        <v>0</v>
      </c>
    </row>
    <row r="236" spans="6:12" ht="18" customHeight="1" x14ac:dyDescent="0.3">
      <c r="F236" s="1">
        <f t="shared" si="12"/>
        <v>0</v>
      </c>
      <c r="H236" s="1">
        <f t="shared" si="13"/>
        <v>0</v>
      </c>
      <c r="J236" s="1">
        <f t="shared" si="14"/>
        <v>0</v>
      </c>
      <c r="L236" s="1">
        <f t="shared" si="15"/>
        <v>0</v>
      </c>
    </row>
    <row r="237" spans="6:12" ht="18" customHeight="1" x14ac:dyDescent="0.3">
      <c r="F237" s="1">
        <f t="shared" si="12"/>
        <v>0</v>
      </c>
      <c r="H237" s="1">
        <f t="shared" si="13"/>
        <v>0</v>
      </c>
      <c r="J237" s="1">
        <f t="shared" si="14"/>
        <v>0</v>
      </c>
      <c r="L237" s="1">
        <f t="shared" si="15"/>
        <v>0</v>
      </c>
    </row>
    <row r="238" spans="6:12" ht="18" customHeight="1" x14ac:dyDescent="0.3">
      <c r="F238" s="1">
        <f t="shared" si="12"/>
        <v>0</v>
      </c>
      <c r="H238" s="1">
        <f t="shared" si="13"/>
        <v>0</v>
      </c>
      <c r="J238" s="1">
        <f t="shared" si="14"/>
        <v>0</v>
      </c>
      <c r="L238" s="1">
        <f t="shared" si="15"/>
        <v>0</v>
      </c>
    </row>
    <row r="239" spans="6:12" ht="18" customHeight="1" x14ac:dyDescent="0.3">
      <c r="F239" s="1">
        <f t="shared" si="12"/>
        <v>0</v>
      </c>
      <c r="H239" s="1">
        <f t="shared" si="13"/>
        <v>0</v>
      </c>
      <c r="J239" s="1">
        <f t="shared" si="14"/>
        <v>0</v>
      </c>
      <c r="L239" s="1">
        <f t="shared" si="15"/>
        <v>0</v>
      </c>
    </row>
    <row r="240" spans="6:12" ht="18" customHeight="1" x14ac:dyDescent="0.3">
      <c r="F240" s="1">
        <f t="shared" si="12"/>
        <v>0</v>
      </c>
      <c r="H240" s="1">
        <f t="shared" si="13"/>
        <v>0</v>
      </c>
      <c r="J240" s="1">
        <f t="shared" si="14"/>
        <v>0</v>
      </c>
      <c r="L240" s="1">
        <f t="shared" si="15"/>
        <v>0</v>
      </c>
    </row>
    <row r="241" spans="6:12" ht="18" customHeight="1" x14ac:dyDescent="0.3">
      <c r="F241" s="1">
        <f t="shared" si="12"/>
        <v>0</v>
      </c>
      <c r="H241" s="1">
        <f t="shared" si="13"/>
        <v>0</v>
      </c>
      <c r="J241" s="1">
        <f t="shared" si="14"/>
        <v>0</v>
      </c>
      <c r="L241" s="1">
        <f t="shared" si="15"/>
        <v>0</v>
      </c>
    </row>
    <row r="242" spans="6:12" ht="18" customHeight="1" x14ac:dyDescent="0.3">
      <c r="F242" s="1">
        <f t="shared" si="12"/>
        <v>0</v>
      </c>
      <c r="H242" s="1">
        <f t="shared" si="13"/>
        <v>0</v>
      </c>
      <c r="J242" s="1">
        <f t="shared" si="14"/>
        <v>0</v>
      </c>
      <c r="L242" s="1">
        <f t="shared" si="15"/>
        <v>0</v>
      </c>
    </row>
    <row r="243" spans="6:12" ht="18" customHeight="1" x14ac:dyDescent="0.3">
      <c r="F243" s="1">
        <f t="shared" si="12"/>
        <v>0</v>
      </c>
      <c r="H243" s="1">
        <f t="shared" si="13"/>
        <v>0</v>
      </c>
      <c r="J243" s="1">
        <f t="shared" si="14"/>
        <v>0</v>
      </c>
      <c r="L243" s="1">
        <f t="shared" si="15"/>
        <v>0</v>
      </c>
    </row>
    <row r="244" spans="6:12" ht="18" customHeight="1" x14ac:dyDescent="0.3">
      <c r="F244" s="1">
        <f t="shared" si="12"/>
        <v>0</v>
      </c>
      <c r="H244" s="1">
        <f t="shared" si="13"/>
        <v>0</v>
      </c>
      <c r="J244" s="1">
        <f t="shared" si="14"/>
        <v>0</v>
      </c>
      <c r="L244" s="1">
        <f t="shared" si="15"/>
        <v>0</v>
      </c>
    </row>
    <row r="245" spans="6:12" ht="18" customHeight="1" x14ac:dyDescent="0.3">
      <c r="F245" s="1">
        <f t="shared" si="12"/>
        <v>0</v>
      </c>
      <c r="H245" s="1">
        <f t="shared" si="13"/>
        <v>0</v>
      </c>
      <c r="J245" s="1">
        <f t="shared" si="14"/>
        <v>0</v>
      </c>
      <c r="L245" s="1">
        <f t="shared" si="15"/>
        <v>0</v>
      </c>
    </row>
    <row r="246" spans="6:12" ht="18" customHeight="1" x14ac:dyDescent="0.3">
      <c r="F246" s="1">
        <f t="shared" si="12"/>
        <v>0</v>
      </c>
      <c r="H246" s="1">
        <f t="shared" si="13"/>
        <v>0</v>
      </c>
      <c r="J246" s="1">
        <f t="shared" si="14"/>
        <v>0</v>
      </c>
      <c r="L246" s="1">
        <f t="shared" si="15"/>
        <v>0</v>
      </c>
    </row>
    <row r="247" spans="6:12" ht="18" customHeight="1" x14ac:dyDescent="0.3">
      <c r="F247" s="1">
        <f t="shared" si="12"/>
        <v>0</v>
      </c>
      <c r="H247" s="1">
        <f t="shared" si="13"/>
        <v>0</v>
      </c>
      <c r="J247" s="1">
        <f t="shared" si="14"/>
        <v>0</v>
      </c>
      <c r="L247" s="1">
        <f t="shared" si="15"/>
        <v>0</v>
      </c>
    </row>
    <row r="248" spans="6:12" ht="18" customHeight="1" x14ac:dyDescent="0.3">
      <c r="F248" s="1">
        <f t="shared" si="12"/>
        <v>0</v>
      </c>
      <c r="H248" s="1">
        <f t="shared" si="13"/>
        <v>0</v>
      </c>
      <c r="J248" s="1">
        <f t="shared" si="14"/>
        <v>0</v>
      </c>
      <c r="L248" s="1">
        <f t="shared" si="15"/>
        <v>0</v>
      </c>
    </row>
    <row r="249" spans="6:12" ht="18" customHeight="1" x14ac:dyDescent="0.3">
      <c r="F249" s="1">
        <f t="shared" si="12"/>
        <v>0</v>
      </c>
      <c r="H249" s="1">
        <f t="shared" si="13"/>
        <v>0</v>
      </c>
      <c r="J249" s="1">
        <f t="shared" si="14"/>
        <v>0</v>
      </c>
      <c r="L249" s="1">
        <f t="shared" si="15"/>
        <v>0</v>
      </c>
    </row>
    <row r="250" spans="6:12" ht="18" customHeight="1" x14ac:dyDescent="0.3">
      <c r="F250" s="1">
        <f t="shared" si="12"/>
        <v>0</v>
      </c>
      <c r="H250" s="1">
        <f t="shared" si="13"/>
        <v>0</v>
      </c>
      <c r="J250" s="1">
        <f t="shared" si="14"/>
        <v>0</v>
      </c>
      <c r="L250" s="1">
        <f t="shared" si="15"/>
        <v>0</v>
      </c>
    </row>
    <row r="251" spans="6:12" ht="18" customHeight="1" x14ac:dyDescent="0.3">
      <c r="F251" s="1">
        <f t="shared" si="12"/>
        <v>0</v>
      </c>
      <c r="H251" s="1">
        <f t="shared" si="13"/>
        <v>0</v>
      </c>
      <c r="J251" s="1">
        <f t="shared" si="14"/>
        <v>0</v>
      </c>
      <c r="L251" s="1">
        <f t="shared" si="15"/>
        <v>0</v>
      </c>
    </row>
    <row r="252" spans="6:12" ht="18" customHeight="1" x14ac:dyDescent="0.3">
      <c r="F252" s="1">
        <f t="shared" si="12"/>
        <v>0</v>
      </c>
      <c r="H252" s="1">
        <f t="shared" si="13"/>
        <v>0</v>
      </c>
      <c r="J252" s="1">
        <f t="shared" si="14"/>
        <v>0</v>
      </c>
      <c r="L252" s="1">
        <f t="shared" si="15"/>
        <v>0</v>
      </c>
    </row>
    <row r="253" spans="6:12" ht="18" customHeight="1" x14ac:dyDescent="0.3">
      <c r="F253" s="1">
        <f t="shared" si="12"/>
        <v>0</v>
      </c>
      <c r="H253" s="1">
        <f t="shared" si="13"/>
        <v>0</v>
      </c>
      <c r="J253" s="1">
        <f t="shared" si="14"/>
        <v>0</v>
      </c>
      <c r="L253" s="1">
        <f t="shared" si="15"/>
        <v>0</v>
      </c>
    </row>
    <row r="254" spans="6:12" ht="18" customHeight="1" x14ac:dyDescent="0.3">
      <c r="F254" s="1">
        <f t="shared" si="12"/>
        <v>0</v>
      </c>
      <c r="H254" s="1">
        <f t="shared" si="13"/>
        <v>0</v>
      </c>
      <c r="J254" s="1">
        <f t="shared" si="14"/>
        <v>0</v>
      </c>
      <c r="L254" s="1">
        <f t="shared" si="15"/>
        <v>0</v>
      </c>
    </row>
    <row r="255" spans="6:12" ht="18" customHeight="1" x14ac:dyDescent="0.3">
      <c r="F255" s="1">
        <f t="shared" si="12"/>
        <v>0</v>
      </c>
      <c r="H255" s="1">
        <f t="shared" si="13"/>
        <v>0</v>
      </c>
      <c r="J255" s="1">
        <f t="shared" si="14"/>
        <v>0</v>
      </c>
      <c r="L255" s="1">
        <f t="shared" si="15"/>
        <v>0</v>
      </c>
    </row>
    <row r="256" spans="6:12" ht="18" customHeight="1" x14ac:dyDescent="0.3">
      <c r="F256" s="1">
        <f t="shared" si="12"/>
        <v>0</v>
      </c>
      <c r="H256" s="1">
        <f t="shared" si="13"/>
        <v>0</v>
      </c>
      <c r="J256" s="1">
        <f t="shared" si="14"/>
        <v>0</v>
      </c>
      <c r="L256" s="1">
        <f t="shared" si="15"/>
        <v>0</v>
      </c>
    </row>
    <row r="257" spans="6:12" ht="18" customHeight="1" x14ac:dyDescent="0.3">
      <c r="F257" s="1">
        <f t="shared" si="12"/>
        <v>0</v>
      </c>
      <c r="H257" s="1">
        <f t="shared" si="13"/>
        <v>0</v>
      </c>
      <c r="J257" s="1">
        <f t="shared" si="14"/>
        <v>0</v>
      </c>
      <c r="L257" s="1">
        <f t="shared" si="15"/>
        <v>0</v>
      </c>
    </row>
    <row r="258" spans="6:12" ht="18" customHeight="1" x14ac:dyDescent="0.3">
      <c r="F258" s="1">
        <f t="shared" si="12"/>
        <v>0</v>
      </c>
      <c r="H258" s="1">
        <f t="shared" si="13"/>
        <v>0</v>
      </c>
      <c r="J258" s="1">
        <f t="shared" si="14"/>
        <v>0</v>
      </c>
      <c r="L258" s="1">
        <f t="shared" si="15"/>
        <v>0</v>
      </c>
    </row>
    <row r="259" spans="6:12" ht="18" customHeight="1" x14ac:dyDescent="0.3">
      <c r="F259" s="1">
        <f t="shared" si="12"/>
        <v>0</v>
      </c>
      <c r="H259" s="1">
        <f t="shared" si="13"/>
        <v>0</v>
      </c>
      <c r="J259" s="1">
        <f t="shared" si="14"/>
        <v>0</v>
      </c>
      <c r="L259" s="1">
        <f t="shared" si="15"/>
        <v>0</v>
      </c>
    </row>
    <row r="260" spans="6:12" ht="18" customHeight="1" x14ac:dyDescent="0.3">
      <c r="F260" s="1">
        <f t="shared" si="12"/>
        <v>0</v>
      </c>
      <c r="H260" s="1">
        <f t="shared" si="13"/>
        <v>0</v>
      </c>
      <c r="J260" s="1">
        <f t="shared" si="14"/>
        <v>0</v>
      </c>
      <c r="L260" s="1">
        <f t="shared" si="15"/>
        <v>0</v>
      </c>
    </row>
    <row r="261" spans="6:12" ht="18" customHeight="1" x14ac:dyDescent="0.3">
      <c r="F261" s="1">
        <f t="shared" ref="F261:F324" si="16">SUM(H261,J261,L261)</f>
        <v>0</v>
      </c>
      <c r="H261" s="1">
        <f t="shared" ref="H261:H324" si="17">ROUNDUP(D261*G261,0)</f>
        <v>0</v>
      </c>
      <c r="J261" s="1">
        <f t="shared" ref="J261:J324" si="18">ROUNDUP(D261*I261,0)</f>
        <v>0</v>
      </c>
      <c r="L261" s="1">
        <f t="shared" ref="L261:L324" si="19">ROUNDUP(D261*K261,0)</f>
        <v>0</v>
      </c>
    </row>
    <row r="262" spans="6:12" ht="18" customHeight="1" x14ac:dyDescent="0.3">
      <c r="F262" s="1">
        <f t="shared" si="16"/>
        <v>0</v>
      </c>
      <c r="H262" s="1">
        <f t="shared" si="17"/>
        <v>0</v>
      </c>
      <c r="J262" s="1">
        <f t="shared" si="18"/>
        <v>0</v>
      </c>
      <c r="L262" s="1">
        <f t="shared" si="19"/>
        <v>0</v>
      </c>
    </row>
    <row r="263" spans="6:12" ht="18" customHeight="1" x14ac:dyDescent="0.3">
      <c r="F263" s="1">
        <f t="shared" si="16"/>
        <v>0</v>
      </c>
      <c r="H263" s="1">
        <f t="shared" si="17"/>
        <v>0</v>
      </c>
      <c r="J263" s="1">
        <f t="shared" si="18"/>
        <v>0</v>
      </c>
      <c r="L263" s="1">
        <f t="shared" si="19"/>
        <v>0</v>
      </c>
    </row>
    <row r="264" spans="6:12" ht="18" customHeight="1" x14ac:dyDescent="0.3">
      <c r="F264" s="1">
        <f t="shared" si="16"/>
        <v>0</v>
      </c>
      <c r="H264" s="1">
        <f t="shared" si="17"/>
        <v>0</v>
      </c>
      <c r="J264" s="1">
        <f t="shared" si="18"/>
        <v>0</v>
      </c>
      <c r="L264" s="1">
        <f t="shared" si="19"/>
        <v>0</v>
      </c>
    </row>
    <row r="265" spans="6:12" ht="18" customHeight="1" x14ac:dyDescent="0.3">
      <c r="F265" s="1">
        <f t="shared" si="16"/>
        <v>0</v>
      </c>
      <c r="H265" s="1">
        <f t="shared" si="17"/>
        <v>0</v>
      </c>
      <c r="J265" s="1">
        <f t="shared" si="18"/>
        <v>0</v>
      </c>
      <c r="L265" s="1">
        <f t="shared" si="19"/>
        <v>0</v>
      </c>
    </row>
    <row r="266" spans="6:12" ht="18" customHeight="1" x14ac:dyDescent="0.3">
      <c r="F266" s="1">
        <f t="shared" si="16"/>
        <v>0</v>
      </c>
      <c r="H266" s="1">
        <f t="shared" si="17"/>
        <v>0</v>
      </c>
      <c r="J266" s="1">
        <f t="shared" si="18"/>
        <v>0</v>
      </c>
      <c r="L266" s="1">
        <f t="shared" si="19"/>
        <v>0</v>
      </c>
    </row>
    <row r="267" spans="6:12" ht="18" customHeight="1" x14ac:dyDescent="0.3">
      <c r="F267" s="1">
        <f t="shared" si="16"/>
        <v>0</v>
      </c>
      <c r="H267" s="1">
        <f t="shared" si="17"/>
        <v>0</v>
      </c>
      <c r="J267" s="1">
        <f t="shared" si="18"/>
        <v>0</v>
      </c>
      <c r="L267" s="1">
        <f t="shared" si="19"/>
        <v>0</v>
      </c>
    </row>
    <row r="268" spans="6:12" ht="18" customHeight="1" x14ac:dyDescent="0.3">
      <c r="F268" s="1">
        <f t="shared" si="16"/>
        <v>0</v>
      </c>
      <c r="H268" s="1">
        <f t="shared" si="17"/>
        <v>0</v>
      </c>
      <c r="J268" s="1">
        <f t="shared" si="18"/>
        <v>0</v>
      </c>
      <c r="L268" s="1">
        <f t="shared" si="19"/>
        <v>0</v>
      </c>
    </row>
    <row r="269" spans="6:12" ht="18" customHeight="1" x14ac:dyDescent="0.3">
      <c r="F269" s="1">
        <f t="shared" si="16"/>
        <v>0</v>
      </c>
      <c r="H269" s="1">
        <f t="shared" si="17"/>
        <v>0</v>
      </c>
      <c r="J269" s="1">
        <f t="shared" si="18"/>
        <v>0</v>
      </c>
      <c r="L269" s="1">
        <f t="shared" si="19"/>
        <v>0</v>
      </c>
    </row>
    <row r="270" spans="6:12" ht="18" customHeight="1" x14ac:dyDescent="0.3">
      <c r="F270" s="1">
        <f t="shared" si="16"/>
        <v>0</v>
      </c>
      <c r="H270" s="1">
        <f t="shared" si="17"/>
        <v>0</v>
      </c>
      <c r="J270" s="1">
        <f t="shared" si="18"/>
        <v>0</v>
      </c>
      <c r="L270" s="1">
        <f t="shared" si="19"/>
        <v>0</v>
      </c>
    </row>
    <row r="271" spans="6:12" ht="18" customHeight="1" x14ac:dyDescent="0.3">
      <c r="F271" s="1">
        <f t="shared" si="16"/>
        <v>0</v>
      </c>
      <c r="H271" s="1">
        <f t="shared" si="17"/>
        <v>0</v>
      </c>
      <c r="J271" s="1">
        <f t="shared" si="18"/>
        <v>0</v>
      </c>
      <c r="L271" s="1">
        <f t="shared" si="19"/>
        <v>0</v>
      </c>
    </row>
    <row r="272" spans="6:12" ht="18" customHeight="1" x14ac:dyDescent="0.3">
      <c r="F272" s="1">
        <f t="shared" si="16"/>
        <v>0</v>
      </c>
      <c r="H272" s="1">
        <f t="shared" si="17"/>
        <v>0</v>
      </c>
      <c r="J272" s="1">
        <f t="shared" si="18"/>
        <v>0</v>
      </c>
      <c r="L272" s="1">
        <f t="shared" si="19"/>
        <v>0</v>
      </c>
    </row>
    <row r="273" spans="6:12" ht="18" customHeight="1" x14ac:dyDescent="0.3">
      <c r="F273" s="1">
        <f t="shared" si="16"/>
        <v>0</v>
      </c>
      <c r="H273" s="1">
        <f t="shared" si="17"/>
        <v>0</v>
      </c>
      <c r="J273" s="1">
        <f t="shared" si="18"/>
        <v>0</v>
      </c>
      <c r="L273" s="1">
        <f t="shared" si="19"/>
        <v>0</v>
      </c>
    </row>
    <row r="274" spans="6:12" ht="18" customHeight="1" x14ac:dyDescent="0.3">
      <c r="F274" s="1">
        <f t="shared" si="16"/>
        <v>0</v>
      </c>
      <c r="H274" s="1">
        <f t="shared" si="17"/>
        <v>0</v>
      </c>
      <c r="J274" s="1">
        <f t="shared" si="18"/>
        <v>0</v>
      </c>
      <c r="L274" s="1">
        <f t="shared" si="19"/>
        <v>0</v>
      </c>
    </row>
    <row r="275" spans="6:12" ht="18" customHeight="1" x14ac:dyDescent="0.3">
      <c r="F275" s="1">
        <f t="shared" si="16"/>
        <v>0</v>
      </c>
      <c r="H275" s="1">
        <f t="shared" si="17"/>
        <v>0</v>
      </c>
      <c r="J275" s="1">
        <f t="shared" si="18"/>
        <v>0</v>
      </c>
      <c r="L275" s="1">
        <f t="shared" si="19"/>
        <v>0</v>
      </c>
    </row>
    <row r="276" spans="6:12" ht="18" customHeight="1" x14ac:dyDescent="0.3">
      <c r="F276" s="1">
        <f t="shared" si="16"/>
        <v>0</v>
      </c>
      <c r="H276" s="1">
        <f t="shared" si="17"/>
        <v>0</v>
      </c>
      <c r="J276" s="1">
        <f t="shared" si="18"/>
        <v>0</v>
      </c>
      <c r="L276" s="1">
        <f t="shared" si="19"/>
        <v>0</v>
      </c>
    </row>
    <row r="277" spans="6:12" ht="18" customHeight="1" x14ac:dyDescent="0.3">
      <c r="F277" s="1">
        <f t="shared" si="16"/>
        <v>0</v>
      </c>
      <c r="H277" s="1">
        <f t="shared" si="17"/>
        <v>0</v>
      </c>
      <c r="J277" s="1">
        <f t="shared" si="18"/>
        <v>0</v>
      </c>
      <c r="L277" s="1">
        <f t="shared" si="19"/>
        <v>0</v>
      </c>
    </row>
    <row r="278" spans="6:12" ht="18" customHeight="1" x14ac:dyDescent="0.3">
      <c r="F278" s="1">
        <f t="shared" si="16"/>
        <v>0</v>
      </c>
      <c r="H278" s="1">
        <f t="shared" si="17"/>
        <v>0</v>
      </c>
      <c r="J278" s="1">
        <f t="shared" si="18"/>
        <v>0</v>
      </c>
      <c r="L278" s="1">
        <f t="shared" si="19"/>
        <v>0</v>
      </c>
    </row>
    <row r="279" spans="6:12" ht="18" customHeight="1" x14ac:dyDescent="0.3">
      <c r="F279" s="1">
        <f t="shared" si="16"/>
        <v>0</v>
      </c>
      <c r="H279" s="1">
        <f t="shared" si="17"/>
        <v>0</v>
      </c>
      <c r="J279" s="1">
        <f t="shared" si="18"/>
        <v>0</v>
      </c>
      <c r="L279" s="1">
        <f t="shared" si="19"/>
        <v>0</v>
      </c>
    </row>
    <row r="280" spans="6:12" ht="18" customHeight="1" x14ac:dyDescent="0.3">
      <c r="F280" s="1">
        <f t="shared" si="16"/>
        <v>0</v>
      </c>
      <c r="H280" s="1">
        <f t="shared" si="17"/>
        <v>0</v>
      </c>
      <c r="J280" s="1">
        <f t="shared" si="18"/>
        <v>0</v>
      </c>
      <c r="L280" s="1">
        <f t="shared" si="19"/>
        <v>0</v>
      </c>
    </row>
    <row r="281" spans="6:12" ht="18" customHeight="1" x14ac:dyDescent="0.3">
      <c r="F281" s="1">
        <f t="shared" si="16"/>
        <v>0</v>
      </c>
      <c r="H281" s="1">
        <f t="shared" si="17"/>
        <v>0</v>
      </c>
      <c r="J281" s="1">
        <f t="shared" si="18"/>
        <v>0</v>
      </c>
      <c r="L281" s="1">
        <f t="shared" si="19"/>
        <v>0</v>
      </c>
    </row>
    <row r="282" spans="6:12" ht="18" customHeight="1" x14ac:dyDescent="0.3">
      <c r="F282" s="1">
        <f t="shared" si="16"/>
        <v>0</v>
      </c>
      <c r="H282" s="1">
        <f t="shared" si="17"/>
        <v>0</v>
      </c>
      <c r="J282" s="1">
        <f t="shared" si="18"/>
        <v>0</v>
      </c>
      <c r="L282" s="1">
        <f t="shared" si="19"/>
        <v>0</v>
      </c>
    </row>
    <row r="283" spans="6:12" ht="18" customHeight="1" x14ac:dyDescent="0.3">
      <c r="F283" s="1">
        <f t="shared" si="16"/>
        <v>0</v>
      </c>
      <c r="H283" s="1">
        <f t="shared" si="17"/>
        <v>0</v>
      </c>
      <c r="J283" s="1">
        <f t="shared" si="18"/>
        <v>0</v>
      </c>
      <c r="L283" s="1">
        <f t="shared" si="19"/>
        <v>0</v>
      </c>
    </row>
    <row r="284" spans="6:12" ht="18" customHeight="1" x14ac:dyDescent="0.3">
      <c r="F284" s="1">
        <f t="shared" si="16"/>
        <v>0</v>
      </c>
      <c r="H284" s="1">
        <f t="shared" si="17"/>
        <v>0</v>
      </c>
      <c r="J284" s="1">
        <f t="shared" si="18"/>
        <v>0</v>
      </c>
      <c r="L284" s="1">
        <f t="shared" si="19"/>
        <v>0</v>
      </c>
    </row>
    <row r="285" spans="6:12" ht="18" customHeight="1" x14ac:dyDescent="0.3">
      <c r="F285" s="1">
        <f t="shared" si="16"/>
        <v>0</v>
      </c>
      <c r="H285" s="1">
        <f t="shared" si="17"/>
        <v>0</v>
      </c>
      <c r="J285" s="1">
        <f t="shared" si="18"/>
        <v>0</v>
      </c>
      <c r="L285" s="1">
        <f t="shared" si="19"/>
        <v>0</v>
      </c>
    </row>
    <row r="286" spans="6:12" ht="18" customHeight="1" x14ac:dyDescent="0.3">
      <c r="F286" s="1">
        <f t="shared" si="16"/>
        <v>0</v>
      </c>
      <c r="H286" s="1">
        <f t="shared" si="17"/>
        <v>0</v>
      </c>
      <c r="J286" s="1">
        <f t="shared" si="18"/>
        <v>0</v>
      </c>
      <c r="L286" s="1">
        <f t="shared" si="19"/>
        <v>0</v>
      </c>
    </row>
    <row r="287" spans="6:12" ht="18" customHeight="1" x14ac:dyDescent="0.3">
      <c r="F287" s="1">
        <f t="shared" si="16"/>
        <v>0</v>
      </c>
      <c r="H287" s="1">
        <f t="shared" si="17"/>
        <v>0</v>
      </c>
      <c r="J287" s="1">
        <f t="shared" si="18"/>
        <v>0</v>
      </c>
      <c r="L287" s="1">
        <f t="shared" si="19"/>
        <v>0</v>
      </c>
    </row>
    <row r="288" spans="6:12" ht="18" customHeight="1" x14ac:dyDescent="0.3">
      <c r="F288" s="1">
        <f t="shared" si="16"/>
        <v>0</v>
      </c>
      <c r="H288" s="1">
        <f t="shared" si="17"/>
        <v>0</v>
      </c>
      <c r="J288" s="1">
        <f t="shared" si="18"/>
        <v>0</v>
      </c>
      <c r="L288" s="1">
        <f t="shared" si="19"/>
        <v>0</v>
      </c>
    </row>
    <row r="289" spans="6:12" ht="18" customHeight="1" x14ac:dyDescent="0.3">
      <c r="F289" s="1">
        <f t="shared" si="16"/>
        <v>0</v>
      </c>
      <c r="H289" s="1">
        <f t="shared" si="17"/>
        <v>0</v>
      </c>
      <c r="J289" s="1">
        <f t="shared" si="18"/>
        <v>0</v>
      </c>
      <c r="L289" s="1">
        <f t="shared" si="19"/>
        <v>0</v>
      </c>
    </row>
    <row r="290" spans="6:12" ht="18" customHeight="1" x14ac:dyDescent="0.3">
      <c r="F290" s="1">
        <f t="shared" si="16"/>
        <v>0</v>
      </c>
      <c r="H290" s="1">
        <f t="shared" si="17"/>
        <v>0</v>
      </c>
      <c r="J290" s="1">
        <f t="shared" si="18"/>
        <v>0</v>
      </c>
      <c r="L290" s="1">
        <f t="shared" si="19"/>
        <v>0</v>
      </c>
    </row>
    <row r="291" spans="6:12" ht="18" customHeight="1" x14ac:dyDescent="0.3">
      <c r="F291" s="1">
        <f t="shared" si="16"/>
        <v>0</v>
      </c>
      <c r="H291" s="1">
        <f t="shared" si="17"/>
        <v>0</v>
      </c>
      <c r="J291" s="1">
        <f t="shared" si="18"/>
        <v>0</v>
      </c>
      <c r="L291" s="1">
        <f t="shared" si="19"/>
        <v>0</v>
      </c>
    </row>
    <row r="292" spans="6:12" ht="18" customHeight="1" x14ac:dyDescent="0.3">
      <c r="F292" s="1">
        <f t="shared" si="16"/>
        <v>0</v>
      </c>
      <c r="H292" s="1">
        <f t="shared" si="17"/>
        <v>0</v>
      </c>
      <c r="J292" s="1">
        <f t="shared" si="18"/>
        <v>0</v>
      </c>
      <c r="L292" s="1">
        <f t="shared" si="19"/>
        <v>0</v>
      </c>
    </row>
    <row r="293" spans="6:12" ht="18" customHeight="1" x14ac:dyDescent="0.3">
      <c r="F293" s="1">
        <f t="shared" si="16"/>
        <v>0</v>
      </c>
      <c r="H293" s="1">
        <f t="shared" si="17"/>
        <v>0</v>
      </c>
      <c r="J293" s="1">
        <f t="shared" si="18"/>
        <v>0</v>
      </c>
      <c r="L293" s="1">
        <f t="shared" si="19"/>
        <v>0</v>
      </c>
    </row>
    <row r="294" spans="6:12" ht="18" customHeight="1" x14ac:dyDescent="0.3">
      <c r="F294" s="1">
        <f t="shared" si="16"/>
        <v>0</v>
      </c>
      <c r="H294" s="1">
        <f t="shared" si="17"/>
        <v>0</v>
      </c>
      <c r="J294" s="1">
        <f t="shared" si="18"/>
        <v>0</v>
      </c>
      <c r="L294" s="1">
        <f t="shared" si="19"/>
        <v>0</v>
      </c>
    </row>
    <row r="295" spans="6:12" ht="18" customHeight="1" x14ac:dyDescent="0.3">
      <c r="F295" s="1">
        <f t="shared" si="16"/>
        <v>0</v>
      </c>
      <c r="H295" s="1">
        <f t="shared" si="17"/>
        <v>0</v>
      </c>
      <c r="J295" s="1">
        <f t="shared" si="18"/>
        <v>0</v>
      </c>
      <c r="L295" s="1">
        <f t="shared" si="19"/>
        <v>0</v>
      </c>
    </row>
    <row r="296" spans="6:12" ht="18" customHeight="1" x14ac:dyDescent="0.3">
      <c r="F296" s="1">
        <f t="shared" si="16"/>
        <v>0</v>
      </c>
      <c r="H296" s="1">
        <f t="shared" si="17"/>
        <v>0</v>
      </c>
      <c r="J296" s="1">
        <f t="shared" si="18"/>
        <v>0</v>
      </c>
      <c r="L296" s="1">
        <f t="shared" si="19"/>
        <v>0</v>
      </c>
    </row>
    <row r="297" spans="6:12" ht="18" customHeight="1" x14ac:dyDescent="0.3">
      <c r="F297" s="1">
        <f t="shared" si="16"/>
        <v>0</v>
      </c>
      <c r="H297" s="1">
        <f t="shared" si="17"/>
        <v>0</v>
      </c>
      <c r="J297" s="1">
        <f t="shared" si="18"/>
        <v>0</v>
      </c>
      <c r="L297" s="1">
        <f t="shared" si="19"/>
        <v>0</v>
      </c>
    </row>
    <row r="298" spans="6:12" ht="18" customHeight="1" x14ac:dyDescent="0.3">
      <c r="F298" s="1">
        <f t="shared" si="16"/>
        <v>0</v>
      </c>
      <c r="H298" s="1">
        <f t="shared" si="17"/>
        <v>0</v>
      </c>
      <c r="J298" s="1">
        <f t="shared" si="18"/>
        <v>0</v>
      </c>
      <c r="L298" s="1">
        <f t="shared" si="19"/>
        <v>0</v>
      </c>
    </row>
    <row r="299" spans="6:12" ht="18" customHeight="1" x14ac:dyDescent="0.3">
      <c r="F299" s="1">
        <f t="shared" si="16"/>
        <v>0</v>
      </c>
      <c r="H299" s="1">
        <f t="shared" si="17"/>
        <v>0</v>
      </c>
      <c r="J299" s="1">
        <f t="shared" si="18"/>
        <v>0</v>
      </c>
      <c r="L299" s="1">
        <f t="shared" si="19"/>
        <v>0</v>
      </c>
    </row>
    <row r="300" spans="6:12" ht="18" customHeight="1" x14ac:dyDescent="0.3">
      <c r="F300" s="1">
        <f t="shared" si="16"/>
        <v>0</v>
      </c>
      <c r="H300" s="1">
        <f t="shared" si="17"/>
        <v>0</v>
      </c>
      <c r="J300" s="1">
        <f t="shared" si="18"/>
        <v>0</v>
      </c>
      <c r="L300" s="1">
        <f t="shared" si="19"/>
        <v>0</v>
      </c>
    </row>
    <row r="301" spans="6:12" ht="18" customHeight="1" x14ac:dyDescent="0.3">
      <c r="F301" s="1">
        <f t="shared" si="16"/>
        <v>0</v>
      </c>
      <c r="H301" s="1">
        <f t="shared" si="17"/>
        <v>0</v>
      </c>
      <c r="J301" s="1">
        <f t="shared" si="18"/>
        <v>0</v>
      </c>
      <c r="L301" s="1">
        <f t="shared" si="19"/>
        <v>0</v>
      </c>
    </row>
    <row r="302" spans="6:12" ht="18" customHeight="1" x14ac:dyDescent="0.3">
      <c r="F302" s="1">
        <f t="shared" si="16"/>
        <v>0</v>
      </c>
      <c r="H302" s="1">
        <f t="shared" si="17"/>
        <v>0</v>
      </c>
      <c r="J302" s="1">
        <f t="shared" si="18"/>
        <v>0</v>
      </c>
      <c r="L302" s="1">
        <f t="shared" si="19"/>
        <v>0</v>
      </c>
    </row>
    <row r="303" spans="6:12" ht="18" customHeight="1" x14ac:dyDescent="0.3">
      <c r="F303" s="1">
        <f t="shared" si="16"/>
        <v>0</v>
      </c>
      <c r="H303" s="1">
        <f t="shared" si="17"/>
        <v>0</v>
      </c>
      <c r="J303" s="1">
        <f t="shared" si="18"/>
        <v>0</v>
      </c>
      <c r="L303" s="1">
        <f t="shared" si="19"/>
        <v>0</v>
      </c>
    </row>
    <row r="304" spans="6:12" ht="18" customHeight="1" x14ac:dyDescent="0.3">
      <c r="F304" s="1">
        <f t="shared" si="16"/>
        <v>0</v>
      </c>
      <c r="H304" s="1">
        <f t="shared" si="17"/>
        <v>0</v>
      </c>
      <c r="J304" s="1">
        <f t="shared" si="18"/>
        <v>0</v>
      </c>
      <c r="L304" s="1">
        <f t="shared" si="19"/>
        <v>0</v>
      </c>
    </row>
    <row r="305" spans="6:12" ht="18" customHeight="1" x14ac:dyDescent="0.3">
      <c r="F305" s="1">
        <f t="shared" si="16"/>
        <v>0</v>
      </c>
      <c r="H305" s="1">
        <f t="shared" si="17"/>
        <v>0</v>
      </c>
      <c r="J305" s="1">
        <f t="shared" si="18"/>
        <v>0</v>
      </c>
      <c r="L305" s="1">
        <f t="shared" si="19"/>
        <v>0</v>
      </c>
    </row>
    <row r="306" spans="6:12" ht="18" customHeight="1" x14ac:dyDescent="0.3">
      <c r="F306" s="1">
        <f t="shared" si="16"/>
        <v>0</v>
      </c>
      <c r="H306" s="1">
        <f t="shared" si="17"/>
        <v>0</v>
      </c>
      <c r="J306" s="1">
        <f t="shared" si="18"/>
        <v>0</v>
      </c>
      <c r="L306" s="1">
        <f t="shared" si="19"/>
        <v>0</v>
      </c>
    </row>
    <row r="307" spans="6:12" ht="18" customHeight="1" x14ac:dyDescent="0.3">
      <c r="F307" s="1">
        <f t="shared" si="16"/>
        <v>0</v>
      </c>
      <c r="H307" s="1">
        <f t="shared" si="17"/>
        <v>0</v>
      </c>
      <c r="J307" s="1">
        <f t="shared" si="18"/>
        <v>0</v>
      </c>
      <c r="L307" s="1">
        <f t="shared" si="19"/>
        <v>0</v>
      </c>
    </row>
    <row r="308" spans="6:12" ht="18" customHeight="1" x14ac:dyDescent="0.3">
      <c r="F308" s="1">
        <f t="shared" si="16"/>
        <v>0</v>
      </c>
      <c r="H308" s="1">
        <f t="shared" si="17"/>
        <v>0</v>
      </c>
      <c r="J308" s="1">
        <f t="shared" si="18"/>
        <v>0</v>
      </c>
      <c r="L308" s="1">
        <f t="shared" si="19"/>
        <v>0</v>
      </c>
    </row>
    <row r="309" spans="6:12" ht="18" customHeight="1" x14ac:dyDescent="0.3">
      <c r="F309" s="1">
        <f t="shared" si="16"/>
        <v>0</v>
      </c>
      <c r="H309" s="1">
        <f t="shared" si="17"/>
        <v>0</v>
      </c>
      <c r="J309" s="1">
        <f t="shared" si="18"/>
        <v>0</v>
      </c>
      <c r="L309" s="1">
        <f t="shared" si="19"/>
        <v>0</v>
      </c>
    </row>
    <row r="310" spans="6:12" ht="18" customHeight="1" x14ac:dyDescent="0.3">
      <c r="F310" s="1">
        <f t="shared" si="16"/>
        <v>0</v>
      </c>
      <c r="H310" s="1">
        <f t="shared" si="17"/>
        <v>0</v>
      </c>
      <c r="J310" s="1">
        <f t="shared" si="18"/>
        <v>0</v>
      </c>
      <c r="L310" s="1">
        <f t="shared" si="19"/>
        <v>0</v>
      </c>
    </row>
    <row r="311" spans="6:12" ht="18" customHeight="1" x14ac:dyDescent="0.3">
      <c r="F311" s="1">
        <f t="shared" si="16"/>
        <v>0</v>
      </c>
      <c r="H311" s="1">
        <f t="shared" si="17"/>
        <v>0</v>
      </c>
      <c r="J311" s="1">
        <f t="shared" si="18"/>
        <v>0</v>
      </c>
      <c r="L311" s="1">
        <f t="shared" si="19"/>
        <v>0</v>
      </c>
    </row>
    <row r="312" spans="6:12" ht="18" customHeight="1" x14ac:dyDescent="0.3">
      <c r="F312" s="1">
        <f t="shared" si="16"/>
        <v>0</v>
      </c>
      <c r="H312" s="1">
        <f t="shared" si="17"/>
        <v>0</v>
      </c>
      <c r="J312" s="1">
        <f t="shared" si="18"/>
        <v>0</v>
      </c>
      <c r="L312" s="1">
        <f t="shared" si="19"/>
        <v>0</v>
      </c>
    </row>
    <row r="313" spans="6:12" ht="18" customHeight="1" x14ac:dyDescent="0.3">
      <c r="F313" s="1">
        <f t="shared" si="16"/>
        <v>0</v>
      </c>
      <c r="H313" s="1">
        <f t="shared" si="17"/>
        <v>0</v>
      </c>
      <c r="J313" s="1">
        <f t="shared" si="18"/>
        <v>0</v>
      </c>
      <c r="L313" s="1">
        <f t="shared" si="19"/>
        <v>0</v>
      </c>
    </row>
    <row r="314" spans="6:12" ht="18" customHeight="1" x14ac:dyDescent="0.3">
      <c r="F314" s="1">
        <f t="shared" si="16"/>
        <v>0</v>
      </c>
      <c r="H314" s="1">
        <f t="shared" si="17"/>
        <v>0</v>
      </c>
      <c r="J314" s="1">
        <f t="shared" si="18"/>
        <v>0</v>
      </c>
      <c r="L314" s="1">
        <f t="shared" si="19"/>
        <v>0</v>
      </c>
    </row>
    <row r="315" spans="6:12" ht="18" customHeight="1" x14ac:dyDescent="0.3">
      <c r="F315" s="1">
        <f t="shared" si="16"/>
        <v>0</v>
      </c>
      <c r="H315" s="1">
        <f t="shared" si="17"/>
        <v>0</v>
      </c>
      <c r="J315" s="1">
        <f t="shared" si="18"/>
        <v>0</v>
      </c>
      <c r="L315" s="1">
        <f t="shared" si="19"/>
        <v>0</v>
      </c>
    </row>
    <row r="316" spans="6:12" ht="18" customHeight="1" x14ac:dyDescent="0.3">
      <c r="F316" s="1">
        <f t="shared" si="16"/>
        <v>0</v>
      </c>
      <c r="H316" s="1">
        <f t="shared" si="17"/>
        <v>0</v>
      </c>
      <c r="J316" s="1">
        <f t="shared" si="18"/>
        <v>0</v>
      </c>
      <c r="L316" s="1">
        <f t="shared" si="19"/>
        <v>0</v>
      </c>
    </row>
    <row r="317" spans="6:12" ht="18" customHeight="1" x14ac:dyDescent="0.3">
      <c r="F317" s="1">
        <f t="shared" si="16"/>
        <v>0</v>
      </c>
      <c r="H317" s="1">
        <f t="shared" si="17"/>
        <v>0</v>
      </c>
      <c r="J317" s="1">
        <f t="shared" si="18"/>
        <v>0</v>
      </c>
      <c r="L317" s="1">
        <f t="shared" si="19"/>
        <v>0</v>
      </c>
    </row>
    <row r="318" spans="6:12" ht="18" customHeight="1" x14ac:dyDescent="0.3">
      <c r="F318" s="1">
        <f t="shared" si="16"/>
        <v>0</v>
      </c>
      <c r="H318" s="1">
        <f t="shared" si="17"/>
        <v>0</v>
      </c>
      <c r="J318" s="1">
        <f t="shared" si="18"/>
        <v>0</v>
      </c>
      <c r="L318" s="1">
        <f t="shared" si="19"/>
        <v>0</v>
      </c>
    </row>
    <row r="319" spans="6:12" ht="18" customHeight="1" x14ac:dyDescent="0.3">
      <c r="F319" s="1">
        <f t="shared" si="16"/>
        <v>0</v>
      </c>
      <c r="H319" s="1">
        <f t="shared" si="17"/>
        <v>0</v>
      </c>
      <c r="J319" s="1">
        <f t="shared" si="18"/>
        <v>0</v>
      </c>
      <c r="L319" s="1">
        <f t="shared" si="19"/>
        <v>0</v>
      </c>
    </row>
    <row r="320" spans="6:12" ht="18" customHeight="1" x14ac:dyDescent="0.3">
      <c r="F320" s="1">
        <f t="shared" si="16"/>
        <v>0</v>
      </c>
      <c r="H320" s="1">
        <f t="shared" si="17"/>
        <v>0</v>
      </c>
      <c r="J320" s="1">
        <f t="shared" si="18"/>
        <v>0</v>
      </c>
      <c r="L320" s="1">
        <f t="shared" si="19"/>
        <v>0</v>
      </c>
    </row>
    <row r="321" spans="6:12" ht="18" customHeight="1" x14ac:dyDescent="0.3">
      <c r="F321" s="1">
        <f t="shared" si="16"/>
        <v>0</v>
      </c>
      <c r="H321" s="1">
        <f t="shared" si="17"/>
        <v>0</v>
      </c>
      <c r="J321" s="1">
        <f t="shared" si="18"/>
        <v>0</v>
      </c>
      <c r="L321" s="1">
        <f t="shared" si="19"/>
        <v>0</v>
      </c>
    </row>
    <row r="322" spans="6:12" ht="18" customHeight="1" x14ac:dyDescent="0.3">
      <c r="F322" s="1">
        <f t="shared" si="16"/>
        <v>0</v>
      </c>
      <c r="H322" s="1">
        <f t="shared" si="17"/>
        <v>0</v>
      </c>
      <c r="J322" s="1">
        <f t="shared" si="18"/>
        <v>0</v>
      </c>
      <c r="L322" s="1">
        <f t="shared" si="19"/>
        <v>0</v>
      </c>
    </row>
    <row r="323" spans="6:12" ht="18" customHeight="1" x14ac:dyDescent="0.3">
      <c r="F323" s="1">
        <f t="shared" si="16"/>
        <v>0</v>
      </c>
      <c r="H323" s="1">
        <f t="shared" si="17"/>
        <v>0</v>
      </c>
      <c r="J323" s="1">
        <f t="shared" si="18"/>
        <v>0</v>
      </c>
      <c r="L323" s="1">
        <f t="shared" si="19"/>
        <v>0</v>
      </c>
    </row>
    <row r="324" spans="6:12" ht="18" customHeight="1" x14ac:dyDescent="0.3">
      <c r="F324" s="1">
        <f t="shared" si="16"/>
        <v>0</v>
      </c>
      <c r="H324" s="1">
        <f t="shared" si="17"/>
        <v>0</v>
      </c>
      <c r="J324" s="1">
        <f t="shared" si="18"/>
        <v>0</v>
      </c>
      <c r="L324" s="1">
        <f t="shared" si="19"/>
        <v>0</v>
      </c>
    </row>
    <row r="325" spans="6:12" ht="18" customHeight="1" x14ac:dyDescent="0.3">
      <c r="F325" s="1">
        <f t="shared" ref="F325:F388" si="20">SUM(H325,J325,L325)</f>
        <v>0</v>
      </c>
      <c r="H325" s="1">
        <f t="shared" ref="H325:H388" si="21">ROUNDUP(D325*G325,0)</f>
        <v>0</v>
      </c>
      <c r="J325" s="1">
        <f t="shared" ref="J325:J388" si="22">ROUNDUP(D325*I325,0)</f>
        <v>0</v>
      </c>
      <c r="L325" s="1">
        <f t="shared" ref="L325:L388" si="23">ROUNDUP(D325*K325,0)</f>
        <v>0</v>
      </c>
    </row>
    <row r="326" spans="6:12" ht="18" customHeight="1" x14ac:dyDescent="0.3">
      <c r="F326" s="1">
        <f t="shared" si="20"/>
        <v>0</v>
      </c>
      <c r="H326" s="1">
        <f t="shared" si="21"/>
        <v>0</v>
      </c>
      <c r="J326" s="1">
        <f t="shared" si="22"/>
        <v>0</v>
      </c>
      <c r="L326" s="1">
        <f t="shared" si="23"/>
        <v>0</v>
      </c>
    </row>
    <row r="327" spans="6:12" ht="18" customHeight="1" x14ac:dyDescent="0.3">
      <c r="F327" s="1">
        <f t="shared" si="20"/>
        <v>0</v>
      </c>
      <c r="H327" s="1">
        <f t="shared" si="21"/>
        <v>0</v>
      </c>
      <c r="J327" s="1">
        <f t="shared" si="22"/>
        <v>0</v>
      </c>
      <c r="L327" s="1">
        <f t="shared" si="23"/>
        <v>0</v>
      </c>
    </row>
    <row r="328" spans="6:12" ht="18" customHeight="1" x14ac:dyDescent="0.3">
      <c r="F328" s="1">
        <f t="shared" si="20"/>
        <v>0</v>
      </c>
      <c r="H328" s="1">
        <f t="shared" si="21"/>
        <v>0</v>
      </c>
      <c r="J328" s="1">
        <f t="shared" si="22"/>
        <v>0</v>
      </c>
      <c r="L328" s="1">
        <f t="shared" si="23"/>
        <v>0</v>
      </c>
    </row>
    <row r="329" spans="6:12" ht="18" customHeight="1" x14ac:dyDescent="0.3">
      <c r="F329" s="1">
        <f t="shared" si="20"/>
        <v>0</v>
      </c>
      <c r="H329" s="1">
        <f t="shared" si="21"/>
        <v>0</v>
      </c>
      <c r="J329" s="1">
        <f t="shared" si="22"/>
        <v>0</v>
      </c>
      <c r="L329" s="1">
        <f t="shared" si="23"/>
        <v>0</v>
      </c>
    </row>
    <row r="330" spans="6:12" ht="18" customHeight="1" x14ac:dyDescent="0.3">
      <c r="F330" s="1">
        <f t="shared" si="20"/>
        <v>0</v>
      </c>
      <c r="H330" s="1">
        <f t="shared" si="21"/>
        <v>0</v>
      </c>
      <c r="J330" s="1">
        <f t="shared" si="22"/>
        <v>0</v>
      </c>
      <c r="L330" s="1">
        <f t="shared" si="23"/>
        <v>0</v>
      </c>
    </row>
    <row r="331" spans="6:12" ht="18" customHeight="1" x14ac:dyDescent="0.3">
      <c r="F331" s="1">
        <f t="shared" si="20"/>
        <v>0</v>
      </c>
      <c r="H331" s="1">
        <f t="shared" si="21"/>
        <v>0</v>
      </c>
      <c r="J331" s="1">
        <f t="shared" si="22"/>
        <v>0</v>
      </c>
      <c r="L331" s="1">
        <f t="shared" si="23"/>
        <v>0</v>
      </c>
    </row>
    <row r="332" spans="6:12" ht="18" customHeight="1" x14ac:dyDescent="0.3">
      <c r="F332" s="1">
        <f t="shared" si="20"/>
        <v>0</v>
      </c>
      <c r="H332" s="1">
        <f t="shared" si="21"/>
        <v>0</v>
      </c>
      <c r="J332" s="1">
        <f t="shared" si="22"/>
        <v>0</v>
      </c>
      <c r="L332" s="1">
        <f t="shared" si="23"/>
        <v>0</v>
      </c>
    </row>
    <row r="333" spans="6:12" ht="18" customHeight="1" x14ac:dyDescent="0.3">
      <c r="F333" s="1">
        <f t="shared" si="20"/>
        <v>0</v>
      </c>
      <c r="H333" s="1">
        <f t="shared" si="21"/>
        <v>0</v>
      </c>
      <c r="J333" s="1">
        <f t="shared" si="22"/>
        <v>0</v>
      </c>
      <c r="L333" s="1">
        <f t="shared" si="23"/>
        <v>0</v>
      </c>
    </row>
    <row r="334" spans="6:12" ht="18" customHeight="1" x14ac:dyDescent="0.3">
      <c r="F334" s="1">
        <f t="shared" si="20"/>
        <v>0</v>
      </c>
      <c r="H334" s="1">
        <f t="shared" si="21"/>
        <v>0</v>
      </c>
      <c r="J334" s="1">
        <f t="shared" si="22"/>
        <v>0</v>
      </c>
      <c r="L334" s="1">
        <f t="shared" si="23"/>
        <v>0</v>
      </c>
    </row>
    <row r="335" spans="6:12" ht="18" customHeight="1" x14ac:dyDescent="0.3">
      <c r="F335" s="1">
        <f t="shared" si="20"/>
        <v>0</v>
      </c>
      <c r="H335" s="1">
        <f t="shared" si="21"/>
        <v>0</v>
      </c>
      <c r="J335" s="1">
        <f t="shared" si="22"/>
        <v>0</v>
      </c>
      <c r="L335" s="1">
        <f t="shared" si="23"/>
        <v>0</v>
      </c>
    </row>
    <row r="336" spans="6:12" ht="18" customHeight="1" x14ac:dyDescent="0.3">
      <c r="F336" s="1">
        <f t="shared" si="20"/>
        <v>0</v>
      </c>
      <c r="H336" s="1">
        <f t="shared" si="21"/>
        <v>0</v>
      </c>
      <c r="J336" s="1">
        <f t="shared" si="22"/>
        <v>0</v>
      </c>
      <c r="L336" s="1">
        <f t="shared" si="23"/>
        <v>0</v>
      </c>
    </row>
    <row r="337" spans="6:12" ht="18" customHeight="1" x14ac:dyDescent="0.3">
      <c r="F337" s="1">
        <f t="shared" si="20"/>
        <v>0</v>
      </c>
      <c r="H337" s="1">
        <f t="shared" si="21"/>
        <v>0</v>
      </c>
      <c r="J337" s="1">
        <f t="shared" si="22"/>
        <v>0</v>
      </c>
      <c r="L337" s="1">
        <f t="shared" si="23"/>
        <v>0</v>
      </c>
    </row>
    <row r="338" spans="6:12" ht="18" customHeight="1" x14ac:dyDescent="0.3">
      <c r="F338" s="1">
        <f t="shared" si="20"/>
        <v>0</v>
      </c>
      <c r="H338" s="1">
        <f t="shared" si="21"/>
        <v>0</v>
      </c>
      <c r="J338" s="1">
        <f t="shared" si="22"/>
        <v>0</v>
      </c>
      <c r="L338" s="1">
        <f t="shared" si="23"/>
        <v>0</v>
      </c>
    </row>
    <row r="339" spans="6:12" ht="18" customHeight="1" x14ac:dyDescent="0.3">
      <c r="F339" s="1">
        <f t="shared" si="20"/>
        <v>0</v>
      </c>
      <c r="H339" s="1">
        <f t="shared" si="21"/>
        <v>0</v>
      </c>
      <c r="J339" s="1">
        <f t="shared" si="22"/>
        <v>0</v>
      </c>
      <c r="L339" s="1">
        <f t="shared" si="23"/>
        <v>0</v>
      </c>
    </row>
    <row r="340" spans="6:12" ht="18" customHeight="1" x14ac:dyDescent="0.3">
      <c r="F340" s="1">
        <f t="shared" si="20"/>
        <v>0</v>
      </c>
      <c r="H340" s="1">
        <f t="shared" si="21"/>
        <v>0</v>
      </c>
      <c r="J340" s="1">
        <f t="shared" si="22"/>
        <v>0</v>
      </c>
      <c r="L340" s="1">
        <f t="shared" si="23"/>
        <v>0</v>
      </c>
    </row>
    <row r="341" spans="6:12" ht="18" customHeight="1" x14ac:dyDescent="0.3">
      <c r="F341" s="1">
        <f t="shared" si="20"/>
        <v>0</v>
      </c>
      <c r="H341" s="1">
        <f t="shared" si="21"/>
        <v>0</v>
      </c>
      <c r="J341" s="1">
        <f t="shared" si="22"/>
        <v>0</v>
      </c>
      <c r="L341" s="1">
        <f t="shared" si="23"/>
        <v>0</v>
      </c>
    </row>
    <row r="342" spans="6:12" ht="18" customHeight="1" x14ac:dyDescent="0.3">
      <c r="F342" s="1">
        <f t="shared" si="20"/>
        <v>0</v>
      </c>
      <c r="H342" s="1">
        <f t="shared" si="21"/>
        <v>0</v>
      </c>
      <c r="J342" s="1">
        <f t="shared" si="22"/>
        <v>0</v>
      </c>
      <c r="L342" s="1">
        <f t="shared" si="23"/>
        <v>0</v>
      </c>
    </row>
    <row r="343" spans="6:12" ht="18" customHeight="1" x14ac:dyDescent="0.3">
      <c r="F343" s="1">
        <f t="shared" si="20"/>
        <v>0</v>
      </c>
      <c r="H343" s="1">
        <f t="shared" si="21"/>
        <v>0</v>
      </c>
      <c r="J343" s="1">
        <f t="shared" si="22"/>
        <v>0</v>
      </c>
      <c r="L343" s="1">
        <f t="shared" si="23"/>
        <v>0</v>
      </c>
    </row>
    <row r="344" spans="6:12" ht="18" customHeight="1" x14ac:dyDescent="0.3">
      <c r="F344" s="1">
        <f t="shared" si="20"/>
        <v>0</v>
      </c>
      <c r="H344" s="1">
        <f t="shared" si="21"/>
        <v>0</v>
      </c>
      <c r="J344" s="1">
        <f t="shared" si="22"/>
        <v>0</v>
      </c>
      <c r="L344" s="1">
        <f t="shared" si="23"/>
        <v>0</v>
      </c>
    </row>
    <row r="345" spans="6:12" ht="18" customHeight="1" x14ac:dyDescent="0.3">
      <c r="F345" s="1">
        <f t="shared" si="20"/>
        <v>0</v>
      </c>
      <c r="H345" s="1">
        <f t="shared" si="21"/>
        <v>0</v>
      </c>
      <c r="J345" s="1">
        <f t="shared" si="22"/>
        <v>0</v>
      </c>
      <c r="L345" s="1">
        <f t="shared" si="23"/>
        <v>0</v>
      </c>
    </row>
    <row r="346" spans="6:12" ht="18" customHeight="1" x14ac:dyDescent="0.3">
      <c r="F346" s="1">
        <f t="shared" si="20"/>
        <v>0</v>
      </c>
      <c r="H346" s="1">
        <f t="shared" si="21"/>
        <v>0</v>
      </c>
      <c r="J346" s="1">
        <f t="shared" si="22"/>
        <v>0</v>
      </c>
      <c r="L346" s="1">
        <f t="shared" si="23"/>
        <v>0</v>
      </c>
    </row>
    <row r="347" spans="6:12" ht="18" customHeight="1" x14ac:dyDescent="0.3">
      <c r="F347" s="1">
        <f t="shared" si="20"/>
        <v>0</v>
      </c>
      <c r="H347" s="1">
        <f t="shared" si="21"/>
        <v>0</v>
      </c>
      <c r="J347" s="1">
        <f t="shared" si="22"/>
        <v>0</v>
      </c>
      <c r="L347" s="1">
        <f t="shared" si="23"/>
        <v>0</v>
      </c>
    </row>
    <row r="348" spans="6:12" ht="18" customHeight="1" x14ac:dyDescent="0.3">
      <c r="F348" s="1">
        <f t="shared" si="20"/>
        <v>0</v>
      </c>
      <c r="H348" s="1">
        <f t="shared" si="21"/>
        <v>0</v>
      </c>
      <c r="J348" s="1">
        <f t="shared" si="22"/>
        <v>0</v>
      </c>
      <c r="L348" s="1">
        <f t="shared" si="23"/>
        <v>0</v>
      </c>
    </row>
    <row r="349" spans="6:12" ht="18" customHeight="1" x14ac:dyDescent="0.3">
      <c r="F349" s="1">
        <f t="shared" si="20"/>
        <v>0</v>
      </c>
      <c r="H349" s="1">
        <f t="shared" si="21"/>
        <v>0</v>
      </c>
      <c r="J349" s="1">
        <f t="shared" si="22"/>
        <v>0</v>
      </c>
      <c r="L349" s="1">
        <f t="shared" si="23"/>
        <v>0</v>
      </c>
    </row>
    <row r="350" spans="6:12" ht="18" customHeight="1" x14ac:dyDescent="0.3">
      <c r="F350" s="1">
        <f t="shared" si="20"/>
        <v>0</v>
      </c>
      <c r="H350" s="1">
        <f t="shared" si="21"/>
        <v>0</v>
      </c>
      <c r="J350" s="1">
        <f t="shared" si="22"/>
        <v>0</v>
      </c>
      <c r="L350" s="1">
        <f t="shared" si="23"/>
        <v>0</v>
      </c>
    </row>
    <row r="351" spans="6:12" ht="18" customHeight="1" x14ac:dyDescent="0.3">
      <c r="F351" s="1">
        <f t="shared" si="20"/>
        <v>0</v>
      </c>
      <c r="H351" s="1">
        <f t="shared" si="21"/>
        <v>0</v>
      </c>
      <c r="J351" s="1">
        <f t="shared" si="22"/>
        <v>0</v>
      </c>
      <c r="L351" s="1">
        <f t="shared" si="23"/>
        <v>0</v>
      </c>
    </row>
    <row r="352" spans="6:12" ht="18" customHeight="1" x14ac:dyDescent="0.3">
      <c r="F352" s="1">
        <f t="shared" si="20"/>
        <v>0</v>
      </c>
      <c r="H352" s="1">
        <f t="shared" si="21"/>
        <v>0</v>
      </c>
      <c r="J352" s="1">
        <f t="shared" si="22"/>
        <v>0</v>
      </c>
      <c r="L352" s="1">
        <f t="shared" si="23"/>
        <v>0</v>
      </c>
    </row>
    <row r="353" spans="6:12" ht="18" customHeight="1" x14ac:dyDescent="0.3">
      <c r="F353" s="1">
        <f t="shared" si="20"/>
        <v>0</v>
      </c>
      <c r="H353" s="1">
        <f t="shared" si="21"/>
        <v>0</v>
      </c>
      <c r="J353" s="1">
        <f t="shared" si="22"/>
        <v>0</v>
      </c>
      <c r="L353" s="1">
        <f t="shared" si="23"/>
        <v>0</v>
      </c>
    </row>
    <row r="354" spans="6:12" ht="18" customHeight="1" x14ac:dyDescent="0.3">
      <c r="F354" s="1">
        <f t="shared" si="20"/>
        <v>0</v>
      </c>
      <c r="H354" s="1">
        <f t="shared" si="21"/>
        <v>0</v>
      </c>
      <c r="J354" s="1">
        <f t="shared" si="22"/>
        <v>0</v>
      </c>
      <c r="L354" s="1">
        <f t="shared" si="23"/>
        <v>0</v>
      </c>
    </row>
    <row r="355" spans="6:12" ht="18" customHeight="1" x14ac:dyDescent="0.3">
      <c r="F355" s="1">
        <f t="shared" si="20"/>
        <v>0</v>
      </c>
      <c r="H355" s="1">
        <f t="shared" si="21"/>
        <v>0</v>
      </c>
      <c r="J355" s="1">
        <f t="shared" si="22"/>
        <v>0</v>
      </c>
      <c r="L355" s="1">
        <f t="shared" si="23"/>
        <v>0</v>
      </c>
    </row>
    <row r="356" spans="6:12" ht="18" customHeight="1" x14ac:dyDescent="0.3">
      <c r="F356" s="1">
        <f t="shared" si="20"/>
        <v>0</v>
      </c>
      <c r="H356" s="1">
        <f t="shared" si="21"/>
        <v>0</v>
      </c>
      <c r="J356" s="1">
        <f t="shared" si="22"/>
        <v>0</v>
      </c>
      <c r="L356" s="1">
        <f t="shared" si="23"/>
        <v>0</v>
      </c>
    </row>
    <row r="357" spans="6:12" ht="18" customHeight="1" x14ac:dyDescent="0.3">
      <c r="F357" s="1">
        <f t="shared" si="20"/>
        <v>0</v>
      </c>
      <c r="H357" s="1">
        <f t="shared" si="21"/>
        <v>0</v>
      </c>
      <c r="J357" s="1">
        <f t="shared" si="22"/>
        <v>0</v>
      </c>
      <c r="L357" s="1">
        <f t="shared" si="23"/>
        <v>0</v>
      </c>
    </row>
    <row r="358" spans="6:12" ht="18" customHeight="1" x14ac:dyDescent="0.3">
      <c r="F358" s="1">
        <f t="shared" si="20"/>
        <v>0</v>
      </c>
      <c r="H358" s="1">
        <f t="shared" si="21"/>
        <v>0</v>
      </c>
      <c r="J358" s="1">
        <f t="shared" si="22"/>
        <v>0</v>
      </c>
      <c r="L358" s="1">
        <f t="shared" si="23"/>
        <v>0</v>
      </c>
    </row>
    <row r="359" spans="6:12" ht="18" customHeight="1" x14ac:dyDescent="0.3">
      <c r="F359" s="1">
        <f t="shared" si="20"/>
        <v>0</v>
      </c>
      <c r="H359" s="1">
        <f t="shared" si="21"/>
        <v>0</v>
      </c>
      <c r="J359" s="1">
        <f t="shared" si="22"/>
        <v>0</v>
      </c>
      <c r="L359" s="1">
        <f t="shared" si="23"/>
        <v>0</v>
      </c>
    </row>
    <row r="360" spans="6:12" ht="18" customHeight="1" x14ac:dyDescent="0.3">
      <c r="F360" s="1">
        <f t="shared" si="20"/>
        <v>0</v>
      </c>
      <c r="H360" s="1">
        <f t="shared" si="21"/>
        <v>0</v>
      </c>
      <c r="J360" s="1">
        <f t="shared" si="22"/>
        <v>0</v>
      </c>
      <c r="L360" s="1">
        <f t="shared" si="23"/>
        <v>0</v>
      </c>
    </row>
    <row r="361" spans="6:12" ht="18" customHeight="1" x14ac:dyDescent="0.3">
      <c r="F361" s="1">
        <f t="shared" si="20"/>
        <v>0</v>
      </c>
      <c r="H361" s="1">
        <f t="shared" si="21"/>
        <v>0</v>
      </c>
      <c r="J361" s="1">
        <f t="shared" si="22"/>
        <v>0</v>
      </c>
      <c r="L361" s="1">
        <f t="shared" si="23"/>
        <v>0</v>
      </c>
    </row>
    <row r="362" spans="6:12" ht="18" customHeight="1" x14ac:dyDescent="0.3">
      <c r="F362" s="1">
        <f t="shared" si="20"/>
        <v>0</v>
      </c>
      <c r="H362" s="1">
        <f t="shared" si="21"/>
        <v>0</v>
      </c>
      <c r="J362" s="1">
        <f t="shared" si="22"/>
        <v>0</v>
      </c>
      <c r="L362" s="1">
        <f t="shared" si="23"/>
        <v>0</v>
      </c>
    </row>
    <row r="363" spans="6:12" ht="18" customHeight="1" x14ac:dyDescent="0.3">
      <c r="F363" s="1">
        <f t="shared" si="20"/>
        <v>0</v>
      </c>
      <c r="H363" s="1">
        <f t="shared" si="21"/>
        <v>0</v>
      </c>
      <c r="J363" s="1">
        <f t="shared" si="22"/>
        <v>0</v>
      </c>
      <c r="L363" s="1">
        <f t="shared" si="23"/>
        <v>0</v>
      </c>
    </row>
    <row r="364" spans="6:12" ht="18" customHeight="1" x14ac:dyDescent="0.3">
      <c r="F364" s="1">
        <f t="shared" si="20"/>
        <v>0</v>
      </c>
      <c r="H364" s="1">
        <f t="shared" si="21"/>
        <v>0</v>
      </c>
      <c r="J364" s="1">
        <f t="shared" si="22"/>
        <v>0</v>
      </c>
      <c r="L364" s="1">
        <f t="shared" si="23"/>
        <v>0</v>
      </c>
    </row>
    <row r="365" spans="6:12" ht="18" customHeight="1" x14ac:dyDescent="0.3">
      <c r="F365" s="1">
        <f t="shared" si="20"/>
        <v>0</v>
      </c>
      <c r="H365" s="1">
        <f t="shared" si="21"/>
        <v>0</v>
      </c>
      <c r="J365" s="1">
        <f t="shared" si="22"/>
        <v>0</v>
      </c>
      <c r="L365" s="1">
        <f t="shared" si="23"/>
        <v>0</v>
      </c>
    </row>
    <row r="366" spans="6:12" ht="18" customHeight="1" x14ac:dyDescent="0.3">
      <c r="F366" s="1">
        <f t="shared" si="20"/>
        <v>0</v>
      </c>
      <c r="H366" s="1">
        <f t="shared" si="21"/>
        <v>0</v>
      </c>
      <c r="J366" s="1">
        <f t="shared" si="22"/>
        <v>0</v>
      </c>
      <c r="L366" s="1">
        <f t="shared" si="23"/>
        <v>0</v>
      </c>
    </row>
    <row r="367" spans="6:12" ht="18" customHeight="1" x14ac:dyDescent="0.3">
      <c r="F367" s="1">
        <f t="shared" si="20"/>
        <v>0</v>
      </c>
      <c r="H367" s="1">
        <f t="shared" si="21"/>
        <v>0</v>
      </c>
      <c r="J367" s="1">
        <f t="shared" si="22"/>
        <v>0</v>
      </c>
      <c r="L367" s="1">
        <f t="shared" si="23"/>
        <v>0</v>
      </c>
    </row>
    <row r="368" spans="6:12" ht="18" customHeight="1" x14ac:dyDescent="0.3">
      <c r="F368" s="1">
        <f t="shared" si="20"/>
        <v>0</v>
      </c>
      <c r="H368" s="1">
        <f t="shared" si="21"/>
        <v>0</v>
      </c>
      <c r="J368" s="1">
        <f t="shared" si="22"/>
        <v>0</v>
      </c>
      <c r="L368" s="1">
        <f t="shared" si="23"/>
        <v>0</v>
      </c>
    </row>
    <row r="369" spans="6:12" ht="18" customHeight="1" x14ac:dyDescent="0.3">
      <c r="F369" s="1">
        <f t="shared" si="20"/>
        <v>0</v>
      </c>
      <c r="H369" s="1">
        <f t="shared" si="21"/>
        <v>0</v>
      </c>
      <c r="J369" s="1">
        <f t="shared" si="22"/>
        <v>0</v>
      </c>
      <c r="L369" s="1">
        <f t="shared" si="23"/>
        <v>0</v>
      </c>
    </row>
    <row r="370" spans="6:12" ht="18" customHeight="1" x14ac:dyDescent="0.3">
      <c r="F370" s="1">
        <f t="shared" si="20"/>
        <v>0</v>
      </c>
      <c r="H370" s="1">
        <f t="shared" si="21"/>
        <v>0</v>
      </c>
      <c r="J370" s="1">
        <f t="shared" si="22"/>
        <v>0</v>
      </c>
      <c r="L370" s="1">
        <f t="shared" si="23"/>
        <v>0</v>
      </c>
    </row>
    <row r="371" spans="6:12" ht="18" customHeight="1" x14ac:dyDescent="0.3">
      <c r="F371" s="1">
        <f t="shared" si="20"/>
        <v>0</v>
      </c>
      <c r="H371" s="1">
        <f t="shared" si="21"/>
        <v>0</v>
      </c>
      <c r="J371" s="1">
        <f t="shared" si="22"/>
        <v>0</v>
      </c>
      <c r="L371" s="1">
        <f t="shared" si="23"/>
        <v>0</v>
      </c>
    </row>
    <row r="372" spans="6:12" ht="18" customHeight="1" x14ac:dyDescent="0.3">
      <c r="F372" s="1">
        <f t="shared" si="20"/>
        <v>0</v>
      </c>
      <c r="H372" s="1">
        <f t="shared" si="21"/>
        <v>0</v>
      </c>
      <c r="J372" s="1">
        <f t="shared" si="22"/>
        <v>0</v>
      </c>
      <c r="L372" s="1">
        <f t="shared" si="23"/>
        <v>0</v>
      </c>
    </row>
    <row r="373" spans="6:12" ht="18" customHeight="1" x14ac:dyDescent="0.3">
      <c r="F373" s="1">
        <f t="shared" si="20"/>
        <v>0</v>
      </c>
      <c r="H373" s="1">
        <f t="shared" si="21"/>
        <v>0</v>
      </c>
      <c r="J373" s="1">
        <f t="shared" si="22"/>
        <v>0</v>
      </c>
      <c r="L373" s="1">
        <f t="shared" si="23"/>
        <v>0</v>
      </c>
    </row>
    <row r="374" spans="6:12" ht="18" customHeight="1" x14ac:dyDescent="0.3">
      <c r="F374" s="1">
        <f t="shared" si="20"/>
        <v>0</v>
      </c>
      <c r="H374" s="1">
        <f t="shared" si="21"/>
        <v>0</v>
      </c>
      <c r="J374" s="1">
        <f t="shared" si="22"/>
        <v>0</v>
      </c>
      <c r="L374" s="1">
        <f t="shared" si="23"/>
        <v>0</v>
      </c>
    </row>
    <row r="375" spans="6:12" ht="18" customHeight="1" x14ac:dyDescent="0.3">
      <c r="F375" s="1">
        <f t="shared" si="20"/>
        <v>0</v>
      </c>
      <c r="H375" s="1">
        <f t="shared" si="21"/>
        <v>0</v>
      </c>
      <c r="J375" s="1">
        <f t="shared" si="22"/>
        <v>0</v>
      </c>
      <c r="L375" s="1">
        <f t="shared" si="23"/>
        <v>0</v>
      </c>
    </row>
    <row r="376" spans="6:12" ht="18" customHeight="1" x14ac:dyDescent="0.3">
      <c r="F376" s="1">
        <f t="shared" si="20"/>
        <v>0</v>
      </c>
      <c r="H376" s="1">
        <f t="shared" si="21"/>
        <v>0</v>
      </c>
      <c r="J376" s="1">
        <f t="shared" si="22"/>
        <v>0</v>
      </c>
      <c r="L376" s="1">
        <f t="shared" si="23"/>
        <v>0</v>
      </c>
    </row>
    <row r="377" spans="6:12" ht="18" customHeight="1" x14ac:dyDescent="0.3">
      <c r="F377" s="1">
        <f t="shared" si="20"/>
        <v>0</v>
      </c>
      <c r="H377" s="1">
        <f t="shared" si="21"/>
        <v>0</v>
      </c>
      <c r="J377" s="1">
        <f t="shared" si="22"/>
        <v>0</v>
      </c>
      <c r="L377" s="1">
        <f t="shared" si="23"/>
        <v>0</v>
      </c>
    </row>
    <row r="378" spans="6:12" ht="18" customHeight="1" x14ac:dyDescent="0.3">
      <c r="F378" s="1">
        <f t="shared" si="20"/>
        <v>0</v>
      </c>
      <c r="H378" s="1">
        <f t="shared" si="21"/>
        <v>0</v>
      </c>
      <c r="J378" s="1">
        <f t="shared" si="22"/>
        <v>0</v>
      </c>
      <c r="L378" s="1">
        <f t="shared" si="23"/>
        <v>0</v>
      </c>
    </row>
    <row r="379" spans="6:12" ht="18" customHeight="1" x14ac:dyDescent="0.3">
      <c r="F379" s="1">
        <f t="shared" si="20"/>
        <v>0</v>
      </c>
      <c r="H379" s="1">
        <f t="shared" si="21"/>
        <v>0</v>
      </c>
      <c r="J379" s="1">
        <f t="shared" si="22"/>
        <v>0</v>
      </c>
      <c r="L379" s="1">
        <f t="shared" si="23"/>
        <v>0</v>
      </c>
    </row>
    <row r="380" spans="6:12" ht="18" customHeight="1" x14ac:dyDescent="0.3">
      <c r="F380" s="1">
        <f t="shared" si="20"/>
        <v>0</v>
      </c>
      <c r="H380" s="1">
        <f t="shared" si="21"/>
        <v>0</v>
      </c>
      <c r="J380" s="1">
        <f t="shared" si="22"/>
        <v>0</v>
      </c>
      <c r="L380" s="1">
        <f t="shared" si="23"/>
        <v>0</v>
      </c>
    </row>
    <row r="381" spans="6:12" ht="18" customHeight="1" x14ac:dyDescent="0.3">
      <c r="F381" s="1">
        <f t="shared" si="20"/>
        <v>0</v>
      </c>
      <c r="H381" s="1">
        <f t="shared" si="21"/>
        <v>0</v>
      </c>
      <c r="J381" s="1">
        <f t="shared" si="22"/>
        <v>0</v>
      </c>
      <c r="L381" s="1">
        <f t="shared" si="23"/>
        <v>0</v>
      </c>
    </row>
    <row r="382" spans="6:12" ht="18" customHeight="1" x14ac:dyDescent="0.3">
      <c r="F382" s="1">
        <f t="shared" si="20"/>
        <v>0</v>
      </c>
      <c r="H382" s="1">
        <f t="shared" si="21"/>
        <v>0</v>
      </c>
      <c r="J382" s="1">
        <f t="shared" si="22"/>
        <v>0</v>
      </c>
      <c r="L382" s="1">
        <f t="shared" si="23"/>
        <v>0</v>
      </c>
    </row>
    <row r="383" spans="6:12" ht="18" customHeight="1" x14ac:dyDescent="0.3">
      <c r="F383" s="1">
        <f t="shared" si="20"/>
        <v>0</v>
      </c>
      <c r="H383" s="1">
        <f t="shared" si="21"/>
        <v>0</v>
      </c>
      <c r="J383" s="1">
        <f t="shared" si="22"/>
        <v>0</v>
      </c>
      <c r="L383" s="1">
        <f t="shared" si="23"/>
        <v>0</v>
      </c>
    </row>
    <row r="384" spans="6:12" ht="18" customHeight="1" x14ac:dyDescent="0.3">
      <c r="F384" s="1">
        <f t="shared" si="20"/>
        <v>0</v>
      </c>
      <c r="H384" s="1">
        <f t="shared" si="21"/>
        <v>0</v>
      </c>
      <c r="J384" s="1">
        <f t="shared" si="22"/>
        <v>0</v>
      </c>
      <c r="L384" s="1">
        <f t="shared" si="23"/>
        <v>0</v>
      </c>
    </row>
    <row r="385" spans="6:12" ht="18" customHeight="1" x14ac:dyDescent="0.3">
      <c r="F385" s="1">
        <f t="shared" si="20"/>
        <v>0</v>
      </c>
      <c r="H385" s="1">
        <f t="shared" si="21"/>
        <v>0</v>
      </c>
      <c r="J385" s="1">
        <f t="shared" si="22"/>
        <v>0</v>
      </c>
      <c r="L385" s="1">
        <f t="shared" si="23"/>
        <v>0</v>
      </c>
    </row>
    <row r="386" spans="6:12" ht="18" customHeight="1" x14ac:dyDescent="0.3">
      <c r="F386" s="1">
        <f t="shared" si="20"/>
        <v>0</v>
      </c>
      <c r="H386" s="1">
        <f t="shared" si="21"/>
        <v>0</v>
      </c>
      <c r="J386" s="1">
        <f t="shared" si="22"/>
        <v>0</v>
      </c>
      <c r="L386" s="1">
        <f t="shared" si="23"/>
        <v>0</v>
      </c>
    </row>
    <row r="387" spans="6:12" ht="18" customHeight="1" x14ac:dyDescent="0.3">
      <c r="F387" s="1">
        <f t="shared" si="20"/>
        <v>0</v>
      </c>
      <c r="H387" s="1">
        <f t="shared" si="21"/>
        <v>0</v>
      </c>
      <c r="J387" s="1">
        <f t="shared" si="22"/>
        <v>0</v>
      </c>
      <c r="L387" s="1">
        <f t="shared" si="23"/>
        <v>0</v>
      </c>
    </row>
    <row r="388" spans="6:12" ht="18" customHeight="1" x14ac:dyDescent="0.3">
      <c r="F388" s="1">
        <f t="shared" si="20"/>
        <v>0</v>
      </c>
      <c r="H388" s="1">
        <f t="shared" si="21"/>
        <v>0</v>
      </c>
      <c r="J388" s="1">
        <f t="shared" si="22"/>
        <v>0</v>
      </c>
      <c r="L388" s="1">
        <f t="shared" si="23"/>
        <v>0</v>
      </c>
    </row>
    <row r="389" spans="6:12" ht="18" customHeight="1" x14ac:dyDescent="0.3">
      <c r="F389" s="1">
        <f t="shared" ref="F389:F452" si="24">SUM(H389,J389,L389)</f>
        <v>0</v>
      </c>
      <c r="H389" s="1">
        <f t="shared" ref="H389:H452" si="25">ROUNDUP(D389*G389,0)</f>
        <v>0</v>
      </c>
      <c r="J389" s="1">
        <f t="shared" ref="J389:J452" si="26">ROUNDUP(D389*I389,0)</f>
        <v>0</v>
      </c>
      <c r="L389" s="1">
        <f t="shared" ref="L389:L452" si="27">ROUNDUP(D389*K389,0)</f>
        <v>0</v>
      </c>
    </row>
    <row r="390" spans="6:12" ht="18" customHeight="1" x14ac:dyDescent="0.3">
      <c r="F390" s="1">
        <f t="shared" si="24"/>
        <v>0</v>
      </c>
      <c r="H390" s="1">
        <f t="shared" si="25"/>
        <v>0</v>
      </c>
      <c r="J390" s="1">
        <f t="shared" si="26"/>
        <v>0</v>
      </c>
      <c r="L390" s="1">
        <f t="shared" si="27"/>
        <v>0</v>
      </c>
    </row>
    <row r="391" spans="6:12" ht="18" customHeight="1" x14ac:dyDescent="0.3">
      <c r="F391" s="1">
        <f t="shared" si="24"/>
        <v>0</v>
      </c>
      <c r="H391" s="1">
        <f t="shared" si="25"/>
        <v>0</v>
      </c>
      <c r="J391" s="1">
        <f t="shared" si="26"/>
        <v>0</v>
      </c>
      <c r="L391" s="1">
        <f t="shared" si="27"/>
        <v>0</v>
      </c>
    </row>
    <row r="392" spans="6:12" ht="18" customHeight="1" x14ac:dyDescent="0.3">
      <c r="F392" s="1">
        <f t="shared" si="24"/>
        <v>0</v>
      </c>
      <c r="H392" s="1">
        <f t="shared" si="25"/>
        <v>0</v>
      </c>
      <c r="J392" s="1">
        <f t="shared" si="26"/>
        <v>0</v>
      </c>
      <c r="L392" s="1">
        <f t="shared" si="27"/>
        <v>0</v>
      </c>
    </row>
    <row r="393" spans="6:12" ht="18" customHeight="1" x14ac:dyDescent="0.3">
      <c r="F393" s="1">
        <f t="shared" si="24"/>
        <v>0</v>
      </c>
      <c r="H393" s="1">
        <f t="shared" si="25"/>
        <v>0</v>
      </c>
      <c r="J393" s="1">
        <f t="shared" si="26"/>
        <v>0</v>
      </c>
      <c r="L393" s="1">
        <f t="shared" si="27"/>
        <v>0</v>
      </c>
    </row>
    <row r="394" spans="6:12" ht="18" customHeight="1" x14ac:dyDescent="0.3">
      <c r="F394" s="1">
        <f t="shared" si="24"/>
        <v>0</v>
      </c>
      <c r="H394" s="1">
        <f t="shared" si="25"/>
        <v>0</v>
      </c>
      <c r="J394" s="1">
        <f t="shared" si="26"/>
        <v>0</v>
      </c>
      <c r="L394" s="1">
        <f t="shared" si="27"/>
        <v>0</v>
      </c>
    </row>
    <row r="395" spans="6:12" ht="18" customHeight="1" x14ac:dyDescent="0.3">
      <c r="F395" s="1">
        <f t="shared" si="24"/>
        <v>0</v>
      </c>
      <c r="H395" s="1">
        <f t="shared" si="25"/>
        <v>0</v>
      </c>
      <c r="J395" s="1">
        <f t="shared" si="26"/>
        <v>0</v>
      </c>
      <c r="L395" s="1">
        <f t="shared" si="27"/>
        <v>0</v>
      </c>
    </row>
    <row r="396" spans="6:12" ht="18" customHeight="1" x14ac:dyDescent="0.3">
      <c r="F396" s="1">
        <f t="shared" si="24"/>
        <v>0</v>
      </c>
      <c r="H396" s="1">
        <f t="shared" si="25"/>
        <v>0</v>
      </c>
      <c r="J396" s="1">
        <f t="shared" si="26"/>
        <v>0</v>
      </c>
      <c r="L396" s="1">
        <f t="shared" si="27"/>
        <v>0</v>
      </c>
    </row>
    <row r="397" spans="6:12" ht="18" customHeight="1" x14ac:dyDescent="0.3">
      <c r="F397" s="1">
        <f t="shared" si="24"/>
        <v>0</v>
      </c>
      <c r="H397" s="1">
        <f t="shared" si="25"/>
        <v>0</v>
      </c>
      <c r="J397" s="1">
        <f t="shared" si="26"/>
        <v>0</v>
      </c>
      <c r="L397" s="1">
        <f t="shared" si="27"/>
        <v>0</v>
      </c>
    </row>
    <row r="398" spans="6:12" ht="18" customHeight="1" x14ac:dyDescent="0.3">
      <c r="F398" s="1">
        <f t="shared" si="24"/>
        <v>0</v>
      </c>
      <c r="H398" s="1">
        <f t="shared" si="25"/>
        <v>0</v>
      </c>
      <c r="J398" s="1">
        <f t="shared" si="26"/>
        <v>0</v>
      </c>
      <c r="L398" s="1">
        <f t="shared" si="27"/>
        <v>0</v>
      </c>
    </row>
    <row r="399" spans="6:12" ht="18" customHeight="1" x14ac:dyDescent="0.3">
      <c r="F399" s="1">
        <f t="shared" si="24"/>
        <v>0</v>
      </c>
      <c r="H399" s="1">
        <f t="shared" si="25"/>
        <v>0</v>
      </c>
      <c r="J399" s="1">
        <f t="shared" si="26"/>
        <v>0</v>
      </c>
      <c r="L399" s="1">
        <f t="shared" si="27"/>
        <v>0</v>
      </c>
    </row>
    <row r="400" spans="6:12" ht="18" customHeight="1" x14ac:dyDescent="0.3">
      <c r="F400" s="1">
        <f t="shared" si="24"/>
        <v>0</v>
      </c>
      <c r="H400" s="1">
        <f t="shared" si="25"/>
        <v>0</v>
      </c>
      <c r="J400" s="1">
        <f t="shared" si="26"/>
        <v>0</v>
      </c>
      <c r="L400" s="1">
        <f t="shared" si="27"/>
        <v>0</v>
      </c>
    </row>
    <row r="401" spans="6:12" ht="18" customHeight="1" x14ac:dyDescent="0.3">
      <c r="F401" s="1">
        <f t="shared" si="24"/>
        <v>0</v>
      </c>
      <c r="H401" s="1">
        <f t="shared" si="25"/>
        <v>0</v>
      </c>
      <c r="J401" s="1">
        <f t="shared" si="26"/>
        <v>0</v>
      </c>
      <c r="L401" s="1">
        <f t="shared" si="27"/>
        <v>0</v>
      </c>
    </row>
    <row r="402" spans="6:12" ht="18" customHeight="1" x14ac:dyDescent="0.3">
      <c r="F402" s="1">
        <f t="shared" si="24"/>
        <v>0</v>
      </c>
      <c r="H402" s="1">
        <f t="shared" si="25"/>
        <v>0</v>
      </c>
      <c r="J402" s="1">
        <f t="shared" si="26"/>
        <v>0</v>
      </c>
      <c r="L402" s="1">
        <f t="shared" si="27"/>
        <v>0</v>
      </c>
    </row>
    <row r="403" spans="6:12" ht="18" customHeight="1" x14ac:dyDescent="0.3">
      <c r="F403" s="1">
        <f t="shared" si="24"/>
        <v>0</v>
      </c>
      <c r="H403" s="1">
        <f t="shared" si="25"/>
        <v>0</v>
      </c>
      <c r="J403" s="1">
        <f t="shared" si="26"/>
        <v>0</v>
      </c>
      <c r="L403" s="1">
        <f t="shared" si="27"/>
        <v>0</v>
      </c>
    </row>
    <row r="404" spans="6:12" ht="18" customHeight="1" x14ac:dyDescent="0.3">
      <c r="F404" s="1">
        <f t="shared" si="24"/>
        <v>0</v>
      </c>
      <c r="H404" s="1">
        <f t="shared" si="25"/>
        <v>0</v>
      </c>
      <c r="J404" s="1">
        <f t="shared" si="26"/>
        <v>0</v>
      </c>
      <c r="L404" s="1">
        <f t="shared" si="27"/>
        <v>0</v>
      </c>
    </row>
    <row r="405" spans="6:12" ht="18" customHeight="1" x14ac:dyDescent="0.3">
      <c r="F405" s="1">
        <f t="shared" si="24"/>
        <v>0</v>
      </c>
      <c r="H405" s="1">
        <f t="shared" si="25"/>
        <v>0</v>
      </c>
      <c r="J405" s="1">
        <f t="shared" si="26"/>
        <v>0</v>
      </c>
      <c r="L405" s="1">
        <f t="shared" si="27"/>
        <v>0</v>
      </c>
    </row>
    <row r="406" spans="6:12" ht="18" customHeight="1" x14ac:dyDescent="0.3">
      <c r="F406" s="1">
        <f t="shared" si="24"/>
        <v>0</v>
      </c>
      <c r="H406" s="1">
        <f t="shared" si="25"/>
        <v>0</v>
      </c>
      <c r="J406" s="1">
        <f t="shared" si="26"/>
        <v>0</v>
      </c>
      <c r="L406" s="1">
        <f t="shared" si="27"/>
        <v>0</v>
      </c>
    </row>
    <row r="407" spans="6:12" ht="18" customHeight="1" x14ac:dyDescent="0.3">
      <c r="F407" s="1">
        <f t="shared" si="24"/>
        <v>0</v>
      </c>
      <c r="H407" s="1">
        <f t="shared" si="25"/>
        <v>0</v>
      </c>
      <c r="J407" s="1">
        <f t="shared" si="26"/>
        <v>0</v>
      </c>
      <c r="L407" s="1">
        <f t="shared" si="27"/>
        <v>0</v>
      </c>
    </row>
    <row r="408" spans="6:12" ht="18" customHeight="1" x14ac:dyDescent="0.3">
      <c r="F408" s="1">
        <f t="shared" si="24"/>
        <v>0</v>
      </c>
      <c r="H408" s="1">
        <f t="shared" si="25"/>
        <v>0</v>
      </c>
      <c r="J408" s="1">
        <f t="shared" si="26"/>
        <v>0</v>
      </c>
      <c r="L408" s="1">
        <f t="shared" si="27"/>
        <v>0</v>
      </c>
    </row>
    <row r="409" spans="6:12" ht="18" customHeight="1" x14ac:dyDescent="0.3">
      <c r="F409" s="1">
        <f t="shared" si="24"/>
        <v>0</v>
      </c>
      <c r="H409" s="1">
        <f t="shared" si="25"/>
        <v>0</v>
      </c>
      <c r="J409" s="1">
        <f t="shared" si="26"/>
        <v>0</v>
      </c>
      <c r="L409" s="1">
        <f t="shared" si="27"/>
        <v>0</v>
      </c>
    </row>
    <row r="410" spans="6:12" ht="18" customHeight="1" x14ac:dyDescent="0.3">
      <c r="F410" s="1">
        <f t="shared" si="24"/>
        <v>0</v>
      </c>
      <c r="H410" s="1">
        <f t="shared" si="25"/>
        <v>0</v>
      </c>
      <c r="J410" s="1">
        <f t="shared" si="26"/>
        <v>0</v>
      </c>
      <c r="L410" s="1">
        <f t="shared" si="27"/>
        <v>0</v>
      </c>
    </row>
    <row r="411" spans="6:12" ht="18" customHeight="1" x14ac:dyDescent="0.3">
      <c r="F411" s="1">
        <f t="shared" si="24"/>
        <v>0</v>
      </c>
      <c r="H411" s="1">
        <f t="shared" si="25"/>
        <v>0</v>
      </c>
      <c r="J411" s="1">
        <f t="shared" si="26"/>
        <v>0</v>
      </c>
      <c r="L411" s="1">
        <f t="shared" si="27"/>
        <v>0</v>
      </c>
    </row>
    <row r="412" spans="6:12" ht="18" customHeight="1" x14ac:dyDescent="0.3">
      <c r="F412" s="1">
        <f t="shared" si="24"/>
        <v>0</v>
      </c>
      <c r="H412" s="1">
        <f t="shared" si="25"/>
        <v>0</v>
      </c>
      <c r="J412" s="1">
        <f t="shared" si="26"/>
        <v>0</v>
      </c>
      <c r="L412" s="1">
        <f t="shared" si="27"/>
        <v>0</v>
      </c>
    </row>
    <row r="413" spans="6:12" ht="18" customHeight="1" x14ac:dyDescent="0.3">
      <c r="F413" s="1">
        <f t="shared" si="24"/>
        <v>0</v>
      </c>
      <c r="H413" s="1">
        <f t="shared" si="25"/>
        <v>0</v>
      </c>
      <c r="J413" s="1">
        <f t="shared" si="26"/>
        <v>0</v>
      </c>
      <c r="L413" s="1">
        <f t="shared" si="27"/>
        <v>0</v>
      </c>
    </row>
    <row r="414" spans="6:12" ht="18" customHeight="1" x14ac:dyDescent="0.3">
      <c r="F414" s="1">
        <f t="shared" si="24"/>
        <v>0</v>
      </c>
      <c r="H414" s="1">
        <f t="shared" si="25"/>
        <v>0</v>
      </c>
      <c r="J414" s="1">
        <f t="shared" si="26"/>
        <v>0</v>
      </c>
      <c r="L414" s="1">
        <f t="shared" si="27"/>
        <v>0</v>
      </c>
    </row>
    <row r="415" spans="6:12" ht="18" customHeight="1" x14ac:dyDescent="0.3">
      <c r="F415" s="1">
        <f t="shared" si="24"/>
        <v>0</v>
      </c>
      <c r="H415" s="1">
        <f t="shared" si="25"/>
        <v>0</v>
      </c>
      <c r="J415" s="1">
        <f t="shared" si="26"/>
        <v>0</v>
      </c>
      <c r="L415" s="1">
        <f t="shared" si="27"/>
        <v>0</v>
      </c>
    </row>
    <row r="416" spans="6:12" ht="18" customHeight="1" x14ac:dyDescent="0.3">
      <c r="F416" s="1">
        <f t="shared" si="24"/>
        <v>0</v>
      </c>
      <c r="H416" s="1">
        <f t="shared" si="25"/>
        <v>0</v>
      </c>
      <c r="J416" s="1">
        <f t="shared" si="26"/>
        <v>0</v>
      </c>
      <c r="L416" s="1">
        <f t="shared" si="27"/>
        <v>0</v>
      </c>
    </row>
    <row r="417" spans="6:12" ht="18" customHeight="1" x14ac:dyDescent="0.3">
      <c r="F417" s="1">
        <f t="shared" si="24"/>
        <v>0</v>
      </c>
      <c r="H417" s="1">
        <f t="shared" si="25"/>
        <v>0</v>
      </c>
      <c r="J417" s="1">
        <f t="shared" si="26"/>
        <v>0</v>
      </c>
      <c r="L417" s="1">
        <f t="shared" si="27"/>
        <v>0</v>
      </c>
    </row>
    <row r="418" spans="6:12" ht="18" customHeight="1" x14ac:dyDescent="0.3">
      <c r="F418" s="1">
        <f t="shared" si="24"/>
        <v>0</v>
      </c>
      <c r="H418" s="1">
        <f t="shared" si="25"/>
        <v>0</v>
      </c>
      <c r="J418" s="1">
        <f t="shared" si="26"/>
        <v>0</v>
      </c>
      <c r="L418" s="1">
        <f t="shared" si="27"/>
        <v>0</v>
      </c>
    </row>
    <row r="419" spans="6:12" ht="18" customHeight="1" x14ac:dyDescent="0.3">
      <c r="F419" s="1">
        <f t="shared" si="24"/>
        <v>0</v>
      </c>
      <c r="H419" s="1">
        <f t="shared" si="25"/>
        <v>0</v>
      </c>
      <c r="J419" s="1">
        <f t="shared" si="26"/>
        <v>0</v>
      </c>
      <c r="L419" s="1">
        <f t="shared" si="27"/>
        <v>0</v>
      </c>
    </row>
    <row r="420" spans="6:12" ht="18" customHeight="1" x14ac:dyDescent="0.3">
      <c r="F420" s="1">
        <f t="shared" si="24"/>
        <v>0</v>
      </c>
      <c r="H420" s="1">
        <f t="shared" si="25"/>
        <v>0</v>
      </c>
      <c r="J420" s="1">
        <f t="shared" si="26"/>
        <v>0</v>
      </c>
      <c r="L420" s="1">
        <f t="shared" si="27"/>
        <v>0</v>
      </c>
    </row>
    <row r="421" spans="6:12" ht="18" customHeight="1" x14ac:dyDescent="0.3">
      <c r="F421" s="1">
        <f t="shared" si="24"/>
        <v>0</v>
      </c>
      <c r="H421" s="1">
        <f t="shared" si="25"/>
        <v>0</v>
      </c>
      <c r="J421" s="1">
        <f t="shared" si="26"/>
        <v>0</v>
      </c>
      <c r="L421" s="1">
        <f t="shared" si="27"/>
        <v>0</v>
      </c>
    </row>
    <row r="422" spans="6:12" ht="18" customHeight="1" x14ac:dyDescent="0.3">
      <c r="F422" s="1">
        <f t="shared" si="24"/>
        <v>0</v>
      </c>
      <c r="H422" s="1">
        <f t="shared" si="25"/>
        <v>0</v>
      </c>
      <c r="J422" s="1">
        <f t="shared" si="26"/>
        <v>0</v>
      </c>
      <c r="L422" s="1">
        <f t="shared" si="27"/>
        <v>0</v>
      </c>
    </row>
    <row r="423" spans="6:12" ht="18" customHeight="1" x14ac:dyDescent="0.3">
      <c r="F423" s="1">
        <f t="shared" si="24"/>
        <v>0</v>
      </c>
      <c r="H423" s="1">
        <f t="shared" si="25"/>
        <v>0</v>
      </c>
      <c r="J423" s="1">
        <f t="shared" si="26"/>
        <v>0</v>
      </c>
      <c r="L423" s="1">
        <f t="shared" si="27"/>
        <v>0</v>
      </c>
    </row>
    <row r="424" spans="6:12" ht="18" customHeight="1" x14ac:dyDescent="0.3">
      <c r="F424" s="1">
        <f t="shared" si="24"/>
        <v>0</v>
      </c>
      <c r="H424" s="1">
        <f t="shared" si="25"/>
        <v>0</v>
      </c>
      <c r="J424" s="1">
        <f t="shared" si="26"/>
        <v>0</v>
      </c>
      <c r="L424" s="1">
        <f t="shared" si="27"/>
        <v>0</v>
      </c>
    </row>
    <row r="425" spans="6:12" ht="18" customHeight="1" x14ac:dyDescent="0.3">
      <c r="F425" s="1">
        <f t="shared" si="24"/>
        <v>0</v>
      </c>
      <c r="H425" s="1">
        <f t="shared" si="25"/>
        <v>0</v>
      </c>
      <c r="J425" s="1">
        <f t="shared" si="26"/>
        <v>0</v>
      </c>
      <c r="L425" s="1">
        <f t="shared" si="27"/>
        <v>0</v>
      </c>
    </row>
    <row r="426" spans="6:12" ht="18" customHeight="1" x14ac:dyDescent="0.3">
      <c r="F426" s="1">
        <f t="shared" si="24"/>
        <v>0</v>
      </c>
      <c r="H426" s="1">
        <f t="shared" si="25"/>
        <v>0</v>
      </c>
      <c r="J426" s="1">
        <f t="shared" si="26"/>
        <v>0</v>
      </c>
      <c r="L426" s="1">
        <f t="shared" si="27"/>
        <v>0</v>
      </c>
    </row>
    <row r="427" spans="6:12" ht="18" customHeight="1" x14ac:dyDescent="0.3">
      <c r="F427" s="1">
        <f t="shared" si="24"/>
        <v>0</v>
      </c>
      <c r="H427" s="1">
        <f t="shared" si="25"/>
        <v>0</v>
      </c>
      <c r="J427" s="1">
        <f t="shared" si="26"/>
        <v>0</v>
      </c>
      <c r="L427" s="1">
        <f t="shared" si="27"/>
        <v>0</v>
      </c>
    </row>
    <row r="428" spans="6:12" ht="18" customHeight="1" x14ac:dyDescent="0.3">
      <c r="F428" s="1">
        <f t="shared" si="24"/>
        <v>0</v>
      </c>
      <c r="H428" s="1">
        <f t="shared" si="25"/>
        <v>0</v>
      </c>
      <c r="J428" s="1">
        <f t="shared" si="26"/>
        <v>0</v>
      </c>
      <c r="L428" s="1">
        <f t="shared" si="27"/>
        <v>0</v>
      </c>
    </row>
    <row r="429" spans="6:12" ht="18" customHeight="1" x14ac:dyDescent="0.3">
      <c r="F429" s="1">
        <f t="shared" si="24"/>
        <v>0</v>
      </c>
      <c r="H429" s="1">
        <f t="shared" si="25"/>
        <v>0</v>
      </c>
      <c r="J429" s="1">
        <f t="shared" si="26"/>
        <v>0</v>
      </c>
      <c r="L429" s="1">
        <f t="shared" si="27"/>
        <v>0</v>
      </c>
    </row>
    <row r="430" spans="6:12" ht="18" customHeight="1" x14ac:dyDescent="0.3">
      <c r="F430" s="1">
        <f t="shared" si="24"/>
        <v>0</v>
      </c>
      <c r="H430" s="1">
        <f t="shared" si="25"/>
        <v>0</v>
      </c>
      <c r="J430" s="1">
        <f t="shared" si="26"/>
        <v>0</v>
      </c>
      <c r="L430" s="1">
        <f t="shared" si="27"/>
        <v>0</v>
      </c>
    </row>
    <row r="431" spans="6:12" ht="18" customHeight="1" x14ac:dyDescent="0.3">
      <c r="F431" s="1">
        <f t="shared" si="24"/>
        <v>0</v>
      </c>
      <c r="H431" s="1">
        <f t="shared" si="25"/>
        <v>0</v>
      </c>
      <c r="J431" s="1">
        <f t="shared" si="26"/>
        <v>0</v>
      </c>
      <c r="L431" s="1">
        <f t="shared" si="27"/>
        <v>0</v>
      </c>
    </row>
    <row r="432" spans="6:12" ht="18" customHeight="1" x14ac:dyDescent="0.3">
      <c r="F432" s="1">
        <f t="shared" si="24"/>
        <v>0</v>
      </c>
      <c r="H432" s="1">
        <f t="shared" si="25"/>
        <v>0</v>
      </c>
      <c r="J432" s="1">
        <f t="shared" si="26"/>
        <v>0</v>
      </c>
      <c r="L432" s="1">
        <f t="shared" si="27"/>
        <v>0</v>
      </c>
    </row>
    <row r="433" spans="6:12" ht="18" customHeight="1" x14ac:dyDescent="0.3">
      <c r="F433" s="1">
        <f t="shared" si="24"/>
        <v>0</v>
      </c>
      <c r="H433" s="1">
        <f t="shared" si="25"/>
        <v>0</v>
      </c>
      <c r="J433" s="1">
        <f t="shared" si="26"/>
        <v>0</v>
      </c>
      <c r="L433" s="1">
        <f t="shared" si="27"/>
        <v>0</v>
      </c>
    </row>
    <row r="434" spans="6:12" ht="18" customHeight="1" x14ac:dyDescent="0.3">
      <c r="F434" s="1">
        <f t="shared" si="24"/>
        <v>0</v>
      </c>
      <c r="H434" s="1">
        <f t="shared" si="25"/>
        <v>0</v>
      </c>
      <c r="J434" s="1">
        <f t="shared" si="26"/>
        <v>0</v>
      </c>
      <c r="L434" s="1">
        <f t="shared" si="27"/>
        <v>0</v>
      </c>
    </row>
    <row r="435" spans="6:12" ht="18" customHeight="1" x14ac:dyDescent="0.3">
      <c r="F435" s="1">
        <f t="shared" si="24"/>
        <v>0</v>
      </c>
      <c r="H435" s="1">
        <f t="shared" si="25"/>
        <v>0</v>
      </c>
      <c r="J435" s="1">
        <f t="shared" si="26"/>
        <v>0</v>
      </c>
      <c r="L435" s="1">
        <f t="shared" si="27"/>
        <v>0</v>
      </c>
    </row>
    <row r="436" spans="6:12" ht="18" customHeight="1" x14ac:dyDescent="0.3">
      <c r="F436" s="1">
        <f t="shared" si="24"/>
        <v>0</v>
      </c>
      <c r="H436" s="1">
        <f t="shared" si="25"/>
        <v>0</v>
      </c>
      <c r="J436" s="1">
        <f t="shared" si="26"/>
        <v>0</v>
      </c>
      <c r="L436" s="1">
        <f t="shared" si="27"/>
        <v>0</v>
      </c>
    </row>
    <row r="437" spans="6:12" ht="18" customHeight="1" x14ac:dyDescent="0.3">
      <c r="F437" s="1">
        <f t="shared" si="24"/>
        <v>0</v>
      </c>
      <c r="H437" s="1">
        <f t="shared" si="25"/>
        <v>0</v>
      </c>
      <c r="J437" s="1">
        <f t="shared" si="26"/>
        <v>0</v>
      </c>
      <c r="L437" s="1">
        <f t="shared" si="27"/>
        <v>0</v>
      </c>
    </row>
    <row r="438" spans="6:12" ht="18" customHeight="1" x14ac:dyDescent="0.3">
      <c r="F438" s="1">
        <f t="shared" si="24"/>
        <v>0</v>
      </c>
      <c r="H438" s="1">
        <f t="shared" si="25"/>
        <v>0</v>
      </c>
      <c r="J438" s="1">
        <f t="shared" si="26"/>
        <v>0</v>
      </c>
      <c r="L438" s="1">
        <f t="shared" si="27"/>
        <v>0</v>
      </c>
    </row>
    <row r="439" spans="6:12" ht="18" customHeight="1" x14ac:dyDescent="0.3">
      <c r="F439" s="1">
        <f t="shared" si="24"/>
        <v>0</v>
      </c>
      <c r="H439" s="1">
        <f t="shared" si="25"/>
        <v>0</v>
      </c>
      <c r="J439" s="1">
        <f t="shared" si="26"/>
        <v>0</v>
      </c>
      <c r="L439" s="1">
        <f t="shared" si="27"/>
        <v>0</v>
      </c>
    </row>
    <row r="440" spans="6:12" ht="18" customHeight="1" x14ac:dyDescent="0.3">
      <c r="F440" s="1">
        <f t="shared" si="24"/>
        <v>0</v>
      </c>
      <c r="H440" s="1">
        <f t="shared" si="25"/>
        <v>0</v>
      </c>
      <c r="J440" s="1">
        <f t="shared" si="26"/>
        <v>0</v>
      </c>
      <c r="L440" s="1">
        <f t="shared" si="27"/>
        <v>0</v>
      </c>
    </row>
    <row r="441" spans="6:12" ht="18" customHeight="1" x14ac:dyDescent="0.3">
      <c r="F441" s="1">
        <f t="shared" si="24"/>
        <v>0</v>
      </c>
      <c r="H441" s="1">
        <f t="shared" si="25"/>
        <v>0</v>
      </c>
      <c r="J441" s="1">
        <f t="shared" si="26"/>
        <v>0</v>
      </c>
      <c r="L441" s="1">
        <f t="shared" si="27"/>
        <v>0</v>
      </c>
    </row>
    <row r="442" spans="6:12" ht="18" customHeight="1" x14ac:dyDescent="0.3">
      <c r="F442" s="1">
        <f t="shared" si="24"/>
        <v>0</v>
      </c>
      <c r="H442" s="1">
        <f t="shared" si="25"/>
        <v>0</v>
      </c>
      <c r="J442" s="1">
        <f t="shared" si="26"/>
        <v>0</v>
      </c>
      <c r="L442" s="1">
        <f t="shared" si="27"/>
        <v>0</v>
      </c>
    </row>
    <row r="443" spans="6:12" ht="18" customHeight="1" x14ac:dyDescent="0.3">
      <c r="F443" s="1">
        <f t="shared" si="24"/>
        <v>0</v>
      </c>
      <c r="H443" s="1">
        <f t="shared" si="25"/>
        <v>0</v>
      </c>
      <c r="J443" s="1">
        <f t="shared" si="26"/>
        <v>0</v>
      </c>
      <c r="L443" s="1">
        <f t="shared" si="27"/>
        <v>0</v>
      </c>
    </row>
    <row r="444" spans="6:12" ht="18" customHeight="1" x14ac:dyDescent="0.3">
      <c r="F444" s="1">
        <f t="shared" si="24"/>
        <v>0</v>
      </c>
      <c r="H444" s="1">
        <f t="shared" si="25"/>
        <v>0</v>
      </c>
      <c r="J444" s="1">
        <f t="shared" si="26"/>
        <v>0</v>
      </c>
      <c r="L444" s="1">
        <f t="shared" si="27"/>
        <v>0</v>
      </c>
    </row>
    <row r="445" spans="6:12" ht="18" customHeight="1" x14ac:dyDescent="0.3">
      <c r="F445" s="1">
        <f t="shared" si="24"/>
        <v>0</v>
      </c>
      <c r="H445" s="1">
        <f t="shared" si="25"/>
        <v>0</v>
      </c>
      <c r="J445" s="1">
        <f t="shared" si="26"/>
        <v>0</v>
      </c>
      <c r="L445" s="1">
        <f t="shared" si="27"/>
        <v>0</v>
      </c>
    </row>
    <row r="446" spans="6:12" ht="18" customHeight="1" x14ac:dyDescent="0.3">
      <c r="F446" s="1">
        <f t="shared" si="24"/>
        <v>0</v>
      </c>
      <c r="H446" s="1">
        <f t="shared" si="25"/>
        <v>0</v>
      </c>
      <c r="J446" s="1">
        <f t="shared" si="26"/>
        <v>0</v>
      </c>
      <c r="L446" s="1">
        <f t="shared" si="27"/>
        <v>0</v>
      </c>
    </row>
    <row r="447" spans="6:12" ht="18" customHeight="1" x14ac:dyDescent="0.3">
      <c r="F447" s="1">
        <f t="shared" si="24"/>
        <v>0</v>
      </c>
      <c r="H447" s="1">
        <f t="shared" si="25"/>
        <v>0</v>
      </c>
      <c r="J447" s="1">
        <f t="shared" si="26"/>
        <v>0</v>
      </c>
      <c r="L447" s="1">
        <f t="shared" si="27"/>
        <v>0</v>
      </c>
    </row>
    <row r="448" spans="6:12" ht="18" customHeight="1" x14ac:dyDescent="0.3">
      <c r="F448" s="1">
        <f t="shared" si="24"/>
        <v>0</v>
      </c>
      <c r="H448" s="1">
        <f t="shared" si="25"/>
        <v>0</v>
      </c>
      <c r="J448" s="1">
        <f t="shared" si="26"/>
        <v>0</v>
      </c>
      <c r="L448" s="1">
        <f t="shared" si="27"/>
        <v>0</v>
      </c>
    </row>
    <row r="449" spans="6:12" ht="18" customHeight="1" x14ac:dyDescent="0.3">
      <c r="F449" s="1">
        <f t="shared" si="24"/>
        <v>0</v>
      </c>
      <c r="H449" s="1">
        <f t="shared" si="25"/>
        <v>0</v>
      </c>
      <c r="J449" s="1">
        <f t="shared" si="26"/>
        <v>0</v>
      </c>
      <c r="L449" s="1">
        <f t="shared" si="27"/>
        <v>0</v>
      </c>
    </row>
    <row r="450" spans="6:12" ht="18" customHeight="1" x14ac:dyDescent="0.3">
      <c r="F450" s="1">
        <f t="shared" si="24"/>
        <v>0</v>
      </c>
      <c r="H450" s="1">
        <f t="shared" si="25"/>
        <v>0</v>
      </c>
      <c r="J450" s="1">
        <f t="shared" si="26"/>
        <v>0</v>
      </c>
      <c r="L450" s="1">
        <f t="shared" si="27"/>
        <v>0</v>
      </c>
    </row>
    <row r="451" spans="6:12" ht="18" customHeight="1" x14ac:dyDescent="0.3">
      <c r="F451" s="1">
        <f t="shared" si="24"/>
        <v>0</v>
      </c>
      <c r="H451" s="1">
        <f t="shared" si="25"/>
        <v>0</v>
      </c>
      <c r="J451" s="1">
        <f t="shared" si="26"/>
        <v>0</v>
      </c>
      <c r="L451" s="1">
        <f t="shared" si="27"/>
        <v>0</v>
      </c>
    </row>
    <row r="452" spans="6:12" ht="18" customHeight="1" x14ac:dyDescent="0.3">
      <c r="F452" s="1">
        <f t="shared" si="24"/>
        <v>0</v>
      </c>
      <c r="H452" s="1">
        <f t="shared" si="25"/>
        <v>0</v>
      </c>
      <c r="J452" s="1">
        <f t="shared" si="26"/>
        <v>0</v>
      </c>
      <c r="L452" s="1">
        <f t="shared" si="27"/>
        <v>0</v>
      </c>
    </row>
    <row r="453" spans="6:12" ht="18" customHeight="1" x14ac:dyDescent="0.3">
      <c r="F453" s="1">
        <f t="shared" ref="F453:F516" si="28">SUM(H453,J453,L453)</f>
        <v>0</v>
      </c>
      <c r="H453" s="1">
        <f t="shared" ref="H453:H516" si="29">ROUNDUP(D453*G453,0)</f>
        <v>0</v>
      </c>
      <c r="J453" s="1">
        <f t="shared" ref="J453:J516" si="30">ROUNDUP(D453*I453,0)</f>
        <v>0</v>
      </c>
      <c r="L453" s="1">
        <f t="shared" ref="L453:L516" si="31">ROUNDUP(D453*K453,0)</f>
        <v>0</v>
      </c>
    </row>
    <row r="454" spans="6:12" ht="18" customHeight="1" x14ac:dyDescent="0.3">
      <c r="F454" s="1">
        <f t="shared" si="28"/>
        <v>0</v>
      </c>
      <c r="H454" s="1">
        <f t="shared" si="29"/>
        <v>0</v>
      </c>
      <c r="J454" s="1">
        <f t="shared" si="30"/>
        <v>0</v>
      </c>
      <c r="L454" s="1">
        <f t="shared" si="31"/>
        <v>0</v>
      </c>
    </row>
    <row r="455" spans="6:12" ht="18" customHeight="1" x14ac:dyDescent="0.3">
      <c r="F455" s="1">
        <f t="shared" si="28"/>
        <v>0</v>
      </c>
      <c r="H455" s="1">
        <f t="shared" si="29"/>
        <v>0</v>
      </c>
      <c r="J455" s="1">
        <f t="shared" si="30"/>
        <v>0</v>
      </c>
      <c r="L455" s="1">
        <f t="shared" si="31"/>
        <v>0</v>
      </c>
    </row>
    <row r="456" spans="6:12" ht="18" customHeight="1" x14ac:dyDescent="0.3">
      <c r="F456" s="1">
        <f t="shared" si="28"/>
        <v>0</v>
      </c>
      <c r="H456" s="1">
        <f t="shared" si="29"/>
        <v>0</v>
      </c>
      <c r="J456" s="1">
        <f t="shared" si="30"/>
        <v>0</v>
      </c>
      <c r="L456" s="1">
        <f t="shared" si="31"/>
        <v>0</v>
      </c>
    </row>
    <row r="457" spans="6:12" ht="18" customHeight="1" x14ac:dyDescent="0.3">
      <c r="F457" s="1">
        <f t="shared" si="28"/>
        <v>0</v>
      </c>
      <c r="H457" s="1">
        <f t="shared" si="29"/>
        <v>0</v>
      </c>
      <c r="J457" s="1">
        <f t="shared" si="30"/>
        <v>0</v>
      </c>
      <c r="L457" s="1">
        <f t="shared" si="31"/>
        <v>0</v>
      </c>
    </row>
    <row r="458" spans="6:12" ht="18" customHeight="1" x14ac:dyDescent="0.3">
      <c r="F458" s="1">
        <f t="shared" si="28"/>
        <v>0</v>
      </c>
      <c r="H458" s="1">
        <f t="shared" si="29"/>
        <v>0</v>
      </c>
      <c r="J458" s="1">
        <f t="shared" si="30"/>
        <v>0</v>
      </c>
      <c r="L458" s="1">
        <f t="shared" si="31"/>
        <v>0</v>
      </c>
    </row>
    <row r="459" spans="6:12" ht="18" customHeight="1" x14ac:dyDescent="0.3">
      <c r="F459" s="1">
        <f t="shared" si="28"/>
        <v>0</v>
      </c>
      <c r="H459" s="1">
        <f t="shared" si="29"/>
        <v>0</v>
      </c>
      <c r="J459" s="1">
        <f t="shared" si="30"/>
        <v>0</v>
      </c>
      <c r="L459" s="1">
        <f t="shared" si="31"/>
        <v>0</v>
      </c>
    </row>
    <row r="460" spans="6:12" ht="18" customHeight="1" x14ac:dyDescent="0.3">
      <c r="F460" s="1">
        <f t="shared" si="28"/>
        <v>0</v>
      </c>
      <c r="H460" s="1">
        <f t="shared" si="29"/>
        <v>0</v>
      </c>
      <c r="J460" s="1">
        <f t="shared" si="30"/>
        <v>0</v>
      </c>
      <c r="L460" s="1">
        <f t="shared" si="31"/>
        <v>0</v>
      </c>
    </row>
    <row r="461" spans="6:12" ht="18" customHeight="1" x14ac:dyDescent="0.3">
      <c r="F461" s="1">
        <f t="shared" si="28"/>
        <v>0</v>
      </c>
      <c r="H461" s="1">
        <f t="shared" si="29"/>
        <v>0</v>
      </c>
      <c r="J461" s="1">
        <f t="shared" si="30"/>
        <v>0</v>
      </c>
      <c r="L461" s="1">
        <f t="shared" si="31"/>
        <v>0</v>
      </c>
    </row>
    <row r="462" spans="6:12" ht="18" customHeight="1" x14ac:dyDescent="0.3">
      <c r="F462" s="1">
        <f t="shared" si="28"/>
        <v>0</v>
      </c>
      <c r="H462" s="1">
        <f t="shared" si="29"/>
        <v>0</v>
      </c>
      <c r="J462" s="1">
        <f t="shared" si="30"/>
        <v>0</v>
      </c>
      <c r="L462" s="1">
        <f t="shared" si="31"/>
        <v>0</v>
      </c>
    </row>
    <row r="463" spans="6:12" ht="18" customHeight="1" x14ac:dyDescent="0.3">
      <c r="F463" s="1">
        <f t="shared" si="28"/>
        <v>0</v>
      </c>
      <c r="H463" s="1">
        <f t="shared" si="29"/>
        <v>0</v>
      </c>
      <c r="J463" s="1">
        <f t="shared" si="30"/>
        <v>0</v>
      </c>
      <c r="L463" s="1">
        <f t="shared" si="31"/>
        <v>0</v>
      </c>
    </row>
    <row r="464" spans="6:12" ht="18" customHeight="1" x14ac:dyDescent="0.3">
      <c r="F464" s="1">
        <f t="shared" si="28"/>
        <v>0</v>
      </c>
      <c r="H464" s="1">
        <f t="shared" si="29"/>
        <v>0</v>
      </c>
      <c r="J464" s="1">
        <f t="shared" si="30"/>
        <v>0</v>
      </c>
      <c r="L464" s="1">
        <f t="shared" si="31"/>
        <v>0</v>
      </c>
    </row>
    <row r="465" spans="6:12" ht="18" customHeight="1" x14ac:dyDescent="0.3">
      <c r="F465" s="1">
        <f t="shared" si="28"/>
        <v>0</v>
      </c>
      <c r="H465" s="1">
        <f t="shared" si="29"/>
        <v>0</v>
      </c>
      <c r="J465" s="1">
        <f t="shared" si="30"/>
        <v>0</v>
      </c>
      <c r="L465" s="1">
        <f t="shared" si="31"/>
        <v>0</v>
      </c>
    </row>
    <row r="466" spans="6:12" ht="18" customHeight="1" x14ac:dyDescent="0.3">
      <c r="F466" s="1">
        <f t="shared" si="28"/>
        <v>0</v>
      </c>
      <c r="H466" s="1">
        <f t="shared" si="29"/>
        <v>0</v>
      </c>
      <c r="J466" s="1">
        <f t="shared" si="30"/>
        <v>0</v>
      </c>
      <c r="L466" s="1">
        <f t="shared" si="31"/>
        <v>0</v>
      </c>
    </row>
    <row r="467" spans="6:12" ht="18" customHeight="1" x14ac:dyDescent="0.3">
      <c r="F467" s="1">
        <f t="shared" si="28"/>
        <v>0</v>
      </c>
      <c r="H467" s="1">
        <f t="shared" si="29"/>
        <v>0</v>
      </c>
      <c r="J467" s="1">
        <f t="shared" si="30"/>
        <v>0</v>
      </c>
      <c r="L467" s="1">
        <f t="shared" si="31"/>
        <v>0</v>
      </c>
    </row>
    <row r="468" spans="6:12" ht="18" customHeight="1" x14ac:dyDescent="0.3">
      <c r="F468" s="1">
        <f t="shared" si="28"/>
        <v>0</v>
      </c>
      <c r="H468" s="1">
        <f t="shared" si="29"/>
        <v>0</v>
      </c>
      <c r="J468" s="1">
        <f t="shared" si="30"/>
        <v>0</v>
      </c>
      <c r="L468" s="1">
        <f t="shared" si="31"/>
        <v>0</v>
      </c>
    </row>
    <row r="469" spans="6:12" ht="18" customHeight="1" x14ac:dyDescent="0.3">
      <c r="F469" s="1">
        <f t="shared" si="28"/>
        <v>0</v>
      </c>
      <c r="H469" s="1">
        <f t="shared" si="29"/>
        <v>0</v>
      </c>
      <c r="J469" s="1">
        <f t="shared" si="30"/>
        <v>0</v>
      </c>
      <c r="L469" s="1">
        <f t="shared" si="31"/>
        <v>0</v>
      </c>
    </row>
    <row r="470" spans="6:12" ht="18" customHeight="1" x14ac:dyDescent="0.3">
      <c r="F470" s="1">
        <f t="shared" si="28"/>
        <v>0</v>
      </c>
      <c r="H470" s="1">
        <f t="shared" si="29"/>
        <v>0</v>
      </c>
      <c r="J470" s="1">
        <f t="shared" si="30"/>
        <v>0</v>
      </c>
      <c r="L470" s="1">
        <f t="shared" si="31"/>
        <v>0</v>
      </c>
    </row>
    <row r="471" spans="6:12" ht="18" customHeight="1" x14ac:dyDescent="0.3">
      <c r="F471" s="1">
        <f t="shared" si="28"/>
        <v>0</v>
      </c>
      <c r="H471" s="1">
        <f t="shared" si="29"/>
        <v>0</v>
      </c>
      <c r="J471" s="1">
        <f t="shared" si="30"/>
        <v>0</v>
      </c>
      <c r="L471" s="1">
        <f t="shared" si="31"/>
        <v>0</v>
      </c>
    </row>
    <row r="472" spans="6:12" ht="18" customHeight="1" x14ac:dyDescent="0.3">
      <c r="F472" s="1">
        <f t="shared" si="28"/>
        <v>0</v>
      </c>
      <c r="H472" s="1">
        <f t="shared" si="29"/>
        <v>0</v>
      </c>
      <c r="J472" s="1">
        <f t="shared" si="30"/>
        <v>0</v>
      </c>
      <c r="L472" s="1">
        <f t="shared" si="31"/>
        <v>0</v>
      </c>
    </row>
    <row r="473" spans="6:12" ht="18" customHeight="1" x14ac:dyDescent="0.3">
      <c r="F473" s="1">
        <f t="shared" si="28"/>
        <v>0</v>
      </c>
      <c r="H473" s="1">
        <f t="shared" si="29"/>
        <v>0</v>
      </c>
      <c r="J473" s="1">
        <f t="shared" si="30"/>
        <v>0</v>
      </c>
      <c r="L473" s="1">
        <f t="shared" si="31"/>
        <v>0</v>
      </c>
    </row>
    <row r="474" spans="6:12" ht="18" customHeight="1" x14ac:dyDescent="0.3">
      <c r="F474" s="1">
        <f t="shared" si="28"/>
        <v>0</v>
      </c>
      <c r="H474" s="1">
        <f t="shared" si="29"/>
        <v>0</v>
      </c>
      <c r="J474" s="1">
        <f t="shared" si="30"/>
        <v>0</v>
      </c>
      <c r="L474" s="1">
        <f t="shared" si="31"/>
        <v>0</v>
      </c>
    </row>
    <row r="475" spans="6:12" ht="18" customHeight="1" x14ac:dyDescent="0.3">
      <c r="F475" s="1">
        <f t="shared" si="28"/>
        <v>0</v>
      </c>
      <c r="H475" s="1">
        <f t="shared" si="29"/>
        <v>0</v>
      </c>
      <c r="J475" s="1">
        <f t="shared" si="30"/>
        <v>0</v>
      </c>
      <c r="L475" s="1">
        <f t="shared" si="31"/>
        <v>0</v>
      </c>
    </row>
    <row r="476" spans="6:12" ht="18" customHeight="1" x14ac:dyDescent="0.3">
      <c r="F476" s="1">
        <f t="shared" si="28"/>
        <v>0</v>
      </c>
      <c r="H476" s="1">
        <f t="shared" si="29"/>
        <v>0</v>
      </c>
      <c r="J476" s="1">
        <f t="shared" si="30"/>
        <v>0</v>
      </c>
      <c r="L476" s="1">
        <f t="shared" si="31"/>
        <v>0</v>
      </c>
    </row>
    <row r="477" spans="6:12" ht="18" customHeight="1" x14ac:dyDescent="0.3">
      <c r="F477" s="1">
        <f t="shared" si="28"/>
        <v>0</v>
      </c>
      <c r="H477" s="1">
        <f t="shared" si="29"/>
        <v>0</v>
      </c>
      <c r="J477" s="1">
        <f t="shared" si="30"/>
        <v>0</v>
      </c>
      <c r="L477" s="1">
        <f t="shared" si="31"/>
        <v>0</v>
      </c>
    </row>
    <row r="478" spans="6:12" ht="18" customHeight="1" x14ac:dyDescent="0.3">
      <c r="F478" s="1">
        <f t="shared" si="28"/>
        <v>0</v>
      </c>
      <c r="H478" s="1">
        <f t="shared" si="29"/>
        <v>0</v>
      </c>
      <c r="J478" s="1">
        <f t="shared" si="30"/>
        <v>0</v>
      </c>
      <c r="L478" s="1">
        <f t="shared" si="31"/>
        <v>0</v>
      </c>
    </row>
    <row r="479" spans="6:12" ht="18" customHeight="1" x14ac:dyDescent="0.3">
      <c r="F479" s="1">
        <f t="shared" si="28"/>
        <v>0</v>
      </c>
      <c r="H479" s="1">
        <f t="shared" si="29"/>
        <v>0</v>
      </c>
      <c r="J479" s="1">
        <f t="shared" si="30"/>
        <v>0</v>
      </c>
      <c r="L479" s="1">
        <f t="shared" si="31"/>
        <v>0</v>
      </c>
    </row>
    <row r="480" spans="6:12" ht="18" customHeight="1" x14ac:dyDescent="0.3">
      <c r="F480" s="1">
        <f t="shared" si="28"/>
        <v>0</v>
      </c>
      <c r="H480" s="1">
        <f t="shared" si="29"/>
        <v>0</v>
      </c>
      <c r="J480" s="1">
        <f t="shared" si="30"/>
        <v>0</v>
      </c>
      <c r="L480" s="1">
        <f t="shared" si="31"/>
        <v>0</v>
      </c>
    </row>
    <row r="481" spans="6:12" ht="18" customHeight="1" x14ac:dyDescent="0.3">
      <c r="F481" s="1">
        <f t="shared" si="28"/>
        <v>0</v>
      </c>
      <c r="H481" s="1">
        <f t="shared" si="29"/>
        <v>0</v>
      </c>
      <c r="J481" s="1">
        <f t="shared" si="30"/>
        <v>0</v>
      </c>
      <c r="L481" s="1">
        <f t="shared" si="31"/>
        <v>0</v>
      </c>
    </row>
    <row r="482" spans="6:12" ht="18" customHeight="1" x14ac:dyDescent="0.3">
      <c r="F482" s="1">
        <f t="shared" si="28"/>
        <v>0</v>
      </c>
      <c r="H482" s="1">
        <f t="shared" si="29"/>
        <v>0</v>
      </c>
      <c r="J482" s="1">
        <f t="shared" si="30"/>
        <v>0</v>
      </c>
      <c r="L482" s="1">
        <f t="shared" si="31"/>
        <v>0</v>
      </c>
    </row>
    <row r="483" spans="6:12" ht="18" customHeight="1" x14ac:dyDescent="0.3">
      <c r="F483" s="1">
        <f t="shared" si="28"/>
        <v>0</v>
      </c>
      <c r="H483" s="1">
        <f t="shared" si="29"/>
        <v>0</v>
      </c>
      <c r="J483" s="1">
        <f t="shared" si="30"/>
        <v>0</v>
      </c>
      <c r="L483" s="1">
        <f t="shared" si="31"/>
        <v>0</v>
      </c>
    </row>
    <row r="484" spans="6:12" ht="18" customHeight="1" x14ac:dyDescent="0.3">
      <c r="F484" s="1">
        <f t="shared" si="28"/>
        <v>0</v>
      </c>
      <c r="H484" s="1">
        <f t="shared" si="29"/>
        <v>0</v>
      </c>
      <c r="J484" s="1">
        <f t="shared" si="30"/>
        <v>0</v>
      </c>
      <c r="L484" s="1">
        <f t="shared" si="31"/>
        <v>0</v>
      </c>
    </row>
    <row r="485" spans="6:12" ht="18" customHeight="1" x14ac:dyDescent="0.3">
      <c r="F485" s="1">
        <f t="shared" si="28"/>
        <v>0</v>
      </c>
      <c r="H485" s="1">
        <f t="shared" si="29"/>
        <v>0</v>
      </c>
      <c r="J485" s="1">
        <f t="shared" si="30"/>
        <v>0</v>
      </c>
      <c r="L485" s="1">
        <f t="shared" si="31"/>
        <v>0</v>
      </c>
    </row>
    <row r="486" spans="6:12" ht="18" customHeight="1" x14ac:dyDescent="0.3">
      <c r="F486" s="1">
        <f t="shared" si="28"/>
        <v>0</v>
      </c>
      <c r="H486" s="1">
        <f t="shared" si="29"/>
        <v>0</v>
      </c>
      <c r="J486" s="1">
        <f t="shared" si="30"/>
        <v>0</v>
      </c>
      <c r="L486" s="1">
        <f t="shared" si="31"/>
        <v>0</v>
      </c>
    </row>
    <row r="487" spans="6:12" ht="18" customHeight="1" x14ac:dyDescent="0.3">
      <c r="F487" s="1">
        <f t="shared" si="28"/>
        <v>0</v>
      </c>
      <c r="H487" s="1">
        <f t="shared" si="29"/>
        <v>0</v>
      </c>
      <c r="J487" s="1">
        <f t="shared" si="30"/>
        <v>0</v>
      </c>
      <c r="L487" s="1">
        <f t="shared" si="31"/>
        <v>0</v>
      </c>
    </row>
    <row r="488" spans="6:12" ht="18" customHeight="1" x14ac:dyDescent="0.3">
      <c r="F488" s="1">
        <f t="shared" si="28"/>
        <v>0</v>
      </c>
      <c r="H488" s="1">
        <f t="shared" si="29"/>
        <v>0</v>
      </c>
      <c r="J488" s="1">
        <f t="shared" si="30"/>
        <v>0</v>
      </c>
      <c r="L488" s="1">
        <f t="shared" si="31"/>
        <v>0</v>
      </c>
    </row>
    <row r="489" spans="6:12" ht="18" customHeight="1" x14ac:dyDescent="0.3">
      <c r="F489" s="1">
        <f t="shared" si="28"/>
        <v>0</v>
      </c>
      <c r="H489" s="1">
        <f t="shared" si="29"/>
        <v>0</v>
      </c>
      <c r="J489" s="1">
        <f t="shared" si="30"/>
        <v>0</v>
      </c>
      <c r="L489" s="1">
        <f t="shared" si="31"/>
        <v>0</v>
      </c>
    </row>
    <row r="490" spans="6:12" ht="18" customHeight="1" x14ac:dyDescent="0.3">
      <c r="F490" s="1">
        <f t="shared" si="28"/>
        <v>0</v>
      </c>
      <c r="H490" s="1">
        <f t="shared" si="29"/>
        <v>0</v>
      </c>
      <c r="J490" s="1">
        <f t="shared" si="30"/>
        <v>0</v>
      </c>
      <c r="L490" s="1">
        <f t="shared" si="31"/>
        <v>0</v>
      </c>
    </row>
    <row r="491" spans="6:12" ht="18" customHeight="1" x14ac:dyDescent="0.3">
      <c r="F491" s="1">
        <f t="shared" si="28"/>
        <v>0</v>
      </c>
      <c r="H491" s="1">
        <f t="shared" si="29"/>
        <v>0</v>
      </c>
      <c r="J491" s="1">
        <f t="shared" si="30"/>
        <v>0</v>
      </c>
      <c r="L491" s="1">
        <f t="shared" si="31"/>
        <v>0</v>
      </c>
    </row>
    <row r="492" spans="6:12" ht="18" customHeight="1" x14ac:dyDescent="0.3">
      <c r="F492" s="1">
        <f t="shared" si="28"/>
        <v>0</v>
      </c>
      <c r="H492" s="1">
        <f t="shared" si="29"/>
        <v>0</v>
      </c>
      <c r="J492" s="1">
        <f t="shared" si="30"/>
        <v>0</v>
      </c>
      <c r="L492" s="1">
        <f t="shared" si="31"/>
        <v>0</v>
      </c>
    </row>
    <row r="493" spans="6:12" ht="18" customHeight="1" x14ac:dyDescent="0.3">
      <c r="F493" s="1">
        <f t="shared" si="28"/>
        <v>0</v>
      </c>
      <c r="H493" s="1">
        <f t="shared" si="29"/>
        <v>0</v>
      </c>
      <c r="J493" s="1">
        <f t="shared" si="30"/>
        <v>0</v>
      </c>
      <c r="L493" s="1">
        <f t="shared" si="31"/>
        <v>0</v>
      </c>
    </row>
    <row r="494" spans="6:12" ht="18" customHeight="1" x14ac:dyDescent="0.3">
      <c r="F494" s="1">
        <f t="shared" si="28"/>
        <v>0</v>
      </c>
      <c r="H494" s="1">
        <f t="shared" si="29"/>
        <v>0</v>
      </c>
      <c r="J494" s="1">
        <f t="shared" si="30"/>
        <v>0</v>
      </c>
      <c r="L494" s="1">
        <f t="shared" si="31"/>
        <v>0</v>
      </c>
    </row>
    <row r="495" spans="6:12" ht="18" customHeight="1" x14ac:dyDescent="0.3">
      <c r="F495" s="1">
        <f t="shared" si="28"/>
        <v>0</v>
      </c>
      <c r="H495" s="1">
        <f t="shared" si="29"/>
        <v>0</v>
      </c>
      <c r="J495" s="1">
        <f t="shared" si="30"/>
        <v>0</v>
      </c>
      <c r="L495" s="1">
        <f t="shared" si="31"/>
        <v>0</v>
      </c>
    </row>
    <row r="496" spans="6:12" ht="18" customHeight="1" x14ac:dyDescent="0.3">
      <c r="F496" s="1">
        <f t="shared" si="28"/>
        <v>0</v>
      </c>
      <c r="H496" s="1">
        <f t="shared" si="29"/>
        <v>0</v>
      </c>
      <c r="J496" s="1">
        <f t="shared" si="30"/>
        <v>0</v>
      </c>
      <c r="L496" s="1">
        <f t="shared" si="31"/>
        <v>0</v>
      </c>
    </row>
    <row r="497" spans="6:12" ht="18" customHeight="1" x14ac:dyDescent="0.3">
      <c r="F497" s="1">
        <f t="shared" si="28"/>
        <v>0</v>
      </c>
      <c r="H497" s="1">
        <f t="shared" si="29"/>
        <v>0</v>
      </c>
      <c r="J497" s="1">
        <f t="shared" si="30"/>
        <v>0</v>
      </c>
      <c r="L497" s="1">
        <f t="shared" si="31"/>
        <v>0</v>
      </c>
    </row>
    <row r="498" spans="6:12" ht="18" customHeight="1" x14ac:dyDescent="0.3">
      <c r="F498" s="1">
        <f t="shared" si="28"/>
        <v>0</v>
      </c>
      <c r="H498" s="1">
        <f t="shared" si="29"/>
        <v>0</v>
      </c>
      <c r="J498" s="1">
        <f t="shared" si="30"/>
        <v>0</v>
      </c>
      <c r="L498" s="1">
        <f t="shared" si="31"/>
        <v>0</v>
      </c>
    </row>
    <row r="499" spans="6:12" ht="18" customHeight="1" x14ac:dyDescent="0.3">
      <c r="F499" s="1">
        <f t="shared" si="28"/>
        <v>0</v>
      </c>
      <c r="H499" s="1">
        <f t="shared" si="29"/>
        <v>0</v>
      </c>
      <c r="J499" s="1">
        <f t="shared" si="30"/>
        <v>0</v>
      </c>
      <c r="L499" s="1">
        <f t="shared" si="31"/>
        <v>0</v>
      </c>
    </row>
    <row r="500" spans="6:12" ht="18" customHeight="1" x14ac:dyDescent="0.3">
      <c r="F500" s="1">
        <f t="shared" si="28"/>
        <v>0</v>
      </c>
      <c r="H500" s="1">
        <f t="shared" si="29"/>
        <v>0</v>
      </c>
      <c r="J500" s="1">
        <f t="shared" si="30"/>
        <v>0</v>
      </c>
      <c r="L500" s="1">
        <f t="shared" si="31"/>
        <v>0</v>
      </c>
    </row>
    <row r="501" spans="6:12" ht="18" customHeight="1" x14ac:dyDescent="0.3">
      <c r="F501" s="1">
        <f t="shared" si="28"/>
        <v>0</v>
      </c>
      <c r="H501" s="1">
        <f t="shared" si="29"/>
        <v>0</v>
      </c>
      <c r="J501" s="1">
        <f t="shared" si="30"/>
        <v>0</v>
      </c>
      <c r="L501" s="1">
        <f t="shared" si="31"/>
        <v>0</v>
      </c>
    </row>
    <row r="502" spans="6:12" ht="18" customHeight="1" x14ac:dyDescent="0.3">
      <c r="F502" s="1">
        <f t="shared" si="28"/>
        <v>0</v>
      </c>
      <c r="H502" s="1">
        <f t="shared" si="29"/>
        <v>0</v>
      </c>
      <c r="J502" s="1">
        <f t="shared" si="30"/>
        <v>0</v>
      </c>
      <c r="L502" s="1">
        <f t="shared" si="31"/>
        <v>0</v>
      </c>
    </row>
    <row r="503" spans="6:12" ht="18" customHeight="1" x14ac:dyDescent="0.3">
      <c r="F503" s="1">
        <f t="shared" si="28"/>
        <v>0</v>
      </c>
      <c r="H503" s="1">
        <f t="shared" si="29"/>
        <v>0</v>
      </c>
      <c r="J503" s="1">
        <f t="shared" si="30"/>
        <v>0</v>
      </c>
      <c r="L503" s="1">
        <f t="shared" si="31"/>
        <v>0</v>
      </c>
    </row>
    <row r="504" spans="6:12" ht="18" customHeight="1" x14ac:dyDescent="0.3">
      <c r="F504" s="1">
        <f t="shared" si="28"/>
        <v>0</v>
      </c>
      <c r="H504" s="1">
        <f t="shared" si="29"/>
        <v>0</v>
      </c>
      <c r="J504" s="1">
        <f t="shared" si="30"/>
        <v>0</v>
      </c>
      <c r="L504" s="1">
        <f t="shared" si="31"/>
        <v>0</v>
      </c>
    </row>
    <row r="505" spans="6:12" ht="18" customHeight="1" x14ac:dyDescent="0.3">
      <c r="F505" s="1">
        <f t="shared" si="28"/>
        <v>0</v>
      </c>
      <c r="H505" s="1">
        <f t="shared" si="29"/>
        <v>0</v>
      </c>
      <c r="J505" s="1">
        <f t="shared" si="30"/>
        <v>0</v>
      </c>
      <c r="L505" s="1">
        <f t="shared" si="31"/>
        <v>0</v>
      </c>
    </row>
    <row r="506" spans="6:12" ht="18" customHeight="1" x14ac:dyDescent="0.3">
      <c r="F506" s="1">
        <f t="shared" si="28"/>
        <v>0</v>
      </c>
      <c r="H506" s="1">
        <f t="shared" si="29"/>
        <v>0</v>
      </c>
      <c r="J506" s="1">
        <f t="shared" si="30"/>
        <v>0</v>
      </c>
      <c r="L506" s="1">
        <f t="shared" si="31"/>
        <v>0</v>
      </c>
    </row>
    <row r="507" spans="6:12" ht="18" customHeight="1" x14ac:dyDescent="0.3">
      <c r="F507" s="1">
        <f t="shared" si="28"/>
        <v>0</v>
      </c>
      <c r="H507" s="1">
        <f t="shared" si="29"/>
        <v>0</v>
      </c>
      <c r="J507" s="1">
        <f t="shared" si="30"/>
        <v>0</v>
      </c>
      <c r="L507" s="1">
        <f t="shared" si="31"/>
        <v>0</v>
      </c>
    </row>
    <row r="508" spans="6:12" ht="18" customHeight="1" x14ac:dyDescent="0.3">
      <c r="F508" s="1">
        <f t="shared" si="28"/>
        <v>0</v>
      </c>
      <c r="H508" s="1">
        <f t="shared" si="29"/>
        <v>0</v>
      </c>
      <c r="J508" s="1">
        <f t="shared" si="30"/>
        <v>0</v>
      </c>
      <c r="L508" s="1">
        <f t="shared" si="31"/>
        <v>0</v>
      </c>
    </row>
    <row r="509" spans="6:12" ht="18" customHeight="1" x14ac:dyDescent="0.3">
      <c r="F509" s="1">
        <f t="shared" si="28"/>
        <v>0</v>
      </c>
      <c r="H509" s="1">
        <f t="shared" si="29"/>
        <v>0</v>
      </c>
      <c r="J509" s="1">
        <f t="shared" si="30"/>
        <v>0</v>
      </c>
      <c r="L509" s="1">
        <f t="shared" si="31"/>
        <v>0</v>
      </c>
    </row>
    <row r="510" spans="6:12" ht="18" customHeight="1" x14ac:dyDescent="0.3">
      <c r="F510" s="1">
        <f t="shared" si="28"/>
        <v>0</v>
      </c>
      <c r="H510" s="1">
        <f t="shared" si="29"/>
        <v>0</v>
      </c>
      <c r="J510" s="1">
        <f t="shared" si="30"/>
        <v>0</v>
      </c>
      <c r="L510" s="1">
        <f t="shared" si="31"/>
        <v>0</v>
      </c>
    </row>
    <row r="511" spans="6:12" ht="18" customHeight="1" x14ac:dyDescent="0.3">
      <c r="F511" s="1">
        <f t="shared" si="28"/>
        <v>0</v>
      </c>
      <c r="H511" s="1">
        <f t="shared" si="29"/>
        <v>0</v>
      </c>
      <c r="J511" s="1">
        <f t="shared" si="30"/>
        <v>0</v>
      </c>
      <c r="L511" s="1">
        <f t="shared" si="31"/>
        <v>0</v>
      </c>
    </row>
    <row r="512" spans="6:12" ht="18" customHeight="1" x14ac:dyDescent="0.3">
      <c r="F512" s="1">
        <f t="shared" si="28"/>
        <v>0</v>
      </c>
      <c r="H512" s="1">
        <f t="shared" si="29"/>
        <v>0</v>
      </c>
      <c r="J512" s="1">
        <f t="shared" si="30"/>
        <v>0</v>
      </c>
      <c r="L512" s="1">
        <f t="shared" si="31"/>
        <v>0</v>
      </c>
    </row>
    <row r="513" spans="6:12" ht="18" customHeight="1" x14ac:dyDescent="0.3">
      <c r="F513" s="1">
        <f t="shared" si="28"/>
        <v>0</v>
      </c>
      <c r="H513" s="1">
        <f t="shared" si="29"/>
        <v>0</v>
      </c>
      <c r="J513" s="1">
        <f t="shared" si="30"/>
        <v>0</v>
      </c>
      <c r="L513" s="1">
        <f t="shared" si="31"/>
        <v>0</v>
      </c>
    </row>
    <row r="514" spans="6:12" ht="18" customHeight="1" x14ac:dyDescent="0.3">
      <c r="F514" s="1">
        <f t="shared" si="28"/>
        <v>0</v>
      </c>
      <c r="H514" s="1">
        <f t="shared" si="29"/>
        <v>0</v>
      </c>
      <c r="J514" s="1">
        <f t="shared" si="30"/>
        <v>0</v>
      </c>
      <c r="L514" s="1">
        <f t="shared" si="31"/>
        <v>0</v>
      </c>
    </row>
    <row r="515" spans="6:12" ht="18" customHeight="1" x14ac:dyDescent="0.3">
      <c r="F515" s="1">
        <f t="shared" si="28"/>
        <v>0</v>
      </c>
      <c r="H515" s="1">
        <f t="shared" si="29"/>
        <v>0</v>
      </c>
      <c r="J515" s="1">
        <f t="shared" si="30"/>
        <v>0</v>
      </c>
      <c r="L515" s="1">
        <f t="shared" si="31"/>
        <v>0</v>
      </c>
    </row>
    <row r="516" spans="6:12" ht="18" customHeight="1" x14ac:dyDescent="0.3">
      <c r="F516" s="1">
        <f t="shared" si="28"/>
        <v>0</v>
      </c>
      <c r="H516" s="1">
        <f t="shared" si="29"/>
        <v>0</v>
      </c>
      <c r="J516" s="1">
        <f t="shared" si="30"/>
        <v>0</v>
      </c>
      <c r="L516" s="1">
        <f t="shared" si="31"/>
        <v>0</v>
      </c>
    </row>
    <row r="517" spans="6:12" ht="18" customHeight="1" x14ac:dyDescent="0.3">
      <c r="F517" s="1">
        <f t="shared" ref="F517:F580" si="32">SUM(H517,J517,L517)</f>
        <v>0</v>
      </c>
      <c r="H517" s="1">
        <f t="shared" ref="H517:H580" si="33">ROUNDUP(D517*G517,0)</f>
        <v>0</v>
      </c>
      <c r="J517" s="1">
        <f t="shared" ref="J517:J580" si="34">ROUNDUP(D517*I517,0)</f>
        <v>0</v>
      </c>
      <c r="L517" s="1">
        <f t="shared" ref="L517:L580" si="35">ROUNDUP(D517*K517,0)</f>
        <v>0</v>
      </c>
    </row>
    <row r="518" spans="6:12" ht="18" customHeight="1" x14ac:dyDescent="0.3">
      <c r="F518" s="1">
        <f t="shared" si="32"/>
        <v>0</v>
      </c>
      <c r="H518" s="1">
        <f t="shared" si="33"/>
        <v>0</v>
      </c>
      <c r="J518" s="1">
        <f t="shared" si="34"/>
        <v>0</v>
      </c>
      <c r="L518" s="1">
        <f t="shared" si="35"/>
        <v>0</v>
      </c>
    </row>
    <row r="519" spans="6:12" ht="18" customHeight="1" x14ac:dyDescent="0.3">
      <c r="F519" s="1">
        <f t="shared" si="32"/>
        <v>0</v>
      </c>
      <c r="H519" s="1">
        <f t="shared" si="33"/>
        <v>0</v>
      </c>
      <c r="J519" s="1">
        <f t="shared" si="34"/>
        <v>0</v>
      </c>
      <c r="L519" s="1">
        <f t="shared" si="35"/>
        <v>0</v>
      </c>
    </row>
    <row r="520" spans="6:12" ht="18" customHeight="1" x14ac:dyDescent="0.3">
      <c r="F520" s="1">
        <f t="shared" si="32"/>
        <v>0</v>
      </c>
      <c r="H520" s="1">
        <f t="shared" si="33"/>
        <v>0</v>
      </c>
      <c r="J520" s="1">
        <f t="shared" si="34"/>
        <v>0</v>
      </c>
      <c r="L520" s="1">
        <f t="shared" si="35"/>
        <v>0</v>
      </c>
    </row>
    <row r="521" spans="6:12" ht="18" customHeight="1" x14ac:dyDescent="0.3">
      <c r="F521" s="1">
        <f t="shared" si="32"/>
        <v>0</v>
      </c>
      <c r="H521" s="1">
        <f t="shared" si="33"/>
        <v>0</v>
      </c>
      <c r="J521" s="1">
        <f t="shared" si="34"/>
        <v>0</v>
      </c>
      <c r="L521" s="1">
        <f t="shared" si="35"/>
        <v>0</v>
      </c>
    </row>
    <row r="522" spans="6:12" ht="18" customHeight="1" x14ac:dyDescent="0.3">
      <c r="F522" s="1">
        <f t="shared" si="32"/>
        <v>0</v>
      </c>
      <c r="H522" s="1">
        <f t="shared" si="33"/>
        <v>0</v>
      </c>
      <c r="J522" s="1">
        <f t="shared" si="34"/>
        <v>0</v>
      </c>
      <c r="L522" s="1">
        <f t="shared" si="35"/>
        <v>0</v>
      </c>
    </row>
    <row r="523" spans="6:12" ht="18" customHeight="1" x14ac:dyDescent="0.3">
      <c r="F523" s="1">
        <f t="shared" si="32"/>
        <v>0</v>
      </c>
      <c r="H523" s="1">
        <f t="shared" si="33"/>
        <v>0</v>
      </c>
      <c r="J523" s="1">
        <f t="shared" si="34"/>
        <v>0</v>
      </c>
      <c r="L523" s="1">
        <f t="shared" si="35"/>
        <v>0</v>
      </c>
    </row>
    <row r="524" spans="6:12" ht="18" customHeight="1" x14ac:dyDescent="0.3">
      <c r="F524" s="1">
        <f t="shared" si="32"/>
        <v>0</v>
      </c>
      <c r="H524" s="1">
        <f t="shared" si="33"/>
        <v>0</v>
      </c>
      <c r="J524" s="1">
        <f t="shared" si="34"/>
        <v>0</v>
      </c>
      <c r="L524" s="1">
        <f t="shared" si="35"/>
        <v>0</v>
      </c>
    </row>
    <row r="525" spans="6:12" ht="18" customHeight="1" x14ac:dyDescent="0.3">
      <c r="F525" s="1">
        <f t="shared" si="32"/>
        <v>0</v>
      </c>
      <c r="H525" s="1">
        <f t="shared" si="33"/>
        <v>0</v>
      </c>
      <c r="J525" s="1">
        <f t="shared" si="34"/>
        <v>0</v>
      </c>
      <c r="L525" s="1">
        <f t="shared" si="35"/>
        <v>0</v>
      </c>
    </row>
    <row r="526" spans="6:12" ht="18" customHeight="1" x14ac:dyDescent="0.3">
      <c r="F526" s="1">
        <f t="shared" si="32"/>
        <v>0</v>
      </c>
      <c r="H526" s="1">
        <f t="shared" si="33"/>
        <v>0</v>
      </c>
      <c r="J526" s="1">
        <f t="shared" si="34"/>
        <v>0</v>
      </c>
      <c r="L526" s="1">
        <f t="shared" si="35"/>
        <v>0</v>
      </c>
    </row>
    <row r="527" spans="6:12" ht="18" customHeight="1" x14ac:dyDescent="0.3">
      <c r="F527" s="1">
        <f t="shared" si="32"/>
        <v>0</v>
      </c>
      <c r="H527" s="1">
        <f t="shared" si="33"/>
        <v>0</v>
      </c>
      <c r="J527" s="1">
        <f t="shared" si="34"/>
        <v>0</v>
      </c>
      <c r="L527" s="1">
        <f t="shared" si="35"/>
        <v>0</v>
      </c>
    </row>
    <row r="528" spans="6:12" ht="18" customHeight="1" x14ac:dyDescent="0.3">
      <c r="F528" s="1">
        <f t="shared" si="32"/>
        <v>0</v>
      </c>
      <c r="H528" s="1">
        <f t="shared" si="33"/>
        <v>0</v>
      </c>
      <c r="J528" s="1">
        <f t="shared" si="34"/>
        <v>0</v>
      </c>
      <c r="L528" s="1">
        <f t="shared" si="35"/>
        <v>0</v>
      </c>
    </row>
    <row r="529" spans="6:12" ht="18" customHeight="1" x14ac:dyDescent="0.3">
      <c r="F529" s="1">
        <f t="shared" si="32"/>
        <v>0</v>
      </c>
      <c r="H529" s="1">
        <f t="shared" si="33"/>
        <v>0</v>
      </c>
      <c r="J529" s="1">
        <f t="shared" si="34"/>
        <v>0</v>
      </c>
      <c r="L529" s="1">
        <f t="shared" si="35"/>
        <v>0</v>
      </c>
    </row>
    <row r="530" spans="6:12" ht="18" customHeight="1" x14ac:dyDescent="0.3">
      <c r="F530" s="1">
        <f t="shared" si="32"/>
        <v>0</v>
      </c>
      <c r="H530" s="1">
        <f t="shared" si="33"/>
        <v>0</v>
      </c>
      <c r="J530" s="1">
        <f t="shared" si="34"/>
        <v>0</v>
      </c>
      <c r="L530" s="1">
        <f t="shared" si="35"/>
        <v>0</v>
      </c>
    </row>
    <row r="531" spans="6:12" ht="18" customHeight="1" x14ac:dyDescent="0.3">
      <c r="F531" s="1">
        <f t="shared" si="32"/>
        <v>0</v>
      </c>
      <c r="H531" s="1">
        <f t="shared" si="33"/>
        <v>0</v>
      </c>
      <c r="J531" s="1">
        <f t="shared" si="34"/>
        <v>0</v>
      </c>
      <c r="L531" s="1">
        <f t="shared" si="35"/>
        <v>0</v>
      </c>
    </row>
    <row r="532" spans="6:12" ht="18" customHeight="1" x14ac:dyDescent="0.3">
      <c r="F532" s="1">
        <f t="shared" si="32"/>
        <v>0</v>
      </c>
      <c r="H532" s="1">
        <f t="shared" si="33"/>
        <v>0</v>
      </c>
      <c r="J532" s="1">
        <f t="shared" si="34"/>
        <v>0</v>
      </c>
      <c r="L532" s="1">
        <f t="shared" si="35"/>
        <v>0</v>
      </c>
    </row>
    <row r="533" spans="6:12" ht="18" customHeight="1" x14ac:dyDescent="0.3">
      <c r="F533" s="1">
        <f t="shared" si="32"/>
        <v>0</v>
      </c>
      <c r="H533" s="1">
        <f t="shared" si="33"/>
        <v>0</v>
      </c>
      <c r="J533" s="1">
        <f t="shared" si="34"/>
        <v>0</v>
      </c>
      <c r="L533" s="1">
        <f t="shared" si="35"/>
        <v>0</v>
      </c>
    </row>
    <row r="534" spans="6:12" ht="18" customHeight="1" x14ac:dyDescent="0.3">
      <c r="F534" s="1">
        <f t="shared" si="32"/>
        <v>0</v>
      </c>
      <c r="H534" s="1">
        <f t="shared" si="33"/>
        <v>0</v>
      </c>
      <c r="J534" s="1">
        <f t="shared" si="34"/>
        <v>0</v>
      </c>
      <c r="L534" s="1">
        <f t="shared" si="35"/>
        <v>0</v>
      </c>
    </row>
    <row r="535" spans="6:12" ht="18" customHeight="1" x14ac:dyDescent="0.3">
      <c r="F535" s="1">
        <f t="shared" si="32"/>
        <v>0</v>
      </c>
      <c r="H535" s="1">
        <f t="shared" si="33"/>
        <v>0</v>
      </c>
      <c r="J535" s="1">
        <f t="shared" si="34"/>
        <v>0</v>
      </c>
      <c r="L535" s="1">
        <f t="shared" si="35"/>
        <v>0</v>
      </c>
    </row>
    <row r="536" spans="6:12" ht="18" customHeight="1" x14ac:dyDescent="0.3">
      <c r="F536" s="1">
        <f t="shared" si="32"/>
        <v>0</v>
      </c>
      <c r="H536" s="1">
        <f t="shared" si="33"/>
        <v>0</v>
      </c>
      <c r="J536" s="1">
        <f t="shared" si="34"/>
        <v>0</v>
      </c>
      <c r="L536" s="1">
        <f t="shared" si="35"/>
        <v>0</v>
      </c>
    </row>
    <row r="537" spans="6:12" ht="18" customHeight="1" x14ac:dyDescent="0.3">
      <c r="F537" s="1">
        <f t="shared" si="32"/>
        <v>0</v>
      </c>
      <c r="H537" s="1">
        <f t="shared" si="33"/>
        <v>0</v>
      </c>
      <c r="J537" s="1">
        <f t="shared" si="34"/>
        <v>0</v>
      </c>
      <c r="L537" s="1">
        <f t="shared" si="35"/>
        <v>0</v>
      </c>
    </row>
    <row r="538" spans="6:12" ht="18" customHeight="1" x14ac:dyDescent="0.3">
      <c r="F538" s="1">
        <f t="shared" si="32"/>
        <v>0</v>
      </c>
      <c r="H538" s="1">
        <f t="shared" si="33"/>
        <v>0</v>
      </c>
      <c r="J538" s="1">
        <f t="shared" si="34"/>
        <v>0</v>
      </c>
      <c r="L538" s="1">
        <f t="shared" si="35"/>
        <v>0</v>
      </c>
    </row>
    <row r="539" spans="6:12" ht="18" customHeight="1" x14ac:dyDescent="0.3">
      <c r="F539" s="1">
        <f t="shared" si="32"/>
        <v>0</v>
      </c>
      <c r="H539" s="1">
        <f t="shared" si="33"/>
        <v>0</v>
      </c>
      <c r="J539" s="1">
        <f t="shared" si="34"/>
        <v>0</v>
      </c>
      <c r="L539" s="1">
        <f t="shared" si="35"/>
        <v>0</v>
      </c>
    </row>
    <row r="540" spans="6:12" ht="18" customHeight="1" x14ac:dyDescent="0.3">
      <c r="F540" s="1">
        <f t="shared" si="32"/>
        <v>0</v>
      </c>
      <c r="H540" s="1">
        <f t="shared" si="33"/>
        <v>0</v>
      </c>
      <c r="J540" s="1">
        <f t="shared" si="34"/>
        <v>0</v>
      </c>
      <c r="L540" s="1">
        <f t="shared" si="35"/>
        <v>0</v>
      </c>
    </row>
    <row r="541" spans="6:12" ht="18" customHeight="1" x14ac:dyDescent="0.3">
      <c r="F541" s="1">
        <f t="shared" si="32"/>
        <v>0</v>
      </c>
      <c r="H541" s="1">
        <f t="shared" si="33"/>
        <v>0</v>
      </c>
      <c r="J541" s="1">
        <f t="shared" si="34"/>
        <v>0</v>
      </c>
      <c r="L541" s="1">
        <f t="shared" si="35"/>
        <v>0</v>
      </c>
    </row>
    <row r="542" spans="6:12" ht="18" customHeight="1" x14ac:dyDescent="0.3">
      <c r="F542" s="1">
        <f t="shared" si="32"/>
        <v>0</v>
      </c>
      <c r="H542" s="1">
        <f t="shared" si="33"/>
        <v>0</v>
      </c>
      <c r="J542" s="1">
        <f t="shared" si="34"/>
        <v>0</v>
      </c>
      <c r="L542" s="1">
        <f t="shared" si="35"/>
        <v>0</v>
      </c>
    </row>
    <row r="543" spans="6:12" ht="18" customHeight="1" x14ac:dyDescent="0.3">
      <c r="F543" s="1">
        <f t="shared" si="32"/>
        <v>0</v>
      </c>
      <c r="H543" s="1">
        <f t="shared" si="33"/>
        <v>0</v>
      </c>
      <c r="J543" s="1">
        <f t="shared" si="34"/>
        <v>0</v>
      </c>
      <c r="L543" s="1">
        <f t="shared" si="35"/>
        <v>0</v>
      </c>
    </row>
    <row r="544" spans="6:12" ht="18" customHeight="1" x14ac:dyDescent="0.3">
      <c r="F544" s="1">
        <f t="shared" si="32"/>
        <v>0</v>
      </c>
      <c r="H544" s="1">
        <f t="shared" si="33"/>
        <v>0</v>
      </c>
      <c r="J544" s="1">
        <f t="shared" si="34"/>
        <v>0</v>
      </c>
      <c r="L544" s="1">
        <f t="shared" si="35"/>
        <v>0</v>
      </c>
    </row>
    <row r="545" spans="6:12" ht="18" customHeight="1" x14ac:dyDescent="0.3">
      <c r="F545" s="1">
        <f t="shared" si="32"/>
        <v>0</v>
      </c>
      <c r="H545" s="1">
        <f t="shared" si="33"/>
        <v>0</v>
      </c>
      <c r="J545" s="1">
        <f t="shared" si="34"/>
        <v>0</v>
      </c>
      <c r="L545" s="1">
        <f t="shared" si="35"/>
        <v>0</v>
      </c>
    </row>
    <row r="546" spans="6:12" ht="18" customHeight="1" x14ac:dyDescent="0.3">
      <c r="F546" s="1">
        <f t="shared" si="32"/>
        <v>0</v>
      </c>
      <c r="H546" s="1">
        <f t="shared" si="33"/>
        <v>0</v>
      </c>
      <c r="J546" s="1">
        <f t="shared" si="34"/>
        <v>0</v>
      </c>
      <c r="L546" s="1">
        <f t="shared" si="35"/>
        <v>0</v>
      </c>
    </row>
    <row r="547" spans="6:12" ht="18" customHeight="1" x14ac:dyDescent="0.3">
      <c r="F547" s="1">
        <f t="shared" si="32"/>
        <v>0</v>
      </c>
      <c r="H547" s="1">
        <f t="shared" si="33"/>
        <v>0</v>
      </c>
      <c r="J547" s="1">
        <f t="shared" si="34"/>
        <v>0</v>
      </c>
      <c r="L547" s="1">
        <f t="shared" si="35"/>
        <v>0</v>
      </c>
    </row>
    <row r="548" spans="6:12" ht="18" customHeight="1" x14ac:dyDescent="0.3">
      <c r="F548" s="1">
        <f t="shared" si="32"/>
        <v>0</v>
      </c>
      <c r="H548" s="1">
        <f t="shared" si="33"/>
        <v>0</v>
      </c>
      <c r="J548" s="1">
        <f t="shared" si="34"/>
        <v>0</v>
      </c>
      <c r="L548" s="1">
        <f t="shared" si="35"/>
        <v>0</v>
      </c>
    </row>
    <row r="549" spans="6:12" ht="18" customHeight="1" x14ac:dyDescent="0.3">
      <c r="F549" s="1">
        <f t="shared" si="32"/>
        <v>0</v>
      </c>
      <c r="H549" s="1">
        <f t="shared" si="33"/>
        <v>0</v>
      </c>
      <c r="J549" s="1">
        <f t="shared" si="34"/>
        <v>0</v>
      </c>
      <c r="L549" s="1">
        <f t="shared" si="35"/>
        <v>0</v>
      </c>
    </row>
    <row r="550" spans="6:12" ht="18" customHeight="1" x14ac:dyDescent="0.3">
      <c r="F550" s="1">
        <f t="shared" si="32"/>
        <v>0</v>
      </c>
      <c r="H550" s="1">
        <f t="shared" si="33"/>
        <v>0</v>
      </c>
      <c r="J550" s="1">
        <f t="shared" si="34"/>
        <v>0</v>
      </c>
      <c r="L550" s="1">
        <f t="shared" si="35"/>
        <v>0</v>
      </c>
    </row>
    <row r="551" spans="6:12" ht="18" customHeight="1" x14ac:dyDescent="0.3">
      <c r="F551" s="1">
        <f t="shared" si="32"/>
        <v>0</v>
      </c>
      <c r="H551" s="1">
        <f t="shared" si="33"/>
        <v>0</v>
      </c>
      <c r="J551" s="1">
        <f t="shared" si="34"/>
        <v>0</v>
      </c>
      <c r="L551" s="1">
        <f t="shared" si="35"/>
        <v>0</v>
      </c>
    </row>
    <row r="552" spans="6:12" ht="18" customHeight="1" x14ac:dyDescent="0.3">
      <c r="F552" s="1">
        <f t="shared" si="32"/>
        <v>0</v>
      </c>
      <c r="H552" s="1">
        <f t="shared" si="33"/>
        <v>0</v>
      </c>
      <c r="J552" s="1">
        <f t="shared" si="34"/>
        <v>0</v>
      </c>
      <c r="L552" s="1">
        <f t="shared" si="35"/>
        <v>0</v>
      </c>
    </row>
    <row r="553" spans="6:12" ht="18" customHeight="1" x14ac:dyDescent="0.3">
      <c r="F553" s="1">
        <f t="shared" si="32"/>
        <v>0</v>
      </c>
      <c r="H553" s="1">
        <f t="shared" si="33"/>
        <v>0</v>
      </c>
      <c r="J553" s="1">
        <f t="shared" si="34"/>
        <v>0</v>
      </c>
      <c r="L553" s="1">
        <f t="shared" si="35"/>
        <v>0</v>
      </c>
    </row>
    <row r="554" spans="6:12" ht="18" customHeight="1" x14ac:dyDescent="0.3">
      <c r="F554" s="1">
        <f t="shared" si="32"/>
        <v>0</v>
      </c>
      <c r="H554" s="1">
        <f t="shared" si="33"/>
        <v>0</v>
      </c>
      <c r="J554" s="1">
        <f t="shared" si="34"/>
        <v>0</v>
      </c>
      <c r="L554" s="1">
        <f t="shared" si="35"/>
        <v>0</v>
      </c>
    </row>
    <row r="555" spans="6:12" ht="18" customHeight="1" x14ac:dyDescent="0.3">
      <c r="F555" s="1">
        <f t="shared" si="32"/>
        <v>0</v>
      </c>
      <c r="H555" s="1">
        <f t="shared" si="33"/>
        <v>0</v>
      </c>
      <c r="J555" s="1">
        <f t="shared" si="34"/>
        <v>0</v>
      </c>
      <c r="L555" s="1">
        <f t="shared" si="35"/>
        <v>0</v>
      </c>
    </row>
    <row r="556" spans="6:12" ht="18" customHeight="1" x14ac:dyDescent="0.3">
      <c r="F556" s="1">
        <f t="shared" si="32"/>
        <v>0</v>
      </c>
      <c r="H556" s="1">
        <f t="shared" si="33"/>
        <v>0</v>
      </c>
      <c r="J556" s="1">
        <f t="shared" si="34"/>
        <v>0</v>
      </c>
      <c r="L556" s="1">
        <f t="shared" si="35"/>
        <v>0</v>
      </c>
    </row>
    <row r="557" spans="6:12" ht="18" customHeight="1" x14ac:dyDescent="0.3">
      <c r="F557" s="1">
        <f t="shared" si="32"/>
        <v>0</v>
      </c>
      <c r="H557" s="1">
        <f t="shared" si="33"/>
        <v>0</v>
      </c>
      <c r="J557" s="1">
        <f t="shared" si="34"/>
        <v>0</v>
      </c>
      <c r="L557" s="1">
        <f t="shared" si="35"/>
        <v>0</v>
      </c>
    </row>
    <row r="558" spans="6:12" ht="18" customHeight="1" x14ac:dyDescent="0.3">
      <c r="F558" s="1">
        <f t="shared" si="32"/>
        <v>0</v>
      </c>
      <c r="H558" s="1">
        <f t="shared" si="33"/>
        <v>0</v>
      </c>
      <c r="J558" s="1">
        <f t="shared" si="34"/>
        <v>0</v>
      </c>
      <c r="L558" s="1">
        <f t="shared" si="35"/>
        <v>0</v>
      </c>
    </row>
    <row r="559" spans="6:12" ht="18" customHeight="1" x14ac:dyDescent="0.3">
      <c r="F559" s="1">
        <f t="shared" si="32"/>
        <v>0</v>
      </c>
      <c r="H559" s="1">
        <f t="shared" si="33"/>
        <v>0</v>
      </c>
      <c r="J559" s="1">
        <f t="shared" si="34"/>
        <v>0</v>
      </c>
      <c r="L559" s="1">
        <f t="shared" si="35"/>
        <v>0</v>
      </c>
    </row>
    <row r="560" spans="6:12" ht="18" customHeight="1" x14ac:dyDescent="0.3">
      <c r="F560" s="1">
        <f t="shared" si="32"/>
        <v>0</v>
      </c>
      <c r="H560" s="1">
        <f t="shared" si="33"/>
        <v>0</v>
      </c>
      <c r="J560" s="1">
        <f t="shared" si="34"/>
        <v>0</v>
      </c>
      <c r="L560" s="1">
        <f t="shared" si="35"/>
        <v>0</v>
      </c>
    </row>
    <row r="561" spans="6:12" ht="18" customHeight="1" x14ac:dyDescent="0.3">
      <c r="F561" s="1">
        <f t="shared" si="32"/>
        <v>0</v>
      </c>
      <c r="H561" s="1">
        <f t="shared" si="33"/>
        <v>0</v>
      </c>
      <c r="J561" s="1">
        <f t="shared" si="34"/>
        <v>0</v>
      </c>
      <c r="L561" s="1">
        <f t="shared" si="35"/>
        <v>0</v>
      </c>
    </row>
    <row r="562" spans="6:12" ht="18" customHeight="1" x14ac:dyDescent="0.3">
      <c r="F562" s="1">
        <f t="shared" si="32"/>
        <v>0</v>
      </c>
      <c r="H562" s="1">
        <f t="shared" si="33"/>
        <v>0</v>
      </c>
      <c r="J562" s="1">
        <f t="shared" si="34"/>
        <v>0</v>
      </c>
      <c r="L562" s="1">
        <f t="shared" si="35"/>
        <v>0</v>
      </c>
    </row>
    <row r="563" spans="6:12" ht="18" customHeight="1" x14ac:dyDescent="0.3">
      <c r="F563" s="1">
        <f t="shared" si="32"/>
        <v>0</v>
      </c>
      <c r="H563" s="1">
        <f t="shared" si="33"/>
        <v>0</v>
      </c>
      <c r="J563" s="1">
        <f t="shared" si="34"/>
        <v>0</v>
      </c>
      <c r="L563" s="1">
        <f t="shared" si="35"/>
        <v>0</v>
      </c>
    </row>
    <row r="564" spans="6:12" ht="18" customHeight="1" x14ac:dyDescent="0.3">
      <c r="F564" s="1">
        <f t="shared" si="32"/>
        <v>0</v>
      </c>
      <c r="H564" s="1">
        <f t="shared" si="33"/>
        <v>0</v>
      </c>
      <c r="J564" s="1">
        <f t="shared" si="34"/>
        <v>0</v>
      </c>
      <c r="L564" s="1">
        <f t="shared" si="35"/>
        <v>0</v>
      </c>
    </row>
    <row r="565" spans="6:12" ht="18" customHeight="1" x14ac:dyDescent="0.3">
      <c r="F565" s="1">
        <f t="shared" si="32"/>
        <v>0</v>
      </c>
      <c r="H565" s="1">
        <f t="shared" si="33"/>
        <v>0</v>
      </c>
      <c r="J565" s="1">
        <f t="shared" si="34"/>
        <v>0</v>
      </c>
      <c r="L565" s="1">
        <f t="shared" si="35"/>
        <v>0</v>
      </c>
    </row>
    <row r="566" spans="6:12" ht="18" customHeight="1" x14ac:dyDescent="0.3">
      <c r="F566" s="1">
        <f t="shared" si="32"/>
        <v>0</v>
      </c>
      <c r="H566" s="1">
        <f t="shared" si="33"/>
        <v>0</v>
      </c>
      <c r="J566" s="1">
        <f t="shared" si="34"/>
        <v>0</v>
      </c>
      <c r="L566" s="1">
        <f t="shared" si="35"/>
        <v>0</v>
      </c>
    </row>
    <row r="567" spans="6:12" ht="18" customHeight="1" x14ac:dyDescent="0.3">
      <c r="F567" s="1">
        <f t="shared" si="32"/>
        <v>0</v>
      </c>
      <c r="H567" s="1">
        <f t="shared" si="33"/>
        <v>0</v>
      </c>
      <c r="J567" s="1">
        <f t="shared" si="34"/>
        <v>0</v>
      </c>
      <c r="L567" s="1">
        <f t="shared" si="35"/>
        <v>0</v>
      </c>
    </row>
    <row r="568" spans="6:12" ht="18" customHeight="1" x14ac:dyDescent="0.3">
      <c r="F568" s="1">
        <f t="shared" si="32"/>
        <v>0</v>
      </c>
      <c r="H568" s="1">
        <f t="shared" si="33"/>
        <v>0</v>
      </c>
      <c r="J568" s="1">
        <f t="shared" si="34"/>
        <v>0</v>
      </c>
      <c r="L568" s="1">
        <f t="shared" si="35"/>
        <v>0</v>
      </c>
    </row>
    <row r="569" spans="6:12" ht="18" customHeight="1" x14ac:dyDescent="0.3">
      <c r="F569" s="1">
        <f t="shared" si="32"/>
        <v>0</v>
      </c>
      <c r="H569" s="1">
        <f t="shared" si="33"/>
        <v>0</v>
      </c>
      <c r="J569" s="1">
        <f t="shared" si="34"/>
        <v>0</v>
      </c>
      <c r="L569" s="1">
        <f t="shared" si="35"/>
        <v>0</v>
      </c>
    </row>
    <row r="570" spans="6:12" ht="18" customHeight="1" x14ac:dyDescent="0.3">
      <c r="F570" s="1">
        <f t="shared" si="32"/>
        <v>0</v>
      </c>
      <c r="H570" s="1">
        <f t="shared" si="33"/>
        <v>0</v>
      </c>
      <c r="J570" s="1">
        <f t="shared" si="34"/>
        <v>0</v>
      </c>
      <c r="L570" s="1">
        <f t="shared" si="35"/>
        <v>0</v>
      </c>
    </row>
    <row r="571" spans="6:12" ht="18" customHeight="1" x14ac:dyDescent="0.3">
      <c r="F571" s="1">
        <f t="shared" si="32"/>
        <v>0</v>
      </c>
      <c r="H571" s="1">
        <f t="shared" si="33"/>
        <v>0</v>
      </c>
      <c r="J571" s="1">
        <f t="shared" si="34"/>
        <v>0</v>
      </c>
      <c r="L571" s="1">
        <f t="shared" si="35"/>
        <v>0</v>
      </c>
    </row>
    <row r="572" spans="6:12" ht="18" customHeight="1" x14ac:dyDescent="0.3">
      <c r="F572" s="1">
        <f t="shared" si="32"/>
        <v>0</v>
      </c>
      <c r="H572" s="1">
        <f t="shared" si="33"/>
        <v>0</v>
      </c>
      <c r="J572" s="1">
        <f t="shared" si="34"/>
        <v>0</v>
      </c>
      <c r="L572" s="1">
        <f t="shared" si="35"/>
        <v>0</v>
      </c>
    </row>
    <row r="573" spans="6:12" ht="18" customHeight="1" x14ac:dyDescent="0.3">
      <c r="F573" s="1">
        <f t="shared" si="32"/>
        <v>0</v>
      </c>
      <c r="H573" s="1">
        <f t="shared" si="33"/>
        <v>0</v>
      </c>
      <c r="J573" s="1">
        <f t="shared" si="34"/>
        <v>0</v>
      </c>
      <c r="L573" s="1">
        <f t="shared" si="35"/>
        <v>0</v>
      </c>
    </row>
    <row r="574" spans="6:12" ht="18" customHeight="1" x14ac:dyDescent="0.3">
      <c r="F574" s="1">
        <f t="shared" si="32"/>
        <v>0</v>
      </c>
      <c r="H574" s="1">
        <f t="shared" si="33"/>
        <v>0</v>
      </c>
      <c r="J574" s="1">
        <f t="shared" si="34"/>
        <v>0</v>
      </c>
      <c r="L574" s="1">
        <f t="shared" si="35"/>
        <v>0</v>
      </c>
    </row>
    <row r="575" spans="6:12" ht="18" customHeight="1" x14ac:dyDescent="0.3">
      <c r="F575" s="1">
        <f t="shared" si="32"/>
        <v>0</v>
      </c>
      <c r="H575" s="1">
        <f t="shared" si="33"/>
        <v>0</v>
      </c>
      <c r="J575" s="1">
        <f t="shared" si="34"/>
        <v>0</v>
      </c>
      <c r="L575" s="1">
        <f t="shared" si="35"/>
        <v>0</v>
      </c>
    </row>
    <row r="576" spans="6:12" ht="18" customHeight="1" x14ac:dyDescent="0.3">
      <c r="F576" s="1">
        <f t="shared" si="32"/>
        <v>0</v>
      </c>
      <c r="H576" s="1">
        <f t="shared" si="33"/>
        <v>0</v>
      </c>
      <c r="J576" s="1">
        <f t="shared" si="34"/>
        <v>0</v>
      </c>
      <c r="L576" s="1">
        <f t="shared" si="35"/>
        <v>0</v>
      </c>
    </row>
    <row r="577" spans="6:12" ht="18" customHeight="1" x14ac:dyDescent="0.3">
      <c r="F577" s="1">
        <f t="shared" si="32"/>
        <v>0</v>
      </c>
      <c r="H577" s="1">
        <f t="shared" si="33"/>
        <v>0</v>
      </c>
      <c r="J577" s="1">
        <f t="shared" si="34"/>
        <v>0</v>
      </c>
      <c r="L577" s="1">
        <f t="shared" si="35"/>
        <v>0</v>
      </c>
    </row>
    <row r="578" spans="6:12" ht="18" customHeight="1" x14ac:dyDescent="0.3">
      <c r="F578" s="1">
        <f t="shared" si="32"/>
        <v>0</v>
      </c>
      <c r="H578" s="1">
        <f t="shared" si="33"/>
        <v>0</v>
      </c>
      <c r="J578" s="1">
        <f t="shared" si="34"/>
        <v>0</v>
      </c>
      <c r="L578" s="1">
        <f t="shared" si="35"/>
        <v>0</v>
      </c>
    </row>
    <row r="579" spans="6:12" ht="18" customHeight="1" x14ac:dyDescent="0.3">
      <c r="F579" s="1">
        <f t="shared" si="32"/>
        <v>0</v>
      </c>
      <c r="H579" s="1">
        <f t="shared" si="33"/>
        <v>0</v>
      </c>
      <c r="J579" s="1">
        <f t="shared" si="34"/>
        <v>0</v>
      </c>
      <c r="L579" s="1">
        <f t="shared" si="35"/>
        <v>0</v>
      </c>
    </row>
    <row r="580" spans="6:12" ht="18" customHeight="1" x14ac:dyDescent="0.3">
      <c r="F580" s="1">
        <f t="shared" si="32"/>
        <v>0</v>
      </c>
      <c r="H580" s="1">
        <f t="shared" si="33"/>
        <v>0</v>
      </c>
      <c r="J580" s="1">
        <f t="shared" si="34"/>
        <v>0</v>
      </c>
      <c r="L580" s="1">
        <f t="shared" si="35"/>
        <v>0</v>
      </c>
    </row>
    <row r="581" spans="6:12" ht="18" customHeight="1" x14ac:dyDescent="0.3">
      <c r="F581" s="1">
        <f t="shared" ref="F581:F644" si="36">SUM(H581,J581,L581)</f>
        <v>0</v>
      </c>
      <c r="H581" s="1">
        <f t="shared" ref="H581:H644" si="37">ROUNDUP(D581*G581,0)</f>
        <v>0</v>
      </c>
      <c r="J581" s="1">
        <f t="shared" ref="J581:J644" si="38">ROUNDUP(D581*I581,0)</f>
        <v>0</v>
      </c>
      <c r="L581" s="1">
        <f t="shared" ref="L581:L644" si="39">ROUNDUP(D581*K581,0)</f>
        <v>0</v>
      </c>
    </row>
    <row r="582" spans="6:12" ht="18" customHeight="1" x14ac:dyDescent="0.3">
      <c r="F582" s="1">
        <f t="shared" si="36"/>
        <v>0</v>
      </c>
      <c r="H582" s="1">
        <f t="shared" si="37"/>
        <v>0</v>
      </c>
      <c r="J582" s="1">
        <f t="shared" si="38"/>
        <v>0</v>
      </c>
      <c r="L582" s="1">
        <f t="shared" si="39"/>
        <v>0</v>
      </c>
    </row>
    <row r="583" spans="6:12" ht="18" customHeight="1" x14ac:dyDescent="0.3">
      <c r="F583" s="1">
        <f t="shared" si="36"/>
        <v>0</v>
      </c>
      <c r="H583" s="1">
        <f t="shared" si="37"/>
        <v>0</v>
      </c>
      <c r="J583" s="1">
        <f t="shared" si="38"/>
        <v>0</v>
      </c>
      <c r="L583" s="1">
        <f t="shared" si="39"/>
        <v>0</v>
      </c>
    </row>
    <row r="584" spans="6:12" ht="18" customHeight="1" x14ac:dyDescent="0.3">
      <c r="F584" s="1">
        <f t="shared" si="36"/>
        <v>0</v>
      </c>
      <c r="H584" s="1">
        <f t="shared" si="37"/>
        <v>0</v>
      </c>
      <c r="J584" s="1">
        <f t="shared" si="38"/>
        <v>0</v>
      </c>
      <c r="L584" s="1">
        <f t="shared" si="39"/>
        <v>0</v>
      </c>
    </row>
    <row r="585" spans="6:12" ht="18" customHeight="1" x14ac:dyDescent="0.3">
      <c r="F585" s="1">
        <f t="shared" si="36"/>
        <v>0</v>
      </c>
      <c r="H585" s="1">
        <f t="shared" si="37"/>
        <v>0</v>
      </c>
      <c r="J585" s="1">
        <f t="shared" si="38"/>
        <v>0</v>
      </c>
      <c r="L585" s="1">
        <f t="shared" si="39"/>
        <v>0</v>
      </c>
    </row>
    <row r="586" spans="6:12" ht="18" customHeight="1" x14ac:dyDescent="0.3">
      <c r="F586" s="1">
        <f t="shared" si="36"/>
        <v>0</v>
      </c>
      <c r="H586" s="1">
        <f t="shared" si="37"/>
        <v>0</v>
      </c>
      <c r="J586" s="1">
        <f t="shared" si="38"/>
        <v>0</v>
      </c>
      <c r="L586" s="1">
        <f t="shared" si="39"/>
        <v>0</v>
      </c>
    </row>
    <row r="587" spans="6:12" ht="18" customHeight="1" x14ac:dyDescent="0.3">
      <c r="F587" s="1">
        <f t="shared" si="36"/>
        <v>0</v>
      </c>
      <c r="H587" s="1">
        <f t="shared" si="37"/>
        <v>0</v>
      </c>
      <c r="J587" s="1">
        <f t="shared" si="38"/>
        <v>0</v>
      </c>
      <c r="L587" s="1">
        <f t="shared" si="39"/>
        <v>0</v>
      </c>
    </row>
    <row r="588" spans="6:12" ht="18" customHeight="1" x14ac:dyDescent="0.3">
      <c r="F588" s="1">
        <f t="shared" si="36"/>
        <v>0</v>
      </c>
      <c r="H588" s="1">
        <f t="shared" si="37"/>
        <v>0</v>
      </c>
      <c r="J588" s="1">
        <f t="shared" si="38"/>
        <v>0</v>
      </c>
      <c r="L588" s="1">
        <f t="shared" si="39"/>
        <v>0</v>
      </c>
    </row>
    <row r="589" spans="6:12" ht="18" customHeight="1" x14ac:dyDescent="0.3">
      <c r="F589" s="1">
        <f t="shared" si="36"/>
        <v>0</v>
      </c>
      <c r="H589" s="1">
        <f t="shared" si="37"/>
        <v>0</v>
      </c>
      <c r="J589" s="1">
        <f t="shared" si="38"/>
        <v>0</v>
      </c>
      <c r="L589" s="1">
        <f t="shared" si="39"/>
        <v>0</v>
      </c>
    </row>
    <row r="590" spans="6:12" ht="18" customHeight="1" x14ac:dyDescent="0.3">
      <c r="F590" s="1">
        <f t="shared" si="36"/>
        <v>0</v>
      </c>
      <c r="H590" s="1">
        <f t="shared" si="37"/>
        <v>0</v>
      </c>
      <c r="J590" s="1">
        <f t="shared" si="38"/>
        <v>0</v>
      </c>
      <c r="L590" s="1">
        <f t="shared" si="39"/>
        <v>0</v>
      </c>
    </row>
    <row r="591" spans="6:12" ht="18" customHeight="1" x14ac:dyDescent="0.3">
      <c r="F591" s="1">
        <f t="shared" si="36"/>
        <v>0</v>
      </c>
      <c r="H591" s="1">
        <f t="shared" si="37"/>
        <v>0</v>
      </c>
      <c r="J591" s="1">
        <f t="shared" si="38"/>
        <v>0</v>
      </c>
      <c r="L591" s="1">
        <f t="shared" si="39"/>
        <v>0</v>
      </c>
    </row>
    <row r="592" spans="6:12" ht="18" customHeight="1" x14ac:dyDescent="0.3">
      <c r="F592" s="1">
        <f t="shared" si="36"/>
        <v>0</v>
      </c>
      <c r="H592" s="1">
        <f t="shared" si="37"/>
        <v>0</v>
      </c>
      <c r="J592" s="1">
        <f t="shared" si="38"/>
        <v>0</v>
      </c>
      <c r="L592" s="1">
        <f t="shared" si="39"/>
        <v>0</v>
      </c>
    </row>
    <row r="593" spans="6:12" ht="18" customHeight="1" x14ac:dyDescent="0.3">
      <c r="F593" s="1">
        <f t="shared" si="36"/>
        <v>0</v>
      </c>
      <c r="H593" s="1">
        <f t="shared" si="37"/>
        <v>0</v>
      </c>
      <c r="J593" s="1">
        <f t="shared" si="38"/>
        <v>0</v>
      </c>
      <c r="L593" s="1">
        <f t="shared" si="39"/>
        <v>0</v>
      </c>
    </row>
    <row r="594" spans="6:12" ht="18" customHeight="1" x14ac:dyDescent="0.3">
      <c r="F594" s="1">
        <f t="shared" si="36"/>
        <v>0</v>
      </c>
      <c r="H594" s="1">
        <f t="shared" si="37"/>
        <v>0</v>
      </c>
      <c r="J594" s="1">
        <f t="shared" si="38"/>
        <v>0</v>
      </c>
      <c r="L594" s="1">
        <f t="shared" si="39"/>
        <v>0</v>
      </c>
    </row>
    <row r="595" spans="6:12" ht="18" customHeight="1" x14ac:dyDescent="0.3">
      <c r="F595" s="1">
        <f t="shared" si="36"/>
        <v>0</v>
      </c>
      <c r="H595" s="1">
        <f t="shared" si="37"/>
        <v>0</v>
      </c>
      <c r="J595" s="1">
        <f t="shared" si="38"/>
        <v>0</v>
      </c>
      <c r="L595" s="1">
        <f t="shared" si="39"/>
        <v>0</v>
      </c>
    </row>
    <row r="596" spans="6:12" ht="18" customHeight="1" x14ac:dyDescent="0.3">
      <c r="F596" s="1">
        <f t="shared" si="36"/>
        <v>0</v>
      </c>
      <c r="H596" s="1">
        <f t="shared" si="37"/>
        <v>0</v>
      </c>
      <c r="J596" s="1">
        <f t="shared" si="38"/>
        <v>0</v>
      </c>
      <c r="L596" s="1">
        <f t="shared" si="39"/>
        <v>0</v>
      </c>
    </row>
    <row r="597" spans="6:12" ht="18" customHeight="1" x14ac:dyDescent="0.3">
      <c r="F597" s="1">
        <f t="shared" si="36"/>
        <v>0</v>
      </c>
      <c r="H597" s="1">
        <f t="shared" si="37"/>
        <v>0</v>
      </c>
      <c r="J597" s="1">
        <f t="shared" si="38"/>
        <v>0</v>
      </c>
      <c r="L597" s="1">
        <f t="shared" si="39"/>
        <v>0</v>
      </c>
    </row>
    <row r="598" spans="6:12" ht="18" customHeight="1" x14ac:dyDescent="0.3">
      <c r="F598" s="1">
        <f t="shared" si="36"/>
        <v>0</v>
      </c>
      <c r="H598" s="1">
        <f t="shared" si="37"/>
        <v>0</v>
      </c>
      <c r="J598" s="1">
        <f t="shared" si="38"/>
        <v>0</v>
      </c>
      <c r="L598" s="1">
        <f t="shared" si="39"/>
        <v>0</v>
      </c>
    </row>
    <row r="599" spans="6:12" ht="18" customHeight="1" x14ac:dyDescent="0.3">
      <c r="F599" s="1">
        <f t="shared" si="36"/>
        <v>0</v>
      </c>
      <c r="H599" s="1">
        <f t="shared" si="37"/>
        <v>0</v>
      </c>
      <c r="J599" s="1">
        <f t="shared" si="38"/>
        <v>0</v>
      </c>
      <c r="L599" s="1">
        <f t="shared" si="39"/>
        <v>0</v>
      </c>
    </row>
    <row r="600" spans="6:12" ht="18" customHeight="1" x14ac:dyDescent="0.3">
      <c r="F600" s="1">
        <f t="shared" si="36"/>
        <v>0</v>
      </c>
      <c r="H600" s="1">
        <f t="shared" si="37"/>
        <v>0</v>
      </c>
      <c r="J600" s="1">
        <f t="shared" si="38"/>
        <v>0</v>
      </c>
      <c r="L600" s="1">
        <f t="shared" si="39"/>
        <v>0</v>
      </c>
    </row>
    <row r="601" spans="6:12" ht="18" customHeight="1" x14ac:dyDescent="0.3">
      <c r="F601" s="1">
        <f t="shared" si="36"/>
        <v>0</v>
      </c>
      <c r="H601" s="1">
        <f t="shared" si="37"/>
        <v>0</v>
      </c>
      <c r="J601" s="1">
        <f t="shared" si="38"/>
        <v>0</v>
      </c>
      <c r="L601" s="1">
        <f t="shared" si="39"/>
        <v>0</v>
      </c>
    </row>
    <row r="602" spans="6:12" ht="18" customHeight="1" x14ac:dyDescent="0.3">
      <c r="F602" s="1">
        <f t="shared" si="36"/>
        <v>0</v>
      </c>
      <c r="H602" s="1">
        <f t="shared" si="37"/>
        <v>0</v>
      </c>
      <c r="J602" s="1">
        <f t="shared" si="38"/>
        <v>0</v>
      </c>
      <c r="L602" s="1">
        <f t="shared" si="39"/>
        <v>0</v>
      </c>
    </row>
    <row r="603" spans="6:12" ht="18" customHeight="1" x14ac:dyDescent="0.3">
      <c r="F603" s="1">
        <f t="shared" si="36"/>
        <v>0</v>
      </c>
      <c r="H603" s="1">
        <f t="shared" si="37"/>
        <v>0</v>
      </c>
      <c r="J603" s="1">
        <f t="shared" si="38"/>
        <v>0</v>
      </c>
      <c r="L603" s="1">
        <f t="shared" si="39"/>
        <v>0</v>
      </c>
    </row>
    <row r="604" spans="6:12" ht="18" customHeight="1" x14ac:dyDescent="0.3">
      <c r="F604" s="1">
        <f t="shared" si="36"/>
        <v>0</v>
      </c>
      <c r="H604" s="1">
        <f t="shared" si="37"/>
        <v>0</v>
      </c>
      <c r="J604" s="1">
        <f t="shared" si="38"/>
        <v>0</v>
      </c>
      <c r="L604" s="1">
        <f t="shared" si="39"/>
        <v>0</v>
      </c>
    </row>
    <row r="605" spans="6:12" ht="18" customHeight="1" x14ac:dyDescent="0.3">
      <c r="F605" s="1">
        <f t="shared" si="36"/>
        <v>0</v>
      </c>
      <c r="H605" s="1">
        <f t="shared" si="37"/>
        <v>0</v>
      </c>
      <c r="J605" s="1">
        <f t="shared" si="38"/>
        <v>0</v>
      </c>
      <c r="L605" s="1">
        <f t="shared" si="39"/>
        <v>0</v>
      </c>
    </row>
    <row r="606" spans="6:12" ht="18" customHeight="1" x14ac:dyDescent="0.3">
      <c r="F606" s="1">
        <f t="shared" si="36"/>
        <v>0</v>
      </c>
      <c r="H606" s="1">
        <f t="shared" si="37"/>
        <v>0</v>
      </c>
      <c r="J606" s="1">
        <f t="shared" si="38"/>
        <v>0</v>
      </c>
      <c r="L606" s="1">
        <f t="shared" si="39"/>
        <v>0</v>
      </c>
    </row>
    <row r="607" spans="6:12" ht="18" customHeight="1" x14ac:dyDescent="0.3">
      <c r="F607" s="1">
        <f t="shared" si="36"/>
        <v>0</v>
      </c>
      <c r="H607" s="1">
        <f t="shared" si="37"/>
        <v>0</v>
      </c>
      <c r="J607" s="1">
        <f t="shared" si="38"/>
        <v>0</v>
      </c>
      <c r="L607" s="1">
        <f t="shared" si="39"/>
        <v>0</v>
      </c>
    </row>
    <row r="608" spans="6:12" ht="18" customHeight="1" x14ac:dyDescent="0.3">
      <c r="F608" s="1">
        <f t="shared" si="36"/>
        <v>0</v>
      </c>
      <c r="H608" s="1">
        <f t="shared" si="37"/>
        <v>0</v>
      </c>
      <c r="J608" s="1">
        <f t="shared" si="38"/>
        <v>0</v>
      </c>
      <c r="L608" s="1">
        <f t="shared" si="39"/>
        <v>0</v>
      </c>
    </row>
    <row r="609" spans="6:12" ht="18" customHeight="1" x14ac:dyDescent="0.3">
      <c r="F609" s="1">
        <f t="shared" si="36"/>
        <v>0</v>
      </c>
      <c r="H609" s="1">
        <f t="shared" si="37"/>
        <v>0</v>
      </c>
      <c r="J609" s="1">
        <f t="shared" si="38"/>
        <v>0</v>
      </c>
      <c r="L609" s="1">
        <f t="shared" si="39"/>
        <v>0</v>
      </c>
    </row>
    <row r="610" spans="6:12" ht="18" customHeight="1" x14ac:dyDescent="0.3">
      <c r="F610" s="1">
        <f t="shared" si="36"/>
        <v>0</v>
      </c>
      <c r="H610" s="1">
        <f t="shared" si="37"/>
        <v>0</v>
      </c>
      <c r="J610" s="1">
        <f t="shared" si="38"/>
        <v>0</v>
      </c>
      <c r="L610" s="1">
        <f t="shared" si="39"/>
        <v>0</v>
      </c>
    </row>
    <row r="611" spans="6:12" ht="18" customHeight="1" x14ac:dyDescent="0.3">
      <c r="F611" s="1">
        <f t="shared" si="36"/>
        <v>0</v>
      </c>
      <c r="H611" s="1">
        <f t="shared" si="37"/>
        <v>0</v>
      </c>
      <c r="J611" s="1">
        <f t="shared" si="38"/>
        <v>0</v>
      </c>
      <c r="L611" s="1">
        <f t="shared" si="39"/>
        <v>0</v>
      </c>
    </row>
    <row r="612" spans="6:12" ht="18" customHeight="1" x14ac:dyDescent="0.3">
      <c r="F612" s="1">
        <f t="shared" si="36"/>
        <v>0</v>
      </c>
      <c r="H612" s="1">
        <f t="shared" si="37"/>
        <v>0</v>
      </c>
      <c r="J612" s="1">
        <f t="shared" si="38"/>
        <v>0</v>
      </c>
      <c r="L612" s="1">
        <f t="shared" si="39"/>
        <v>0</v>
      </c>
    </row>
    <row r="613" spans="6:12" ht="18" customHeight="1" x14ac:dyDescent="0.3">
      <c r="F613" s="1">
        <f t="shared" si="36"/>
        <v>0</v>
      </c>
      <c r="H613" s="1">
        <f t="shared" si="37"/>
        <v>0</v>
      </c>
      <c r="J613" s="1">
        <f t="shared" si="38"/>
        <v>0</v>
      </c>
      <c r="L613" s="1">
        <f t="shared" si="39"/>
        <v>0</v>
      </c>
    </row>
    <row r="614" spans="6:12" ht="18" customHeight="1" x14ac:dyDescent="0.3">
      <c r="F614" s="1">
        <f t="shared" si="36"/>
        <v>0</v>
      </c>
      <c r="H614" s="1">
        <f t="shared" si="37"/>
        <v>0</v>
      </c>
      <c r="J614" s="1">
        <f t="shared" si="38"/>
        <v>0</v>
      </c>
      <c r="L614" s="1">
        <f t="shared" si="39"/>
        <v>0</v>
      </c>
    </row>
    <row r="615" spans="6:12" ht="18" customHeight="1" x14ac:dyDescent="0.3">
      <c r="F615" s="1">
        <f t="shared" si="36"/>
        <v>0</v>
      </c>
      <c r="H615" s="1">
        <f t="shared" si="37"/>
        <v>0</v>
      </c>
      <c r="J615" s="1">
        <f t="shared" si="38"/>
        <v>0</v>
      </c>
      <c r="L615" s="1">
        <f t="shared" si="39"/>
        <v>0</v>
      </c>
    </row>
    <row r="616" spans="6:12" ht="18" customHeight="1" x14ac:dyDescent="0.3">
      <c r="F616" s="1">
        <f t="shared" si="36"/>
        <v>0</v>
      </c>
      <c r="H616" s="1">
        <f t="shared" si="37"/>
        <v>0</v>
      </c>
      <c r="J616" s="1">
        <f t="shared" si="38"/>
        <v>0</v>
      </c>
      <c r="L616" s="1">
        <f t="shared" si="39"/>
        <v>0</v>
      </c>
    </row>
    <row r="617" spans="6:12" ht="18" customHeight="1" x14ac:dyDescent="0.3">
      <c r="F617" s="1">
        <f t="shared" si="36"/>
        <v>0</v>
      </c>
      <c r="H617" s="1">
        <f t="shared" si="37"/>
        <v>0</v>
      </c>
      <c r="J617" s="1">
        <f t="shared" si="38"/>
        <v>0</v>
      </c>
      <c r="L617" s="1">
        <f t="shared" si="39"/>
        <v>0</v>
      </c>
    </row>
    <row r="618" spans="6:12" ht="18" customHeight="1" x14ac:dyDescent="0.3">
      <c r="F618" s="1">
        <f t="shared" si="36"/>
        <v>0</v>
      </c>
      <c r="H618" s="1">
        <f t="shared" si="37"/>
        <v>0</v>
      </c>
      <c r="J618" s="1">
        <f t="shared" si="38"/>
        <v>0</v>
      </c>
      <c r="L618" s="1">
        <f t="shared" si="39"/>
        <v>0</v>
      </c>
    </row>
    <row r="619" spans="6:12" ht="18" customHeight="1" x14ac:dyDescent="0.3">
      <c r="F619" s="1">
        <f t="shared" si="36"/>
        <v>0</v>
      </c>
      <c r="H619" s="1">
        <f t="shared" si="37"/>
        <v>0</v>
      </c>
      <c r="J619" s="1">
        <f t="shared" si="38"/>
        <v>0</v>
      </c>
      <c r="L619" s="1">
        <f t="shared" si="39"/>
        <v>0</v>
      </c>
    </row>
    <row r="620" spans="6:12" ht="18" customHeight="1" x14ac:dyDescent="0.3">
      <c r="F620" s="1">
        <f t="shared" si="36"/>
        <v>0</v>
      </c>
      <c r="H620" s="1">
        <f t="shared" si="37"/>
        <v>0</v>
      </c>
      <c r="J620" s="1">
        <f t="shared" si="38"/>
        <v>0</v>
      </c>
      <c r="L620" s="1">
        <f t="shared" si="39"/>
        <v>0</v>
      </c>
    </row>
    <row r="621" spans="6:12" ht="18" customHeight="1" x14ac:dyDescent="0.3">
      <c r="F621" s="1">
        <f t="shared" si="36"/>
        <v>0</v>
      </c>
      <c r="H621" s="1">
        <f t="shared" si="37"/>
        <v>0</v>
      </c>
      <c r="J621" s="1">
        <f t="shared" si="38"/>
        <v>0</v>
      </c>
      <c r="L621" s="1">
        <f t="shared" si="39"/>
        <v>0</v>
      </c>
    </row>
    <row r="622" spans="6:12" ht="18" customHeight="1" x14ac:dyDescent="0.3">
      <c r="F622" s="1">
        <f t="shared" si="36"/>
        <v>0</v>
      </c>
      <c r="H622" s="1">
        <f t="shared" si="37"/>
        <v>0</v>
      </c>
      <c r="J622" s="1">
        <f t="shared" si="38"/>
        <v>0</v>
      </c>
      <c r="L622" s="1">
        <f t="shared" si="39"/>
        <v>0</v>
      </c>
    </row>
    <row r="623" spans="6:12" ht="18" customHeight="1" x14ac:dyDescent="0.3">
      <c r="F623" s="1">
        <f t="shared" si="36"/>
        <v>0</v>
      </c>
      <c r="H623" s="1">
        <f t="shared" si="37"/>
        <v>0</v>
      </c>
      <c r="J623" s="1">
        <f t="shared" si="38"/>
        <v>0</v>
      </c>
      <c r="L623" s="1">
        <f t="shared" si="39"/>
        <v>0</v>
      </c>
    </row>
    <row r="624" spans="6:12" ht="18" customHeight="1" x14ac:dyDescent="0.3">
      <c r="F624" s="1">
        <f t="shared" si="36"/>
        <v>0</v>
      </c>
      <c r="H624" s="1">
        <f t="shared" si="37"/>
        <v>0</v>
      </c>
      <c r="J624" s="1">
        <f t="shared" si="38"/>
        <v>0</v>
      </c>
      <c r="L624" s="1">
        <f t="shared" si="39"/>
        <v>0</v>
      </c>
    </row>
    <row r="625" spans="6:12" ht="18" customHeight="1" x14ac:dyDescent="0.3">
      <c r="F625" s="1">
        <f t="shared" si="36"/>
        <v>0</v>
      </c>
      <c r="H625" s="1">
        <f t="shared" si="37"/>
        <v>0</v>
      </c>
      <c r="J625" s="1">
        <f t="shared" si="38"/>
        <v>0</v>
      </c>
      <c r="L625" s="1">
        <f t="shared" si="39"/>
        <v>0</v>
      </c>
    </row>
    <row r="626" spans="6:12" ht="18" customHeight="1" x14ac:dyDescent="0.3">
      <c r="F626" s="1">
        <f t="shared" si="36"/>
        <v>0</v>
      </c>
      <c r="H626" s="1">
        <f t="shared" si="37"/>
        <v>0</v>
      </c>
      <c r="J626" s="1">
        <f t="shared" si="38"/>
        <v>0</v>
      </c>
      <c r="L626" s="1">
        <f t="shared" si="39"/>
        <v>0</v>
      </c>
    </row>
    <row r="627" spans="6:12" ht="18" customHeight="1" x14ac:dyDescent="0.3">
      <c r="F627" s="1">
        <f t="shared" si="36"/>
        <v>0</v>
      </c>
      <c r="H627" s="1">
        <f t="shared" si="37"/>
        <v>0</v>
      </c>
      <c r="J627" s="1">
        <f t="shared" si="38"/>
        <v>0</v>
      </c>
      <c r="L627" s="1">
        <f t="shared" si="39"/>
        <v>0</v>
      </c>
    </row>
    <row r="628" spans="6:12" ht="18" customHeight="1" x14ac:dyDescent="0.3">
      <c r="F628" s="1">
        <f t="shared" si="36"/>
        <v>0</v>
      </c>
      <c r="H628" s="1">
        <f t="shared" si="37"/>
        <v>0</v>
      </c>
      <c r="J628" s="1">
        <f t="shared" si="38"/>
        <v>0</v>
      </c>
      <c r="L628" s="1">
        <f t="shared" si="39"/>
        <v>0</v>
      </c>
    </row>
    <row r="629" spans="6:12" ht="18" customHeight="1" x14ac:dyDescent="0.3">
      <c r="F629" s="1">
        <f t="shared" si="36"/>
        <v>0</v>
      </c>
      <c r="H629" s="1">
        <f t="shared" si="37"/>
        <v>0</v>
      </c>
      <c r="J629" s="1">
        <f t="shared" si="38"/>
        <v>0</v>
      </c>
      <c r="L629" s="1">
        <f t="shared" si="39"/>
        <v>0</v>
      </c>
    </row>
    <row r="630" spans="6:12" ht="18" customHeight="1" x14ac:dyDescent="0.3">
      <c r="F630" s="1">
        <f t="shared" si="36"/>
        <v>0</v>
      </c>
      <c r="H630" s="1">
        <f t="shared" si="37"/>
        <v>0</v>
      </c>
      <c r="J630" s="1">
        <f t="shared" si="38"/>
        <v>0</v>
      </c>
      <c r="L630" s="1">
        <f t="shared" si="39"/>
        <v>0</v>
      </c>
    </row>
    <row r="631" spans="6:12" ht="18" customHeight="1" x14ac:dyDescent="0.3">
      <c r="F631" s="1">
        <f t="shared" si="36"/>
        <v>0</v>
      </c>
      <c r="H631" s="1">
        <f t="shared" si="37"/>
        <v>0</v>
      </c>
      <c r="J631" s="1">
        <f t="shared" si="38"/>
        <v>0</v>
      </c>
      <c r="L631" s="1">
        <f t="shared" si="39"/>
        <v>0</v>
      </c>
    </row>
    <row r="632" spans="6:12" ht="18" customHeight="1" x14ac:dyDescent="0.3">
      <c r="F632" s="1">
        <f t="shared" si="36"/>
        <v>0</v>
      </c>
      <c r="H632" s="1">
        <f t="shared" si="37"/>
        <v>0</v>
      </c>
      <c r="J632" s="1">
        <f t="shared" si="38"/>
        <v>0</v>
      </c>
      <c r="L632" s="1">
        <f t="shared" si="39"/>
        <v>0</v>
      </c>
    </row>
    <row r="633" spans="6:12" ht="18" customHeight="1" x14ac:dyDescent="0.3">
      <c r="F633" s="1">
        <f t="shared" si="36"/>
        <v>0</v>
      </c>
      <c r="H633" s="1">
        <f t="shared" si="37"/>
        <v>0</v>
      </c>
      <c r="J633" s="1">
        <f t="shared" si="38"/>
        <v>0</v>
      </c>
      <c r="L633" s="1">
        <f t="shared" si="39"/>
        <v>0</v>
      </c>
    </row>
    <row r="634" spans="6:12" ht="18" customHeight="1" x14ac:dyDescent="0.3">
      <c r="F634" s="1">
        <f t="shared" si="36"/>
        <v>0</v>
      </c>
      <c r="H634" s="1">
        <f t="shared" si="37"/>
        <v>0</v>
      </c>
      <c r="J634" s="1">
        <f t="shared" si="38"/>
        <v>0</v>
      </c>
      <c r="L634" s="1">
        <f t="shared" si="39"/>
        <v>0</v>
      </c>
    </row>
    <row r="635" spans="6:12" ht="18" customHeight="1" x14ac:dyDescent="0.3">
      <c r="F635" s="1">
        <f t="shared" si="36"/>
        <v>0</v>
      </c>
      <c r="H635" s="1">
        <f t="shared" si="37"/>
        <v>0</v>
      </c>
      <c r="J635" s="1">
        <f t="shared" si="38"/>
        <v>0</v>
      </c>
      <c r="L635" s="1">
        <f t="shared" si="39"/>
        <v>0</v>
      </c>
    </row>
    <row r="636" spans="6:12" ht="18" customHeight="1" x14ac:dyDescent="0.3">
      <c r="F636" s="1">
        <f t="shared" si="36"/>
        <v>0</v>
      </c>
      <c r="H636" s="1">
        <f t="shared" si="37"/>
        <v>0</v>
      </c>
      <c r="J636" s="1">
        <f t="shared" si="38"/>
        <v>0</v>
      </c>
      <c r="L636" s="1">
        <f t="shared" si="39"/>
        <v>0</v>
      </c>
    </row>
    <row r="637" spans="6:12" ht="18" customHeight="1" x14ac:dyDescent="0.3">
      <c r="F637" s="1">
        <f t="shared" si="36"/>
        <v>0</v>
      </c>
      <c r="H637" s="1">
        <f t="shared" si="37"/>
        <v>0</v>
      </c>
      <c r="J637" s="1">
        <f t="shared" si="38"/>
        <v>0</v>
      </c>
      <c r="L637" s="1">
        <f t="shared" si="39"/>
        <v>0</v>
      </c>
    </row>
    <row r="638" spans="6:12" ht="18" customHeight="1" x14ac:dyDescent="0.3">
      <c r="F638" s="1">
        <f t="shared" si="36"/>
        <v>0</v>
      </c>
      <c r="H638" s="1">
        <f t="shared" si="37"/>
        <v>0</v>
      </c>
      <c r="J638" s="1">
        <f t="shared" si="38"/>
        <v>0</v>
      </c>
      <c r="L638" s="1">
        <f t="shared" si="39"/>
        <v>0</v>
      </c>
    </row>
    <row r="639" spans="6:12" ht="18" customHeight="1" x14ac:dyDescent="0.3">
      <c r="F639" s="1">
        <f t="shared" si="36"/>
        <v>0</v>
      </c>
      <c r="H639" s="1">
        <f t="shared" si="37"/>
        <v>0</v>
      </c>
      <c r="J639" s="1">
        <f t="shared" si="38"/>
        <v>0</v>
      </c>
      <c r="L639" s="1">
        <f t="shared" si="39"/>
        <v>0</v>
      </c>
    </row>
    <row r="640" spans="6:12" ht="18" customHeight="1" x14ac:dyDescent="0.3">
      <c r="F640" s="1">
        <f t="shared" si="36"/>
        <v>0</v>
      </c>
      <c r="H640" s="1">
        <f t="shared" si="37"/>
        <v>0</v>
      </c>
      <c r="J640" s="1">
        <f t="shared" si="38"/>
        <v>0</v>
      </c>
      <c r="L640" s="1">
        <f t="shared" si="39"/>
        <v>0</v>
      </c>
    </row>
    <row r="641" spans="6:12" ht="18" customHeight="1" x14ac:dyDescent="0.3">
      <c r="F641" s="1">
        <f t="shared" si="36"/>
        <v>0</v>
      </c>
      <c r="H641" s="1">
        <f t="shared" si="37"/>
        <v>0</v>
      </c>
      <c r="J641" s="1">
        <f t="shared" si="38"/>
        <v>0</v>
      </c>
      <c r="L641" s="1">
        <f t="shared" si="39"/>
        <v>0</v>
      </c>
    </row>
    <row r="642" spans="6:12" ht="18" customHeight="1" x14ac:dyDescent="0.3">
      <c r="F642" s="1">
        <f t="shared" si="36"/>
        <v>0</v>
      </c>
      <c r="H642" s="1">
        <f t="shared" si="37"/>
        <v>0</v>
      </c>
      <c r="J642" s="1">
        <f t="shared" si="38"/>
        <v>0</v>
      </c>
      <c r="L642" s="1">
        <f t="shared" si="39"/>
        <v>0</v>
      </c>
    </row>
    <row r="643" spans="6:12" ht="18" customHeight="1" x14ac:dyDescent="0.3">
      <c r="F643" s="1">
        <f t="shared" si="36"/>
        <v>0</v>
      </c>
      <c r="H643" s="1">
        <f t="shared" si="37"/>
        <v>0</v>
      </c>
      <c r="J643" s="1">
        <f t="shared" si="38"/>
        <v>0</v>
      </c>
      <c r="L643" s="1">
        <f t="shared" si="39"/>
        <v>0</v>
      </c>
    </row>
    <row r="644" spans="6:12" ht="18" customHeight="1" x14ac:dyDescent="0.3">
      <c r="F644" s="1">
        <f t="shared" si="36"/>
        <v>0</v>
      </c>
      <c r="H644" s="1">
        <f t="shared" si="37"/>
        <v>0</v>
      </c>
      <c r="J644" s="1">
        <f t="shared" si="38"/>
        <v>0</v>
      </c>
      <c r="L644" s="1">
        <f t="shared" si="39"/>
        <v>0</v>
      </c>
    </row>
    <row r="645" spans="6:12" ht="18" customHeight="1" x14ac:dyDescent="0.3">
      <c r="F645" s="1">
        <f t="shared" ref="F645:F708" si="40">SUM(H645,J645,L645)</f>
        <v>0</v>
      </c>
      <c r="H645" s="1">
        <f t="shared" ref="H645:H708" si="41">ROUNDUP(D645*G645,0)</f>
        <v>0</v>
      </c>
      <c r="J645" s="1">
        <f t="shared" ref="J645:J708" si="42">ROUNDUP(D645*I645,0)</f>
        <v>0</v>
      </c>
      <c r="L645" s="1">
        <f t="shared" ref="L645:L708" si="43">ROUNDUP(D645*K645,0)</f>
        <v>0</v>
      </c>
    </row>
    <row r="646" spans="6:12" ht="18" customHeight="1" x14ac:dyDescent="0.3">
      <c r="F646" s="1">
        <f t="shared" si="40"/>
        <v>0</v>
      </c>
      <c r="H646" s="1">
        <f t="shared" si="41"/>
        <v>0</v>
      </c>
      <c r="J646" s="1">
        <f t="shared" si="42"/>
        <v>0</v>
      </c>
      <c r="L646" s="1">
        <f t="shared" si="43"/>
        <v>0</v>
      </c>
    </row>
    <row r="647" spans="6:12" ht="18" customHeight="1" x14ac:dyDescent="0.3">
      <c r="F647" s="1">
        <f t="shared" si="40"/>
        <v>0</v>
      </c>
      <c r="H647" s="1">
        <f t="shared" si="41"/>
        <v>0</v>
      </c>
      <c r="J647" s="1">
        <f t="shared" si="42"/>
        <v>0</v>
      </c>
      <c r="L647" s="1">
        <f t="shared" si="43"/>
        <v>0</v>
      </c>
    </row>
    <row r="648" spans="6:12" ht="18" customHeight="1" x14ac:dyDescent="0.3">
      <c r="F648" s="1">
        <f t="shared" si="40"/>
        <v>0</v>
      </c>
      <c r="H648" s="1">
        <f t="shared" si="41"/>
        <v>0</v>
      </c>
      <c r="J648" s="1">
        <f t="shared" si="42"/>
        <v>0</v>
      </c>
      <c r="L648" s="1">
        <f t="shared" si="43"/>
        <v>0</v>
      </c>
    </row>
    <row r="649" spans="6:12" ht="18" customHeight="1" x14ac:dyDescent="0.3">
      <c r="F649" s="1">
        <f t="shared" si="40"/>
        <v>0</v>
      </c>
      <c r="H649" s="1">
        <f t="shared" si="41"/>
        <v>0</v>
      </c>
      <c r="J649" s="1">
        <f t="shared" si="42"/>
        <v>0</v>
      </c>
      <c r="L649" s="1">
        <f t="shared" si="43"/>
        <v>0</v>
      </c>
    </row>
    <row r="650" spans="6:12" ht="18" customHeight="1" x14ac:dyDescent="0.3">
      <c r="F650" s="1">
        <f t="shared" si="40"/>
        <v>0</v>
      </c>
      <c r="H650" s="1">
        <f t="shared" si="41"/>
        <v>0</v>
      </c>
      <c r="J650" s="1">
        <f t="shared" si="42"/>
        <v>0</v>
      </c>
      <c r="L650" s="1">
        <f t="shared" si="43"/>
        <v>0</v>
      </c>
    </row>
    <row r="651" spans="6:12" ht="18" customHeight="1" x14ac:dyDescent="0.3">
      <c r="F651" s="1">
        <f t="shared" si="40"/>
        <v>0</v>
      </c>
      <c r="H651" s="1">
        <f t="shared" si="41"/>
        <v>0</v>
      </c>
      <c r="J651" s="1">
        <f t="shared" si="42"/>
        <v>0</v>
      </c>
      <c r="L651" s="1">
        <f t="shared" si="43"/>
        <v>0</v>
      </c>
    </row>
    <row r="652" spans="6:12" ht="18" customHeight="1" x14ac:dyDescent="0.3">
      <c r="F652" s="1">
        <f t="shared" si="40"/>
        <v>0</v>
      </c>
      <c r="H652" s="1">
        <f t="shared" si="41"/>
        <v>0</v>
      </c>
      <c r="J652" s="1">
        <f t="shared" si="42"/>
        <v>0</v>
      </c>
      <c r="L652" s="1">
        <f t="shared" si="43"/>
        <v>0</v>
      </c>
    </row>
    <row r="653" spans="6:12" ht="18" customHeight="1" x14ac:dyDescent="0.3">
      <c r="F653" s="1">
        <f t="shared" si="40"/>
        <v>0</v>
      </c>
      <c r="H653" s="1">
        <f t="shared" si="41"/>
        <v>0</v>
      </c>
      <c r="J653" s="1">
        <f t="shared" si="42"/>
        <v>0</v>
      </c>
      <c r="L653" s="1">
        <f t="shared" si="43"/>
        <v>0</v>
      </c>
    </row>
    <row r="654" spans="6:12" ht="18" customHeight="1" x14ac:dyDescent="0.3">
      <c r="F654" s="1">
        <f t="shared" si="40"/>
        <v>0</v>
      </c>
      <c r="H654" s="1">
        <f t="shared" si="41"/>
        <v>0</v>
      </c>
      <c r="J654" s="1">
        <f t="shared" si="42"/>
        <v>0</v>
      </c>
      <c r="L654" s="1">
        <f t="shared" si="43"/>
        <v>0</v>
      </c>
    </row>
    <row r="655" spans="6:12" ht="18" customHeight="1" x14ac:dyDescent="0.3">
      <c r="F655" s="1">
        <f t="shared" si="40"/>
        <v>0</v>
      </c>
      <c r="H655" s="1">
        <f t="shared" si="41"/>
        <v>0</v>
      </c>
      <c r="J655" s="1">
        <f t="shared" si="42"/>
        <v>0</v>
      </c>
      <c r="L655" s="1">
        <f t="shared" si="43"/>
        <v>0</v>
      </c>
    </row>
    <row r="656" spans="6:12" ht="18" customHeight="1" x14ac:dyDescent="0.3">
      <c r="F656" s="1">
        <f t="shared" si="40"/>
        <v>0</v>
      </c>
      <c r="H656" s="1">
        <f t="shared" si="41"/>
        <v>0</v>
      </c>
      <c r="J656" s="1">
        <f t="shared" si="42"/>
        <v>0</v>
      </c>
      <c r="L656" s="1">
        <f t="shared" si="43"/>
        <v>0</v>
      </c>
    </row>
    <row r="657" spans="6:12" ht="18" customHeight="1" x14ac:dyDescent="0.3">
      <c r="F657" s="1">
        <f t="shared" si="40"/>
        <v>0</v>
      </c>
      <c r="H657" s="1">
        <f t="shared" si="41"/>
        <v>0</v>
      </c>
      <c r="J657" s="1">
        <f t="shared" si="42"/>
        <v>0</v>
      </c>
      <c r="L657" s="1">
        <f t="shared" si="43"/>
        <v>0</v>
      </c>
    </row>
    <row r="658" spans="6:12" ht="18" customHeight="1" x14ac:dyDescent="0.3">
      <c r="F658" s="1">
        <f t="shared" si="40"/>
        <v>0</v>
      </c>
      <c r="H658" s="1">
        <f t="shared" si="41"/>
        <v>0</v>
      </c>
      <c r="J658" s="1">
        <f t="shared" si="42"/>
        <v>0</v>
      </c>
      <c r="L658" s="1">
        <f t="shared" si="43"/>
        <v>0</v>
      </c>
    </row>
    <row r="659" spans="6:12" ht="18" customHeight="1" x14ac:dyDescent="0.3">
      <c r="F659" s="1">
        <f t="shared" si="40"/>
        <v>0</v>
      </c>
      <c r="H659" s="1">
        <f t="shared" si="41"/>
        <v>0</v>
      </c>
      <c r="J659" s="1">
        <f t="shared" si="42"/>
        <v>0</v>
      </c>
      <c r="L659" s="1">
        <f t="shared" si="43"/>
        <v>0</v>
      </c>
    </row>
    <row r="660" spans="6:12" ht="18" customHeight="1" x14ac:dyDescent="0.3">
      <c r="F660" s="1">
        <f t="shared" si="40"/>
        <v>0</v>
      </c>
      <c r="H660" s="1">
        <f t="shared" si="41"/>
        <v>0</v>
      </c>
      <c r="J660" s="1">
        <f t="shared" si="42"/>
        <v>0</v>
      </c>
      <c r="L660" s="1">
        <f t="shared" si="43"/>
        <v>0</v>
      </c>
    </row>
    <row r="661" spans="6:12" ht="18" customHeight="1" x14ac:dyDescent="0.3">
      <c r="F661" s="1">
        <f t="shared" si="40"/>
        <v>0</v>
      </c>
      <c r="H661" s="1">
        <f t="shared" si="41"/>
        <v>0</v>
      </c>
      <c r="J661" s="1">
        <f t="shared" si="42"/>
        <v>0</v>
      </c>
      <c r="L661" s="1">
        <f t="shared" si="43"/>
        <v>0</v>
      </c>
    </row>
    <row r="662" spans="6:12" ht="18" customHeight="1" x14ac:dyDescent="0.3">
      <c r="F662" s="1">
        <f t="shared" si="40"/>
        <v>0</v>
      </c>
      <c r="H662" s="1">
        <f t="shared" si="41"/>
        <v>0</v>
      </c>
      <c r="J662" s="1">
        <f t="shared" si="42"/>
        <v>0</v>
      </c>
      <c r="L662" s="1">
        <f t="shared" si="43"/>
        <v>0</v>
      </c>
    </row>
    <row r="663" spans="6:12" ht="18" customHeight="1" x14ac:dyDescent="0.3">
      <c r="F663" s="1">
        <f t="shared" si="40"/>
        <v>0</v>
      </c>
      <c r="H663" s="1">
        <f t="shared" si="41"/>
        <v>0</v>
      </c>
      <c r="J663" s="1">
        <f t="shared" si="42"/>
        <v>0</v>
      </c>
      <c r="L663" s="1">
        <f t="shared" si="43"/>
        <v>0</v>
      </c>
    </row>
    <row r="664" spans="6:12" ht="18" customHeight="1" x14ac:dyDescent="0.3">
      <c r="F664" s="1">
        <f t="shared" si="40"/>
        <v>0</v>
      </c>
      <c r="H664" s="1">
        <f t="shared" si="41"/>
        <v>0</v>
      </c>
      <c r="J664" s="1">
        <f t="shared" si="42"/>
        <v>0</v>
      </c>
      <c r="L664" s="1">
        <f t="shared" si="43"/>
        <v>0</v>
      </c>
    </row>
    <row r="665" spans="6:12" ht="18" customHeight="1" x14ac:dyDescent="0.3">
      <c r="F665" s="1">
        <f t="shared" si="40"/>
        <v>0</v>
      </c>
      <c r="H665" s="1">
        <f t="shared" si="41"/>
        <v>0</v>
      </c>
      <c r="J665" s="1">
        <f t="shared" si="42"/>
        <v>0</v>
      </c>
      <c r="L665" s="1">
        <f t="shared" si="43"/>
        <v>0</v>
      </c>
    </row>
    <row r="666" spans="6:12" ht="18" customHeight="1" x14ac:dyDescent="0.3">
      <c r="F666" s="1">
        <f t="shared" si="40"/>
        <v>0</v>
      </c>
      <c r="H666" s="1">
        <f t="shared" si="41"/>
        <v>0</v>
      </c>
      <c r="J666" s="1">
        <f t="shared" si="42"/>
        <v>0</v>
      </c>
      <c r="L666" s="1">
        <f t="shared" si="43"/>
        <v>0</v>
      </c>
    </row>
    <row r="667" spans="6:12" ht="18" customHeight="1" x14ac:dyDescent="0.3">
      <c r="F667" s="1">
        <f t="shared" si="40"/>
        <v>0</v>
      </c>
      <c r="H667" s="1">
        <f t="shared" si="41"/>
        <v>0</v>
      </c>
      <c r="J667" s="1">
        <f t="shared" si="42"/>
        <v>0</v>
      </c>
      <c r="L667" s="1">
        <f t="shared" si="43"/>
        <v>0</v>
      </c>
    </row>
    <row r="668" spans="6:12" ht="18" customHeight="1" x14ac:dyDescent="0.3">
      <c r="F668" s="1">
        <f t="shared" si="40"/>
        <v>0</v>
      </c>
      <c r="H668" s="1">
        <f t="shared" si="41"/>
        <v>0</v>
      </c>
      <c r="J668" s="1">
        <f t="shared" si="42"/>
        <v>0</v>
      </c>
      <c r="L668" s="1">
        <f t="shared" si="43"/>
        <v>0</v>
      </c>
    </row>
    <row r="669" spans="6:12" ht="18" customHeight="1" x14ac:dyDescent="0.3">
      <c r="F669" s="1">
        <f t="shared" si="40"/>
        <v>0</v>
      </c>
      <c r="H669" s="1">
        <f t="shared" si="41"/>
        <v>0</v>
      </c>
      <c r="J669" s="1">
        <f t="shared" si="42"/>
        <v>0</v>
      </c>
      <c r="L669" s="1">
        <f t="shared" si="43"/>
        <v>0</v>
      </c>
    </row>
    <row r="670" spans="6:12" ht="18" customHeight="1" x14ac:dyDescent="0.3">
      <c r="F670" s="1">
        <f t="shared" si="40"/>
        <v>0</v>
      </c>
      <c r="H670" s="1">
        <f t="shared" si="41"/>
        <v>0</v>
      </c>
      <c r="J670" s="1">
        <f t="shared" si="42"/>
        <v>0</v>
      </c>
      <c r="L670" s="1">
        <f t="shared" si="43"/>
        <v>0</v>
      </c>
    </row>
    <row r="671" spans="6:12" ht="18" customHeight="1" x14ac:dyDescent="0.3">
      <c r="F671" s="1">
        <f t="shared" si="40"/>
        <v>0</v>
      </c>
      <c r="H671" s="1">
        <f t="shared" si="41"/>
        <v>0</v>
      </c>
      <c r="J671" s="1">
        <f t="shared" si="42"/>
        <v>0</v>
      </c>
      <c r="L671" s="1">
        <f t="shared" si="43"/>
        <v>0</v>
      </c>
    </row>
    <row r="672" spans="6:12" ht="18" customHeight="1" x14ac:dyDescent="0.3">
      <c r="F672" s="1">
        <f t="shared" si="40"/>
        <v>0</v>
      </c>
      <c r="H672" s="1">
        <f t="shared" si="41"/>
        <v>0</v>
      </c>
      <c r="J672" s="1">
        <f t="shared" si="42"/>
        <v>0</v>
      </c>
      <c r="L672" s="1">
        <f t="shared" si="43"/>
        <v>0</v>
      </c>
    </row>
    <row r="673" spans="6:12" ht="18" customHeight="1" x14ac:dyDescent="0.3">
      <c r="F673" s="1">
        <f t="shared" si="40"/>
        <v>0</v>
      </c>
      <c r="H673" s="1">
        <f t="shared" si="41"/>
        <v>0</v>
      </c>
      <c r="J673" s="1">
        <f t="shared" si="42"/>
        <v>0</v>
      </c>
      <c r="L673" s="1">
        <f t="shared" si="43"/>
        <v>0</v>
      </c>
    </row>
    <row r="674" spans="6:12" ht="18" customHeight="1" x14ac:dyDescent="0.3">
      <c r="F674" s="1">
        <f t="shared" si="40"/>
        <v>0</v>
      </c>
      <c r="H674" s="1">
        <f t="shared" si="41"/>
        <v>0</v>
      </c>
      <c r="J674" s="1">
        <f t="shared" si="42"/>
        <v>0</v>
      </c>
      <c r="L674" s="1">
        <f t="shared" si="43"/>
        <v>0</v>
      </c>
    </row>
    <row r="675" spans="6:12" ht="18" customHeight="1" x14ac:dyDescent="0.3">
      <c r="F675" s="1">
        <f t="shared" si="40"/>
        <v>0</v>
      </c>
      <c r="H675" s="1">
        <f t="shared" si="41"/>
        <v>0</v>
      </c>
      <c r="J675" s="1">
        <f t="shared" si="42"/>
        <v>0</v>
      </c>
      <c r="L675" s="1">
        <f t="shared" si="43"/>
        <v>0</v>
      </c>
    </row>
    <row r="676" spans="6:12" ht="18" customHeight="1" x14ac:dyDescent="0.3">
      <c r="F676" s="1">
        <f t="shared" si="40"/>
        <v>0</v>
      </c>
      <c r="H676" s="1">
        <f t="shared" si="41"/>
        <v>0</v>
      </c>
      <c r="J676" s="1">
        <f t="shared" si="42"/>
        <v>0</v>
      </c>
      <c r="L676" s="1">
        <f t="shared" si="43"/>
        <v>0</v>
      </c>
    </row>
    <row r="677" spans="6:12" ht="18" customHeight="1" x14ac:dyDescent="0.3">
      <c r="F677" s="1">
        <f t="shared" si="40"/>
        <v>0</v>
      </c>
      <c r="H677" s="1">
        <f t="shared" si="41"/>
        <v>0</v>
      </c>
      <c r="J677" s="1">
        <f t="shared" si="42"/>
        <v>0</v>
      </c>
      <c r="L677" s="1">
        <f t="shared" si="43"/>
        <v>0</v>
      </c>
    </row>
    <row r="678" spans="6:12" ht="18" customHeight="1" x14ac:dyDescent="0.3">
      <c r="F678" s="1">
        <f t="shared" si="40"/>
        <v>0</v>
      </c>
      <c r="H678" s="1">
        <f t="shared" si="41"/>
        <v>0</v>
      </c>
      <c r="J678" s="1">
        <f t="shared" si="42"/>
        <v>0</v>
      </c>
      <c r="L678" s="1">
        <f t="shared" si="43"/>
        <v>0</v>
      </c>
    </row>
    <row r="679" spans="6:12" ht="18" customHeight="1" x14ac:dyDescent="0.3">
      <c r="F679" s="1">
        <f t="shared" si="40"/>
        <v>0</v>
      </c>
      <c r="H679" s="1">
        <f t="shared" si="41"/>
        <v>0</v>
      </c>
      <c r="J679" s="1">
        <f t="shared" si="42"/>
        <v>0</v>
      </c>
      <c r="L679" s="1">
        <f t="shared" si="43"/>
        <v>0</v>
      </c>
    </row>
    <row r="680" spans="6:12" ht="18" customHeight="1" x14ac:dyDescent="0.3">
      <c r="F680" s="1">
        <f t="shared" si="40"/>
        <v>0</v>
      </c>
      <c r="H680" s="1">
        <f t="shared" si="41"/>
        <v>0</v>
      </c>
      <c r="J680" s="1">
        <f t="shared" si="42"/>
        <v>0</v>
      </c>
      <c r="L680" s="1">
        <f t="shared" si="43"/>
        <v>0</v>
      </c>
    </row>
    <row r="681" spans="6:12" ht="18" customHeight="1" x14ac:dyDescent="0.3">
      <c r="F681" s="1">
        <f t="shared" si="40"/>
        <v>0</v>
      </c>
      <c r="H681" s="1">
        <f t="shared" si="41"/>
        <v>0</v>
      </c>
      <c r="J681" s="1">
        <f t="shared" si="42"/>
        <v>0</v>
      </c>
      <c r="L681" s="1">
        <f t="shared" si="43"/>
        <v>0</v>
      </c>
    </row>
    <row r="682" spans="6:12" ht="18" customHeight="1" x14ac:dyDescent="0.3">
      <c r="F682" s="1">
        <f t="shared" si="40"/>
        <v>0</v>
      </c>
      <c r="H682" s="1">
        <f t="shared" si="41"/>
        <v>0</v>
      </c>
      <c r="J682" s="1">
        <f t="shared" si="42"/>
        <v>0</v>
      </c>
      <c r="L682" s="1">
        <f t="shared" si="43"/>
        <v>0</v>
      </c>
    </row>
    <row r="683" spans="6:12" ht="18" customHeight="1" x14ac:dyDescent="0.3">
      <c r="F683" s="1">
        <f t="shared" si="40"/>
        <v>0</v>
      </c>
      <c r="H683" s="1">
        <f t="shared" si="41"/>
        <v>0</v>
      </c>
      <c r="J683" s="1">
        <f t="shared" si="42"/>
        <v>0</v>
      </c>
      <c r="L683" s="1">
        <f t="shared" si="43"/>
        <v>0</v>
      </c>
    </row>
    <row r="684" spans="6:12" ht="18" customHeight="1" x14ac:dyDescent="0.3">
      <c r="F684" s="1">
        <f t="shared" si="40"/>
        <v>0</v>
      </c>
      <c r="H684" s="1">
        <f t="shared" si="41"/>
        <v>0</v>
      </c>
      <c r="J684" s="1">
        <f t="shared" si="42"/>
        <v>0</v>
      </c>
      <c r="L684" s="1">
        <f t="shared" si="43"/>
        <v>0</v>
      </c>
    </row>
    <row r="685" spans="6:12" ht="18" customHeight="1" x14ac:dyDescent="0.3">
      <c r="F685" s="1">
        <f t="shared" si="40"/>
        <v>0</v>
      </c>
      <c r="H685" s="1">
        <f t="shared" si="41"/>
        <v>0</v>
      </c>
      <c r="J685" s="1">
        <f t="shared" si="42"/>
        <v>0</v>
      </c>
      <c r="L685" s="1">
        <f t="shared" si="43"/>
        <v>0</v>
      </c>
    </row>
    <row r="686" spans="6:12" ht="18" customHeight="1" x14ac:dyDescent="0.3">
      <c r="F686" s="1">
        <f t="shared" si="40"/>
        <v>0</v>
      </c>
      <c r="H686" s="1">
        <f t="shared" si="41"/>
        <v>0</v>
      </c>
      <c r="J686" s="1">
        <f t="shared" si="42"/>
        <v>0</v>
      </c>
      <c r="L686" s="1">
        <f t="shared" si="43"/>
        <v>0</v>
      </c>
    </row>
    <row r="687" spans="6:12" ht="18" customHeight="1" x14ac:dyDescent="0.3">
      <c r="F687" s="1">
        <f t="shared" si="40"/>
        <v>0</v>
      </c>
      <c r="H687" s="1">
        <f t="shared" si="41"/>
        <v>0</v>
      </c>
      <c r="J687" s="1">
        <f t="shared" si="42"/>
        <v>0</v>
      </c>
      <c r="L687" s="1">
        <f t="shared" si="43"/>
        <v>0</v>
      </c>
    </row>
    <row r="688" spans="6:12" ht="18" customHeight="1" x14ac:dyDescent="0.3">
      <c r="F688" s="1">
        <f t="shared" si="40"/>
        <v>0</v>
      </c>
      <c r="H688" s="1">
        <f t="shared" si="41"/>
        <v>0</v>
      </c>
      <c r="J688" s="1">
        <f t="shared" si="42"/>
        <v>0</v>
      </c>
      <c r="L688" s="1">
        <f t="shared" si="43"/>
        <v>0</v>
      </c>
    </row>
    <row r="689" spans="6:12" ht="18" customHeight="1" x14ac:dyDescent="0.3">
      <c r="F689" s="1">
        <f t="shared" si="40"/>
        <v>0</v>
      </c>
      <c r="H689" s="1">
        <f t="shared" si="41"/>
        <v>0</v>
      </c>
      <c r="J689" s="1">
        <f t="shared" si="42"/>
        <v>0</v>
      </c>
      <c r="L689" s="1">
        <f t="shared" si="43"/>
        <v>0</v>
      </c>
    </row>
    <row r="690" spans="6:12" ht="18" customHeight="1" x14ac:dyDescent="0.3">
      <c r="F690" s="1">
        <f t="shared" si="40"/>
        <v>0</v>
      </c>
      <c r="H690" s="1">
        <f t="shared" si="41"/>
        <v>0</v>
      </c>
      <c r="J690" s="1">
        <f t="shared" si="42"/>
        <v>0</v>
      </c>
      <c r="L690" s="1">
        <f t="shared" si="43"/>
        <v>0</v>
      </c>
    </row>
    <row r="691" spans="6:12" ht="18" customHeight="1" x14ac:dyDescent="0.3">
      <c r="F691" s="1">
        <f t="shared" si="40"/>
        <v>0</v>
      </c>
      <c r="H691" s="1">
        <f t="shared" si="41"/>
        <v>0</v>
      </c>
      <c r="J691" s="1">
        <f t="shared" si="42"/>
        <v>0</v>
      </c>
      <c r="L691" s="1">
        <f t="shared" si="43"/>
        <v>0</v>
      </c>
    </row>
    <row r="692" spans="6:12" ht="18" customHeight="1" x14ac:dyDescent="0.3">
      <c r="F692" s="1">
        <f t="shared" si="40"/>
        <v>0</v>
      </c>
      <c r="H692" s="1">
        <f t="shared" si="41"/>
        <v>0</v>
      </c>
      <c r="J692" s="1">
        <f t="shared" si="42"/>
        <v>0</v>
      </c>
      <c r="L692" s="1">
        <f t="shared" si="43"/>
        <v>0</v>
      </c>
    </row>
    <row r="693" spans="6:12" ht="18" customHeight="1" x14ac:dyDescent="0.3">
      <c r="F693" s="1">
        <f t="shared" si="40"/>
        <v>0</v>
      </c>
      <c r="H693" s="1">
        <f t="shared" si="41"/>
        <v>0</v>
      </c>
      <c r="J693" s="1">
        <f t="shared" si="42"/>
        <v>0</v>
      </c>
      <c r="L693" s="1">
        <f t="shared" si="43"/>
        <v>0</v>
      </c>
    </row>
    <row r="694" spans="6:12" ht="18" customHeight="1" x14ac:dyDescent="0.3">
      <c r="F694" s="1">
        <f t="shared" si="40"/>
        <v>0</v>
      </c>
      <c r="H694" s="1">
        <f t="shared" si="41"/>
        <v>0</v>
      </c>
      <c r="J694" s="1">
        <f t="shared" si="42"/>
        <v>0</v>
      </c>
      <c r="L694" s="1">
        <f t="shared" si="43"/>
        <v>0</v>
      </c>
    </row>
    <row r="695" spans="6:12" ht="18" customHeight="1" x14ac:dyDescent="0.3">
      <c r="F695" s="1">
        <f t="shared" si="40"/>
        <v>0</v>
      </c>
      <c r="H695" s="1">
        <f t="shared" si="41"/>
        <v>0</v>
      </c>
      <c r="J695" s="1">
        <f t="shared" si="42"/>
        <v>0</v>
      </c>
      <c r="L695" s="1">
        <f t="shared" si="43"/>
        <v>0</v>
      </c>
    </row>
    <row r="696" spans="6:12" ht="18" customHeight="1" x14ac:dyDescent="0.3">
      <c r="F696" s="1">
        <f t="shared" si="40"/>
        <v>0</v>
      </c>
      <c r="H696" s="1">
        <f t="shared" si="41"/>
        <v>0</v>
      </c>
      <c r="J696" s="1">
        <f t="shared" si="42"/>
        <v>0</v>
      </c>
      <c r="L696" s="1">
        <f t="shared" si="43"/>
        <v>0</v>
      </c>
    </row>
    <row r="697" spans="6:12" ht="18" customHeight="1" x14ac:dyDescent="0.3">
      <c r="F697" s="1">
        <f t="shared" si="40"/>
        <v>0</v>
      </c>
      <c r="H697" s="1">
        <f t="shared" si="41"/>
        <v>0</v>
      </c>
      <c r="J697" s="1">
        <f t="shared" si="42"/>
        <v>0</v>
      </c>
      <c r="L697" s="1">
        <f t="shared" si="43"/>
        <v>0</v>
      </c>
    </row>
    <row r="698" spans="6:12" ht="18" customHeight="1" x14ac:dyDescent="0.3">
      <c r="F698" s="1">
        <f t="shared" si="40"/>
        <v>0</v>
      </c>
      <c r="H698" s="1">
        <f t="shared" si="41"/>
        <v>0</v>
      </c>
      <c r="J698" s="1">
        <f t="shared" si="42"/>
        <v>0</v>
      </c>
      <c r="L698" s="1">
        <f t="shared" si="43"/>
        <v>0</v>
      </c>
    </row>
    <row r="699" spans="6:12" ht="18" customHeight="1" x14ac:dyDescent="0.3">
      <c r="F699" s="1">
        <f t="shared" si="40"/>
        <v>0</v>
      </c>
      <c r="H699" s="1">
        <f t="shared" si="41"/>
        <v>0</v>
      </c>
      <c r="J699" s="1">
        <f t="shared" si="42"/>
        <v>0</v>
      </c>
      <c r="L699" s="1">
        <f t="shared" si="43"/>
        <v>0</v>
      </c>
    </row>
    <row r="700" spans="6:12" ht="18" customHeight="1" x14ac:dyDescent="0.3">
      <c r="F700" s="1">
        <f t="shared" si="40"/>
        <v>0</v>
      </c>
      <c r="H700" s="1">
        <f t="shared" si="41"/>
        <v>0</v>
      </c>
      <c r="J700" s="1">
        <f t="shared" si="42"/>
        <v>0</v>
      </c>
      <c r="L700" s="1">
        <f t="shared" si="43"/>
        <v>0</v>
      </c>
    </row>
    <row r="701" spans="6:12" ht="18" customHeight="1" x14ac:dyDescent="0.3">
      <c r="F701" s="1">
        <f t="shared" si="40"/>
        <v>0</v>
      </c>
      <c r="H701" s="1">
        <f t="shared" si="41"/>
        <v>0</v>
      </c>
      <c r="J701" s="1">
        <f t="shared" si="42"/>
        <v>0</v>
      </c>
      <c r="L701" s="1">
        <f t="shared" si="43"/>
        <v>0</v>
      </c>
    </row>
    <row r="702" spans="6:12" ht="18" customHeight="1" x14ac:dyDescent="0.3">
      <c r="F702" s="1">
        <f t="shared" si="40"/>
        <v>0</v>
      </c>
      <c r="H702" s="1">
        <f t="shared" si="41"/>
        <v>0</v>
      </c>
      <c r="J702" s="1">
        <f t="shared" si="42"/>
        <v>0</v>
      </c>
      <c r="L702" s="1">
        <f t="shared" si="43"/>
        <v>0</v>
      </c>
    </row>
    <row r="703" spans="6:12" ht="18" customHeight="1" x14ac:dyDescent="0.3">
      <c r="F703" s="1">
        <f t="shared" si="40"/>
        <v>0</v>
      </c>
      <c r="H703" s="1">
        <f t="shared" si="41"/>
        <v>0</v>
      </c>
      <c r="J703" s="1">
        <f t="shared" si="42"/>
        <v>0</v>
      </c>
      <c r="L703" s="1">
        <f t="shared" si="43"/>
        <v>0</v>
      </c>
    </row>
    <row r="704" spans="6:12" ht="18" customHeight="1" x14ac:dyDescent="0.3">
      <c r="F704" s="1">
        <f t="shared" si="40"/>
        <v>0</v>
      </c>
      <c r="H704" s="1">
        <f t="shared" si="41"/>
        <v>0</v>
      </c>
      <c r="J704" s="1">
        <f t="shared" si="42"/>
        <v>0</v>
      </c>
      <c r="L704" s="1">
        <f t="shared" si="43"/>
        <v>0</v>
      </c>
    </row>
    <row r="705" spans="6:12" ht="18" customHeight="1" x14ac:dyDescent="0.3">
      <c r="F705" s="1">
        <f t="shared" si="40"/>
        <v>0</v>
      </c>
      <c r="H705" s="1">
        <f t="shared" si="41"/>
        <v>0</v>
      </c>
      <c r="J705" s="1">
        <f t="shared" si="42"/>
        <v>0</v>
      </c>
      <c r="L705" s="1">
        <f t="shared" si="43"/>
        <v>0</v>
      </c>
    </row>
    <row r="706" spans="6:12" ht="18" customHeight="1" x14ac:dyDescent="0.3">
      <c r="F706" s="1">
        <f t="shared" si="40"/>
        <v>0</v>
      </c>
      <c r="H706" s="1">
        <f t="shared" si="41"/>
        <v>0</v>
      </c>
      <c r="J706" s="1">
        <f t="shared" si="42"/>
        <v>0</v>
      </c>
      <c r="L706" s="1">
        <f t="shared" si="43"/>
        <v>0</v>
      </c>
    </row>
    <row r="707" spans="6:12" ht="18" customHeight="1" x14ac:dyDescent="0.3">
      <c r="F707" s="1">
        <f t="shared" si="40"/>
        <v>0</v>
      </c>
      <c r="H707" s="1">
        <f t="shared" si="41"/>
        <v>0</v>
      </c>
      <c r="J707" s="1">
        <f t="shared" si="42"/>
        <v>0</v>
      </c>
      <c r="L707" s="1">
        <f t="shared" si="43"/>
        <v>0</v>
      </c>
    </row>
    <row r="708" spans="6:12" ht="18" customHeight="1" x14ac:dyDescent="0.3">
      <c r="F708" s="1">
        <f t="shared" si="40"/>
        <v>0</v>
      </c>
      <c r="H708" s="1">
        <f t="shared" si="41"/>
        <v>0</v>
      </c>
      <c r="J708" s="1">
        <f t="shared" si="42"/>
        <v>0</v>
      </c>
      <c r="L708" s="1">
        <f t="shared" si="43"/>
        <v>0</v>
      </c>
    </row>
    <row r="709" spans="6:12" ht="18" customHeight="1" x14ac:dyDescent="0.3">
      <c r="F709" s="1">
        <f t="shared" ref="F709:F772" si="44">SUM(H709,J709,L709)</f>
        <v>0</v>
      </c>
      <c r="H709" s="1">
        <f t="shared" ref="H709:H772" si="45">ROUNDUP(D709*G709,0)</f>
        <v>0</v>
      </c>
      <c r="J709" s="1">
        <f t="shared" ref="J709:J772" si="46">ROUNDUP(D709*I709,0)</f>
        <v>0</v>
      </c>
      <c r="L709" s="1">
        <f t="shared" ref="L709:L772" si="47">ROUNDUP(D709*K709,0)</f>
        <v>0</v>
      </c>
    </row>
    <row r="710" spans="6:12" ht="18" customHeight="1" x14ac:dyDescent="0.3">
      <c r="F710" s="1">
        <f t="shared" si="44"/>
        <v>0</v>
      </c>
      <c r="H710" s="1">
        <f t="shared" si="45"/>
        <v>0</v>
      </c>
      <c r="J710" s="1">
        <f t="shared" si="46"/>
        <v>0</v>
      </c>
      <c r="L710" s="1">
        <f t="shared" si="47"/>
        <v>0</v>
      </c>
    </row>
    <row r="711" spans="6:12" ht="18" customHeight="1" x14ac:dyDescent="0.3">
      <c r="F711" s="1">
        <f t="shared" si="44"/>
        <v>0</v>
      </c>
      <c r="H711" s="1">
        <f t="shared" si="45"/>
        <v>0</v>
      </c>
      <c r="J711" s="1">
        <f t="shared" si="46"/>
        <v>0</v>
      </c>
      <c r="L711" s="1">
        <f t="shared" si="47"/>
        <v>0</v>
      </c>
    </row>
    <row r="712" spans="6:12" ht="18" customHeight="1" x14ac:dyDescent="0.3">
      <c r="F712" s="1">
        <f t="shared" si="44"/>
        <v>0</v>
      </c>
      <c r="H712" s="1">
        <f t="shared" si="45"/>
        <v>0</v>
      </c>
      <c r="J712" s="1">
        <f t="shared" si="46"/>
        <v>0</v>
      </c>
      <c r="L712" s="1">
        <f t="shared" si="47"/>
        <v>0</v>
      </c>
    </row>
    <row r="713" spans="6:12" ht="18" customHeight="1" x14ac:dyDescent="0.3">
      <c r="F713" s="1">
        <f t="shared" si="44"/>
        <v>0</v>
      </c>
      <c r="H713" s="1">
        <f t="shared" si="45"/>
        <v>0</v>
      </c>
      <c r="J713" s="1">
        <f t="shared" si="46"/>
        <v>0</v>
      </c>
      <c r="L713" s="1">
        <f t="shared" si="47"/>
        <v>0</v>
      </c>
    </row>
    <row r="714" spans="6:12" ht="18" customHeight="1" x14ac:dyDescent="0.3">
      <c r="F714" s="1">
        <f t="shared" si="44"/>
        <v>0</v>
      </c>
      <c r="H714" s="1">
        <f t="shared" si="45"/>
        <v>0</v>
      </c>
      <c r="J714" s="1">
        <f t="shared" si="46"/>
        <v>0</v>
      </c>
      <c r="L714" s="1">
        <f t="shared" si="47"/>
        <v>0</v>
      </c>
    </row>
    <row r="715" spans="6:12" ht="18" customHeight="1" x14ac:dyDescent="0.3">
      <c r="F715" s="1">
        <f t="shared" si="44"/>
        <v>0</v>
      </c>
      <c r="H715" s="1">
        <f t="shared" si="45"/>
        <v>0</v>
      </c>
      <c r="J715" s="1">
        <f t="shared" si="46"/>
        <v>0</v>
      </c>
      <c r="L715" s="1">
        <f t="shared" si="47"/>
        <v>0</v>
      </c>
    </row>
    <row r="716" spans="6:12" ht="18" customHeight="1" x14ac:dyDescent="0.3">
      <c r="F716" s="1">
        <f t="shared" si="44"/>
        <v>0</v>
      </c>
      <c r="H716" s="1">
        <f t="shared" si="45"/>
        <v>0</v>
      </c>
      <c r="J716" s="1">
        <f t="shared" si="46"/>
        <v>0</v>
      </c>
      <c r="L716" s="1">
        <f t="shared" si="47"/>
        <v>0</v>
      </c>
    </row>
    <row r="717" spans="6:12" ht="18" customHeight="1" x14ac:dyDescent="0.3">
      <c r="F717" s="1">
        <f t="shared" si="44"/>
        <v>0</v>
      </c>
      <c r="H717" s="1">
        <f t="shared" si="45"/>
        <v>0</v>
      </c>
      <c r="J717" s="1">
        <f t="shared" si="46"/>
        <v>0</v>
      </c>
      <c r="L717" s="1">
        <f t="shared" si="47"/>
        <v>0</v>
      </c>
    </row>
    <row r="718" spans="6:12" ht="18" customHeight="1" x14ac:dyDescent="0.3">
      <c r="F718" s="1">
        <f t="shared" si="44"/>
        <v>0</v>
      </c>
      <c r="H718" s="1">
        <f t="shared" si="45"/>
        <v>0</v>
      </c>
      <c r="J718" s="1">
        <f t="shared" si="46"/>
        <v>0</v>
      </c>
      <c r="L718" s="1">
        <f t="shared" si="47"/>
        <v>0</v>
      </c>
    </row>
    <row r="719" spans="6:12" ht="18" customHeight="1" x14ac:dyDescent="0.3">
      <c r="F719" s="1">
        <f t="shared" si="44"/>
        <v>0</v>
      </c>
      <c r="H719" s="1">
        <f t="shared" si="45"/>
        <v>0</v>
      </c>
      <c r="J719" s="1">
        <f t="shared" si="46"/>
        <v>0</v>
      </c>
      <c r="L719" s="1">
        <f t="shared" si="47"/>
        <v>0</v>
      </c>
    </row>
    <row r="720" spans="6:12" ht="18" customHeight="1" x14ac:dyDescent="0.3">
      <c r="F720" s="1">
        <f t="shared" si="44"/>
        <v>0</v>
      </c>
      <c r="H720" s="1">
        <f t="shared" si="45"/>
        <v>0</v>
      </c>
      <c r="J720" s="1">
        <f t="shared" si="46"/>
        <v>0</v>
      </c>
      <c r="L720" s="1">
        <f t="shared" si="47"/>
        <v>0</v>
      </c>
    </row>
    <row r="721" spans="6:12" ht="18" customHeight="1" x14ac:dyDescent="0.3">
      <c r="F721" s="1">
        <f t="shared" si="44"/>
        <v>0</v>
      </c>
      <c r="H721" s="1">
        <f t="shared" si="45"/>
        <v>0</v>
      </c>
      <c r="J721" s="1">
        <f t="shared" si="46"/>
        <v>0</v>
      </c>
      <c r="L721" s="1">
        <f t="shared" si="47"/>
        <v>0</v>
      </c>
    </row>
    <row r="722" spans="6:12" ht="18" customHeight="1" x14ac:dyDescent="0.3">
      <c r="F722" s="1">
        <f t="shared" si="44"/>
        <v>0</v>
      </c>
      <c r="H722" s="1">
        <f t="shared" si="45"/>
        <v>0</v>
      </c>
      <c r="J722" s="1">
        <f t="shared" si="46"/>
        <v>0</v>
      </c>
      <c r="L722" s="1">
        <f t="shared" si="47"/>
        <v>0</v>
      </c>
    </row>
    <row r="723" spans="6:12" ht="18" customHeight="1" x14ac:dyDescent="0.3">
      <c r="F723" s="1">
        <f t="shared" si="44"/>
        <v>0</v>
      </c>
      <c r="H723" s="1">
        <f t="shared" si="45"/>
        <v>0</v>
      </c>
      <c r="J723" s="1">
        <f t="shared" si="46"/>
        <v>0</v>
      </c>
      <c r="L723" s="1">
        <f t="shared" si="47"/>
        <v>0</v>
      </c>
    </row>
    <row r="724" spans="6:12" ht="18" customHeight="1" x14ac:dyDescent="0.3">
      <c r="F724" s="1">
        <f t="shared" si="44"/>
        <v>0</v>
      </c>
      <c r="H724" s="1">
        <f t="shared" si="45"/>
        <v>0</v>
      </c>
      <c r="J724" s="1">
        <f t="shared" si="46"/>
        <v>0</v>
      </c>
      <c r="L724" s="1">
        <f t="shared" si="47"/>
        <v>0</v>
      </c>
    </row>
    <row r="725" spans="6:12" ht="18" customHeight="1" x14ac:dyDescent="0.3">
      <c r="F725" s="1">
        <f t="shared" si="44"/>
        <v>0</v>
      </c>
      <c r="H725" s="1">
        <f t="shared" si="45"/>
        <v>0</v>
      </c>
      <c r="J725" s="1">
        <f t="shared" si="46"/>
        <v>0</v>
      </c>
      <c r="L725" s="1">
        <f t="shared" si="47"/>
        <v>0</v>
      </c>
    </row>
    <row r="726" spans="6:12" ht="18" customHeight="1" x14ac:dyDescent="0.3">
      <c r="F726" s="1">
        <f t="shared" si="44"/>
        <v>0</v>
      </c>
      <c r="H726" s="1">
        <f t="shared" si="45"/>
        <v>0</v>
      </c>
      <c r="J726" s="1">
        <f t="shared" si="46"/>
        <v>0</v>
      </c>
      <c r="L726" s="1">
        <f t="shared" si="47"/>
        <v>0</v>
      </c>
    </row>
    <row r="727" spans="6:12" ht="18" customHeight="1" x14ac:dyDescent="0.3">
      <c r="F727" s="1">
        <f t="shared" si="44"/>
        <v>0</v>
      </c>
      <c r="H727" s="1">
        <f t="shared" si="45"/>
        <v>0</v>
      </c>
      <c r="J727" s="1">
        <f t="shared" si="46"/>
        <v>0</v>
      </c>
      <c r="L727" s="1">
        <f t="shared" si="47"/>
        <v>0</v>
      </c>
    </row>
    <row r="728" spans="6:12" ht="18" customHeight="1" x14ac:dyDescent="0.3">
      <c r="F728" s="1">
        <f t="shared" si="44"/>
        <v>0</v>
      </c>
      <c r="H728" s="1">
        <f t="shared" si="45"/>
        <v>0</v>
      </c>
      <c r="J728" s="1">
        <f t="shared" si="46"/>
        <v>0</v>
      </c>
      <c r="L728" s="1">
        <f t="shared" si="47"/>
        <v>0</v>
      </c>
    </row>
    <row r="729" spans="6:12" ht="18" customHeight="1" x14ac:dyDescent="0.3">
      <c r="F729" s="1">
        <f t="shared" si="44"/>
        <v>0</v>
      </c>
      <c r="H729" s="1">
        <f t="shared" si="45"/>
        <v>0</v>
      </c>
      <c r="J729" s="1">
        <f t="shared" si="46"/>
        <v>0</v>
      </c>
      <c r="L729" s="1">
        <f t="shared" si="47"/>
        <v>0</v>
      </c>
    </row>
    <row r="730" spans="6:12" ht="18" customHeight="1" x14ac:dyDescent="0.3">
      <c r="F730" s="1">
        <f t="shared" si="44"/>
        <v>0</v>
      </c>
      <c r="H730" s="1">
        <f t="shared" si="45"/>
        <v>0</v>
      </c>
      <c r="J730" s="1">
        <f t="shared" si="46"/>
        <v>0</v>
      </c>
      <c r="L730" s="1">
        <f t="shared" si="47"/>
        <v>0</v>
      </c>
    </row>
    <row r="731" spans="6:12" ht="18" customHeight="1" x14ac:dyDescent="0.3">
      <c r="F731" s="1">
        <f t="shared" si="44"/>
        <v>0</v>
      </c>
      <c r="H731" s="1">
        <f t="shared" si="45"/>
        <v>0</v>
      </c>
      <c r="J731" s="1">
        <f t="shared" si="46"/>
        <v>0</v>
      </c>
      <c r="L731" s="1">
        <f t="shared" si="47"/>
        <v>0</v>
      </c>
    </row>
    <row r="732" spans="6:12" ht="18" customHeight="1" x14ac:dyDescent="0.3">
      <c r="F732" s="1">
        <f t="shared" si="44"/>
        <v>0</v>
      </c>
      <c r="H732" s="1">
        <f t="shared" si="45"/>
        <v>0</v>
      </c>
      <c r="J732" s="1">
        <f t="shared" si="46"/>
        <v>0</v>
      </c>
      <c r="L732" s="1">
        <f t="shared" si="47"/>
        <v>0</v>
      </c>
    </row>
    <row r="733" spans="6:12" ht="18" customHeight="1" x14ac:dyDescent="0.3">
      <c r="F733" s="1">
        <f t="shared" si="44"/>
        <v>0</v>
      </c>
      <c r="H733" s="1">
        <f t="shared" si="45"/>
        <v>0</v>
      </c>
      <c r="J733" s="1">
        <f t="shared" si="46"/>
        <v>0</v>
      </c>
      <c r="L733" s="1">
        <f t="shared" si="47"/>
        <v>0</v>
      </c>
    </row>
    <row r="734" spans="6:12" ht="18" customHeight="1" x14ac:dyDescent="0.3">
      <c r="F734" s="1">
        <f t="shared" si="44"/>
        <v>0</v>
      </c>
      <c r="H734" s="1">
        <f t="shared" si="45"/>
        <v>0</v>
      </c>
      <c r="J734" s="1">
        <f t="shared" si="46"/>
        <v>0</v>
      </c>
      <c r="L734" s="1">
        <f t="shared" si="47"/>
        <v>0</v>
      </c>
    </row>
    <row r="735" spans="6:12" ht="18" customHeight="1" x14ac:dyDescent="0.3">
      <c r="F735" s="1">
        <f t="shared" si="44"/>
        <v>0</v>
      </c>
      <c r="H735" s="1">
        <f t="shared" si="45"/>
        <v>0</v>
      </c>
      <c r="J735" s="1">
        <f t="shared" si="46"/>
        <v>0</v>
      </c>
      <c r="L735" s="1">
        <f t="shared" si="47"/>
        <v>0</v>
      </c>
    </row>
    <row r="736" spans="6:12" ht="18" customHeight="1" x14ac:dyDescent="0.3">
      <c r="F736" s="1">
        <f t="shared" si="44"/>
        <v>0</v>
      </c>
      <c r="H736" s="1">
        <f t="shared" si="45"/>
        <v>0</v>
      </c>
      <c r="J736" s="1">
        <f t="shared" si="46"/>
        <v>0</v>
      </c>
      <c r="L736" s="1">
        <f t="shared" si="47"/>
        <v>0</v>
      </c>
    </row>
    <row r="737" spans="6:12" ht="18" customHeight="1" x14ac:dyDescent="0.3">
      <c r="F737" s="1">
        <f t="shared" si="44"/>
        <v>0</v>
      </c>
      <c r="H737" s="1">
        <f t="shared" si="45"/>
        <v>0</v>
      </c>
      <c r="J737" s="1">
        <f t="shared" si="46"/>
        <v>0</v>
      </c>
      <c r="L737" s="1">
        <f t="shared" si="47"/>
        <v>0</v>
      </c>
    </row>
    <row r="738" spans="6:12" ht="18" customHeight="1" x14ac:dyDescent="0.3">
      <c r="F738" s="1">
        <f t="shared" si="44"/>
        <v>0</v>
      </c>
      <c r="H738" s="1">
        <f t="shared" si="45"/>
        <v>0</v>
      </c>
      <c r="J738" s="1">
        <f t="shared" si="46"/>
        <v>0</v>
      </c>
      <c r="L738" s="1">
        <f t="shared" si="47"/>
        <v>0</v>
      </c>
    </row>
    <row r="739" spans="6:12" ht="18" customHeight="1" x14ac:dyDescent="0.3">
      <c r="F739" s="1">
        <f t="shared" si="44"/>
        <v>0</v>
      </c>
      <c r="H739" s="1">
        <f t="shared" si="45"/>
        <v>0</v>
      </c>
      <c r="J739" s="1">
        <f t="shared" si="46"/>
        <v>0</v>
      </c>
      <c r="L739" s="1">
        <f t="shared" si="47"/>
        <v>0</v>
      </c>
    </row>
    <row r="740" spans="6:12" ht="18" customHeight="1" x14ac:dyDescent="0.3">
      <c r="F740" s="1">
        <f t="shared" si="44"/>
        <v>0</v>
      </c>
      <c r="H740" s="1">
        <f t="shared" si="45"/>
        <v>0</v>
      </c>
      <c r="J740" s="1">
        <f t="shared" si="46"/>
        <v>0</v>
      </c>
      <c r="L740" s="1">
        <f t="shared" si="47"/>
        <v>0</v>
      </c>
    </row>
    <row r="741" spans="6:12" ht="18" customHeight="1" x14ac:dyDescent="0.3">
      <c r="F741" s="1">
        <f t="shared" si="44"/>
        <v>0</v>
      </c>
      <c r="H741" s="1">
        <f t="shared" si="45"/>
        <v>0</v>
      </c>
      <c r="J741" s="1">
        <f t="shared" si="46"/>
        <v>0</v>
      </c>
      <c r="L741" s="1">
        <f t="shared" si="47"/>
        <v>0</v>
      </c>
    </row>
    <row r="742" spans="6:12" ht="18" customHeight="1" x14ac:dyDescent="0.3">
      <c r="F742" s="1">
        <f t="shared" si="44"/>
        <v>0</v>
      </c>
      <c r="H742" s="1">
        <f t="shared" si="45"/>
        <v>0</v>
      </c>
      <c r="J742" s="1">
        <f t="shared" si="46"/>
        <v>0</v>
      </c>
      <c r="L742" s="1">
        <f t="shared" si="47"/>
        <v>0</v>
      </c>
    </row>
    <row r="743" spans="6:12" ht="18" customHeight="1" x14ac:dyDescent="0.3">
      <c r="F743" s="1">
        <f t="shared" si="44"/>
        <v>0</v>
      </c>
      <c r="H743" s="1">
        <f t="shared" si="45"/>
        <v>0</v>
      </c>
      <c r="J743" s="1">
        <f t="shared" si="46"/>
        <v>0</v>
      </c>
      <c r="L743" s="1">
        <f t="shared" si="47"/>
        <v>0</v>
      </c>
    </row>
    <row r="744" spans="6:12" ht="18" customHeight="1" x14ac:dyDescent="0.3">
      <c r="F744" s="1">
        <f t="shared" si="44"/>
        <v>0</v>
      </c>
      <c r="H744" s="1">
        <f t="shared" si="45"/>
        <v>0</v>
      </c>
      <c r="J744" s="1">
        <f t="shared" si="46"/>
        <v>0</v>
      </c>
      <c r="L744" s="1">
        <f t="shared" si="47"/>
        <v>0</v>
      </c>
    </row>
    <row r="745" spans="6:12" ht="18" customHeight="1" x14ac:dyDescent="0.3">
      <c r="F745" s="1">
        <f t="shared" si="44"/>
        <v>0</v>
      </c>
      <c r="H745" s="1">
        <f t="shared" si="45"/>
        <v>0</v>
      </c>
      <c r="J745" s="1">
        <f t="shared" si="46"/>
        <v>0</v>
      </c>
      <c r="L745" s="1">
        <f t="shared" si="47"/>
        <v>0</v>
      </c>
    </row>
    <row r="746" spans="6:12" ht="18" customHeight="1" x14ac:dyDescent="0.3">
      <c r="F746" s="1">
        <f t="shared" si="44"/>
        <v>0</v>
      </c>
      <c r="H746" s="1">
        <f t="shared" si="45"/>
        <v>0</v>
      </c>
      <c r="J746" s="1">
        <f t="shared" si="46"/>
        <v>0</v>
      </c>
      <c r="L746" s="1">
        <f t="shared" si="47"/>
        <v>0</v>
      </c>
    </row>
    <row r="747" spans="6:12" ht="18" customHeight="1" x14ac:dyDescent="0.3">
      <c r="F747" s="1">
        <f t="shared" si="44"/>
        <v>0</v>
      </c>
      <c r="H747" s="1">
        <f t="shared" si="45"/>
        <v>0</v>
      </c>
      <c r="J747" s="1">
        <f t="shared" si="46"/>
        <v>0</v>
      </c>
      <c r="L747" s="1">
        <f t="shared" si="47"/>
        <v>0</v>
      </c>
    </row>
    <row r="748" spans="6:12" ht="18" customHeight="1" x14ac:dyDescent="0.3">
      <c r="F748" s="1">
        <f t="shared" si="44"/>
        <v>0</v>
      </c>
      <c r="H748" s="1">
        <f t="shared" si="45"/>
        <v>0</v>
      </c>
      <c r="J748" s="1">
        <f t="shared" si="46"/>
        <v>0</v>
      </c>
      <c r="L748" s="1">
        <f t="shared" si="47"/>
        <v>0</v>
      </c>
    </row>
    <row r="749" spans="6:12" ht="18" customHeight="1" x14ac:dyDescent="0.3">
      <c r="F749" s="1">
        <f t="shared" si="44"/>
        <v>0</v>
      </c>
      <c r="H749" s="1">
        <f t="shared" si="45"/>
        <v>0</v>
      </c>
      <c r="J749" s="1">
        <f t="shared" si="46"/>
        <v>0</v>
      </c>
      <c r="L749" s="1">
        <f t="shared" si="47"/>
        <v>0</v>
      </c>
    </row>
    <row r="750" spans="6:12" ht="18" customHeight="1" x14ac:dyDescent="0.3">
      <c r="F750" s="1">
        <f t="shared" si="44"/>
        <v>0</v>
      </c>
      <c r="H750" s="1">
        <f t="shared" si="45"/>
        <v>0</v>
      </c>
      <c r="J750" s="1">
        <f t="shared" si="46"/>
        <v>0</v>
      </c>
      <c r="L750" s="1">
        <f t="shared" si="47"/>
        <v>0</v>
      </c>
    </row>
    <row r="751" spans="6:12" ht="18" customHeight="1" x14ac:dyDescent="0.3">
      <c r="F751" s="1">
        <f t="shared" si="44"/>
        <v>0</v>
      </c>
      <c r="H751" s="1">
        <f t="shared" si="45"/>
        <v>0</v>
      </c>
      <c r="J751" s="1">
        <f t="shared" si="46"/>
        <v>0</v>
      </c>
      <c r="L751" s="1">
        <f t="shared" si="47"/>
        <v>0</v>
      </c>
    </row>
    <row r="752" spans="6:12" ht="18" customHeight="1" x14ac:dyDescent="0.3">
      <c r="F752" s="1">
        <f t="shared" si="44"/>
        <v>0</v>
      </c>
      <c r="H752" s="1">
        <f t="shared" si="45"/>
        <v>0</v>
      </c>
      <c r="J752" s="1">
        <f t="shared" si="46"/>
        <v>0</v>
      </c>
      <c r="L752" s="1">
        <f t="shared" si="47"/>
        <v>0</v>
      </c>
    </row>
    <row r="753" spans="6:12" ht="18" customHeight="1" x14ac:dyDescent="0.3">
      <c r="F753" s="1">
        <f t="shared" si="44"/>
        <v>0</v>
      </c>
      <c r="H753" s="1">
        <f t="shared" si="45"/>
        <v>0</v>
      </c>
      <c r="J753" s="1">
        <f t="shared" si="46"/>
        <v>0</v>
      </c>
      <c r="L753" s="1">
        <f t="shared" si="47"/>
        <v>0</v>
      </c>
    </row>
    <row r="754" spans="6:12" ht="18" customHeight="1" x14ac:dyDescent="0.3">
      <c r="F754" s="1">
        <f t="shared" si="44"/>
        <v>0</v>
      </c>
      <c r="H754" s="1">
        <f t="shared" si="45"/>
        <v>0</v>
      </c>
      <c r="J754" s="1">
        <f t="shared" si="46"/>
        <v>0</v>
      </c>
      <c r="L754" s="1">
        <f t="shared" si="47"/>
        <v>0</v>
      </c>
    </row>
    <row r="755" spans="6:12" ht="18" customHeight="1" x14ac:dyDescent="0.3">
      <c r="F755" s="1">
        <f t="shared" si="44"/>
        <v>0</v>
      </c>
      <c r="H755" s="1">
        <f t="shared" si="45"/>
        <v>0</v>
      </c>
      <c r="J755" s="1">
        <f t="shared" si="46"/>
        <v>0</v>
      </c>
      <c r="L755" s="1">
        <f t="shared" si="47"/>
        <v>0</v>
      </c>
    </row>
    <row r="756" spans="6:12" ht="18" customHeight="1" x14ac:dyDescent="0.3">
      <c r="F756" s="1">
        <f t="shared" si="44"/>
        <v>0</v>
      </c>
      <c r="H756" s="1">
        <f t="shared" si="45"/>
        <v>0</v>
      </c>
      <c r="J756" s="1">
        <f t="shared" si="46"/>
        <v>0</v>
      </c>
      <c r="L756" s="1">
        <f t="shared" si="47"/>
        <v>0</v>
      </c>
    </row>
    <row r="757" spans="6:12" ht="18" customHeight="1" x14ac:dyDescent="0.3">
      <c r="F757" s="1">
        <f t="shared" si="44"/>
        <v>0</v>
      </c>
      <c r="H757" s="1">
        <f t="shared" si="45"/>
        <v>0</v>
      </c>
      <c r="J757" s="1">
        <f t="shared" si="46"/>
        <v>0</v>
      </c>
      <c r="L757" s="1">
        <f t="shared" si="47"/>
        <v>0</v>
      </c>
    </row>
    <row r="758" spans="6:12" ht="18" customHeight="1" x14ac:dyDescent="0.3">
      <c r="F758" s="1">
        <f t="shared" si="44"/>
        <v>0</v>
      </c>
      <c r="H758" s="1">
        <f t="shared" si="45"/>
        <v>0</v>
      </c>
      <c r="J758" s="1">
        <f t="shared" si="46"/>
        <v>0</v>
      </c>
      <c r="L758" s="1">
        <f t="shared" si="47"/>
        <v>0</v>
      </c>
    </row>
    <row r="759" spans="6:12" ht="18" customHeight="1" x14ac:dyDescent="0.3">
      <c r="F759" s="1">
        <f t="shared" si="44"/>
        <v>0</v>
      </c>
      <c r="H759" s="1">
        <f t="shared" si="45"/>
        <v>0</v>
      </c>
      <c r="J759" s="1">
        <f t="shared" si="46"/>
        <v>0</v>
      </c>
      <c r="L759" s="1">
        <f t="shared" si="47"/>
        <v>0</v>
      </c>
    </row>
    <row r="760" spans="6:12" ht="18" customHeight="1" x14ac:dyDescent="0.3">
      <c r="F760" s="1">
        <f t="shared" si="44"/>
        <v>0</v>
      </c>
      <c r="H760" s="1">
        <f t="shared" si="45"/>
        <v>0</v>
      </c>
      <c r="J760" s="1">
        <f t="shared" si="46"/>
        <v>0</v>
      </c>
      <c r="L760" s="1">
        <f t="shared" si="47"/>
        <v>0</v>
      </c>
    </row>
    <row r="761" spans="6:12" ht="18" customHeight="1" x14ac:dyDescent="0.3">
      <c r="F761" s="1">
        <f t="shared" si="44"/>
        <v>0</v>
      </c>
      <c r="H761" s="1">
        <f t="shared" si="45"/>
        <v>0</v>
      </c>
      <c r="J761" s="1">
        <f t="shared" si="46"/>
        <v>0</v>
      </c>
      <c r="L761" s="1">
        <f t="shared" si="47"/>
        <v>0</v>
      </c>
    </row>
    <row r="762" spans="6:12" ht="18" customHeight="1" x14ac:dyDescent="0.3">
      <c r="F762" s="1">
        <f t="shared" si="44"/>
        <v>0</v>
      </c>
      <c r="H762" s="1">
        <f t="shared" si="45"/>
        <v>0</v>
      </c>
      <c r="J762" s="1">
        <f t="shared" si="46"/>
        <v>0</v>
      </c>
      <c r="L762" s="1">
        <f t="shared" si="47"/>
        <v>0</v>
      </c>
    </row>
    <row r="763" spans="6:12" ht="18" customHeight="1" x14ac:dyDescent="0.3">
      <c r="F763" s="1">
        <f t="shared" si="44"/>
        <v>0</v>
      </c>
      <c r="H763" s="1">
        <f t="shared" si="45"/>
        <v>0</v>
      </c>
      <c r="J763" s="1">
        <f t="shared" si="46"/>
        <v>0</v>
      </c>
      <c r="L763" s="1">
        <f t="shared" si="47"/>
        <v>0</v>
      </c>
    </row>
    <row r="764" spans="6:12" ht="18" customHeight="1" x14ac:dyDescent="0.3">
      <c r="F764" s="1">
        <f t="shared" si="44"/>
        <v>0</v>
      </c>
      <c r="H764" s="1">
        <f t="shared" si="45"/>
        <v>0</v>
      </c>
      <c r="J764" s="1">
        <f t="shared" si="46"/>
        <v>0</v>
      </c>
      <c r="L764" s="1">
        <f t="shared" si="47"/>
        <v>0</v>
      </c>
    </row>
    <row r="765" spans="6:12" ht="18" customHeight="1" x14ac:dyDescent="0.3">
      <c r="F765" s="1">
        <f t="shared" si="44"/>
        <v>0</v>
      </c>
      <c r="H765" s="1">
        <f t="shared" si="45"/>
        <v>0</v>
      </c>
      <c r="J765" s="1">
        <f t="shared" si="46"/>
        <v>0</v>
      </c>
      <c r="L765" s="1">
        <f t="shared" si="47"/>
        <v>0</v>
      </c>
    </row>
    <row r="766" spans="6:12" ht="18" customHeight="1" x14ac:dyDescent="0.3">
      <c r="F766" s="1">
        <f t="shared" si="44"/>
        <v>0</v>
      </c>
      <c r="H766" s="1">
        <f t="shared" si="45"/>
        <v>0</v>
      </c>
      <c r="J766" s="1">
        <f t="shared" si="46"/>
        <v>0</v>
      </c>
      <c r="L766" s="1">
        <f t="shared" si="47"/>
        <v>0</v>
      </c>
    </row>
    <row r="767" spans="6:12" ht="18" customHeight="1" x14ac:dyDescent="0.3">
      <c r="F767" s="1">
        <f t="shared" si="44"/>
        <v>0</v>
      </c>
      <c r="H767" s="1">
        <f t="shared" si="45"/>
        <v>0</v>
      </c>
      <c r="J767" s="1">
        <f t="shared" si="46"/>
        <v>0</v>
      </c>
      <c r="L767" s="1">
        <f t="shared" si="47"/>
        <v>0</v>
      </c>
    </row>
    <row r="768" spans="6:12" ht="18" customHeight="1" x14ac:dyDescent="0.3">
      <c r="F768" s="1">
        <f t="shared" si="44"/>
        <v>0</v>
      </c>
      <c r="H768" s="1">
        <f t="shared" si="45"/>
        <v>0</v>
      </c>
      <c r="J768" s="1">
        <f t="shared" si="46"/>
        <v>0</v>
      </c>
      <c r="L768" s="1">
        <f t="shared" si="47"/>
        <v>0</v>
      </c>
    </row>
    <row r="769" spans="6:12" ht="18" customHeight="1" x14ac:dyDescent="0.3">
      <c r="F769" s="1">
        <f t="shared" si="44"/>
        <v>0</v>
      </c>
      <c r="H769" s="1">
        <f t="shared" si="45"/>
        <v>0</v>
      </c>
      <c r="J769" s="1">
        <f t="shared" si="46"/>
        <v>0</v>
      </c>
      <c r="L769" s="1">
        <f t="shared" si="47"/>
        <v>0</v>
      </c>
    </row>
    <row r="770" spans="6:12" ht="18" customHeight="1" x14ac:dyDescent="0.3">
      <c r="F770" s="1">
        <f t="shared" si="44"/>
        <v>0</v>
      </c>
      <c r="H770" s="1">
        <f t="shared" si="45"/>
        <v>0</v>
      </c>
      <c r="J770" s="1">
        <f t="shared" si="46"/>
        <v>0</v>
      </c>
      <c r="L770" s="1">
        <f t="shared" si="47"/>
        <v>0</v>
      </c>
    </row>
    <row r="771" spans="6:12" ht="18" customHeight="1" x14ac:dyDescent="0.3">
      <c r="F771" s="1">
        <f t="shared" si="44"/>
        <v>0</v>
      </c>
      <c r="H771" s="1">
        <f t="shared" si="45"/>
        <v>0</v>
      </c>
      <c r="J771" s="1">
        <f t="shared" si="46"/>
        <v>0</v>
      </c>
      <c r="L771" s="1">
        <f t="shared" si="47"/>
        <v>0</v>
      </c>
    </row>
    <row r="772" spans="6:12" ht="18" customHeight="1" x14ac:dyDescent="0.3">
      <c r="F772" s="1">
        <f t="shared" si="44"/>
        <v>0</v>
      </c>
      <c r="H772" s="1">
        <f t="shared" si="45"/>
        <v>0</v>
      </c>
      <c r="J772" s="1">
        <f t="shared" si="46"/>
        <v>0</v>
      </c>
      <c r="L772" s="1">
        <f t="shared" si="47"/>
        <v>0</v>
      </c>
    </row>
    <row r="773" spans="6:12" ht="18" customHeight="1" x14ac:dyDescent="0.3">
      <c r="F773" s="1">
        <f t="shared" ref="F773:F807" si="48">SUM(H773,J773,L773)</f>
        <v>0</v>
      </c>
      <c r="H773" s="1">
        <f t="shared" ref="H773:H836" si="49">ROUNDUP(D773*G773,0)</f>
        <v>0</v>
      </c>
      <c r="J773" s="1">
        <f t="shared" ref="J773:J836" si="50">ROUNDUP(D773*I773,0)</f>
        <v>0</v>
      </c>
      <c r="L773" s="1">
        <f t="shared" ref="L773:L836" si="51">ROUNDUP(D773*K773,0)</f>
        <v>0</v>
      </c>
    </row>
    <row r="774" spans="6:12" ht="18" customHeight="1" x14ac:dyDescent="0.3">
      <c r="F774" s="1">
        <f t="shared" si="48"/>
        <v>0</v>
      </c>
      <c r="H774" s="1">
        <f t="shared" si="49"/>
        <v>0</v>
      </c>
      <c r="J774" s="1">
        <f t="shared" si="50"/>
        <v>0</v>
      </c>
      <c r="L774" s="1">
        <f t="shared" si="51"/>
        <v>0</v>
      </c>
    </row>
    <row r="775" spans="6:12" ht="18" customHeight="1" x14ac:dyDescent="0.3">
      <c r="F775" s="1">
        <f t="shared" si="48"/>
        <v>0</v>
      </c>
      <c r="H775" s="1">
        <f t="shared" si="49"/>
        <v>0</v>
      </c>
      <c r="J775" s="1">
        <f t="shared" si="50"/>
        <v>0</v>
      </c>
      <c r="L775" s="1">
        <f t="shared" si="51"/>
        <v>0</v>
      </c>
    </row>
    <row r="776" spans="6:12" ht="18" customHeight="1" x14ac:dyDescent="0.3">
      <c r="F776" s="1">
        <f t="shared" si="48"/>
        <v>0</v>
      </c>
      <c r="H776" s="1">
        <f t="shared" si="49"/>
        <v>0</v>
      </c>
      <c r="J776" s="1">
        <f t="shared" si="50"/>
        <v>0</v>
      </c>
      <c r="L776" s="1">
        <f t="shared" si="51"/>
        <v>0</v>
      </c>
    </row>
    <row r="777" spans="6:12" ht="18" customHeight="1" x14ac:dyDescent="0.3">
      <c r="F777" s="1">
        <f t="shared" si="48"/>
        <v>0</v>
      </c>
      <c r="H777" s="1">
        <f t="shared" si="49"/>
        <v>0</v>
      </c>
      <c r="J777" s="1">
        <f t="shared" si="50"/>
        <v>0</v>
      </c>
      <c r="L777" s="1">
        <f t="shared" si="51"/>
        <v>0</v>
      </c>
    </row>
    <row r="778" spans="6:12" ht="18" customHeight="1" x14ac:dyDescent="0.3">
      <c r="F778" s="1">
        <f t="shared" si="48"/>
        <v>0</v>
      </c>
      <c r="H778" s="1">
        <f t="shared" si="49"/>
        <v>0</v>
      </c>
      <c r="J778" s="1">
        <f t="shared" si="50"/>
        <v>0</v>
      </c>
      <c r="L778" s="1">
        <f t="shared" si="51"/>
        <v>0</v>
      </c>
    </row>
    <row r="779" spans="6:12" ht="18" customHeight="1" x14ac:dyDescent="0.3">
      <c r="F779" s="1">
        <f t="shared" si="48"/>
        <v>0</v>
      </c>
      <c r="H779" s="1">
        <f t="shared" si="49"/>
        <v>0</v>
      </c>
      <c r="J779" s="1">
        <f t="shared" si="50"/>
        <v>0</v>
      </c>
      <c r="L779" s="1">
        <f t="shared" si="51"/>
        <v>0</v>
      </c>
    </row>
    <row r="780" spans="6:12" ht="18" customHeight="1" x14ac:dyDescent="0.3">
      <c r="F780" s="1">
        <f t="shared" si="48"/>
        <v>0</v>
      </c>
      <c r="H780" s="1">
        <f t="shared" si="49"/>
        <v>0</v>
      </c>
      <c r="J780" s="1">
        <f t="shared" si="50"/>
        <v>0</v>
      </c>
      <c r="L780" s="1">
        <f t="shared" si="51"/>
        <v>0</v>
      </c>
    </row>
    <row r="781" spans="6:12" ht="18" customHeight="1" x14ac:dyDescent="0.3">
      <c r="F781" s="1">
        <f t="shared" si="48"/>
        <v>0</v>
      </c>
      <c r="H781" s="1">
        <f t="shared" si="49"/>
        <v>0</v>
      </c>
      <c r="J781" s="1">
        <f t="shared" si="50"/>
        <v>0</v>
      </c>
      <c r="L781" s="1">
        <f t="shared" si="51"/>
        <v>0</v>
      </c>
    </row>
    <row r="782" spans="6:12" ht="18" customHeight="1" x14ac:dyDescent="0.3">
      <c r="F782" s="1">
        <f t="shared" si="48"/>
        <v>0</v>
      </c>
      <c r="H782" s="1">
        <f t="shared" si="49"/>
        <v>0</v>
      </c>
      <c r="J782" s="1">
        <f t="shared" si="50"/>
        <v>0</v>
      </c>
      <c r="L782" s="1">
        <f t="shared" si="51"/>
        <v>0</v>
      </c>
    </row>
    <row r="783" spans="6:12" ht="18" customHeight="1" x14ac:dyDescent="0.3">
      <c r="F783" s="1">
        <f t="shared" si="48"/>
        <v>0</v>
      </c>
      <c r="H783" s="1">
        <f t="shared" si="49"/>
        <v>0</v>
      </c>
      <c r="J783" s="1">
        <f t="shared" si="50"/>
        <v>0</v>
      </c>
      <c r="L783" s="1">
        <f t="shared" si="51"/>
        <v>0</v>
      </c>
    </row>
    <row r="784" spans="6:12" ht="18" customHeight="1" x14ac:dyDescent="0.3">
      <c r="F784" s="1">
        <f t="shared" si="48"/>
        <v>0</v>
      </c>
      <c r="H784" s="1">
        <f t="shared" si="49"/>
        <v>0</v>
      </c>
      <c r="J784" s="1">
        <f t="shared" si="50"/>
        <v>0</v>
      </c>
      <c r="L784" s="1">
        <f t="shared" si="51"/>
        <v>0</v>
      </c>
    </row>
    <row r="785" spans="6:12" ht="18" customHeight="1" x14ac:dyDescent="0.3">
      <c r="F785" s="1">
        <f t="shared" si="48"/>
        <v>0</v>
      </c>
      <c r="H785" s="1">
        <f t="shared" si="49"/>
        <v>0</v>
      </c>
      <c r="J785" s="1">
        <f t="shared" si="50"/>
        <v>0</v>
      </c>
      <c r="L785" s="1">
        <f t="shared" si="51"/>
        <v>0</v>
      </c>
    </row>
    <row r="786" spans="6:12" ht="18" customHeight="1" x14ac:dyDescent="0.3">
      <c r="F786" s="1">
        <f t="shared" si="48"/>
        <v>0</v>
      </c>
      <c r="H786" s="1">
        <f t="shared" si="49"/>
        <v>0</v>
      </c>
      <c r="J786" s="1">
        <f t="shared" si="50"/>
        <v>0</v>
      </c>
      <c r="L786" s="1">
        <f t="shared" si="51"/>
        <v>0</v>
      </c>
    </row>
    <row r="787" spans="6:12" ht="18" customHeight="1" x14ac:dyDescent="0.3">
      <c r="F787" s="1">
        <f t="shared" si="48"/>
        <v>0</v>
      </c>
      <c r="H787" s="1">
        <f t="shared" si="49"/>
        <v>0</v>
      </c>
      <c r="J787" s="1">
        <f t="shared" si="50"/>
        <v>0</v>
      </c>
      <c r="L787" s="1">
        <f t="shared" si="51"/>
        <v>0</v>
      </c>
    </row>
    <row r="788" spans="6:12" ht="18" customHeight="1" x14ac:dyDescent="0.3">
      <c r="F788" s="1">
        <f t="shared" si="48"/>
        <v>0</v>
      </c>
      <c r="H788" s="1">
        <f t="shared" si="49"/>
        <v>0</v>
      </c>
      <c r="J788" s="1">
        <f t="shared" si="50"/>
        <v>0</v>
      </c>
      <c r="L788" s="1">
        <f t="shared" si="51"/>
        <v>0</v>
      </c>
    </row>
    <row r="789" spans="6:12" ht="18" customHeight="1" x14ac:dyDescent="0.3">
      <c r="F789" s="1">
        <f t="shared" si="48"/>
        <v>0</v>
      </c>
      <c r="H789" s="1">
        <f t="shared" si="49"/>
        <v>0</v>
      </c>
      <c r="J789" s="1">
        <f t="shared" si="50"/>
        <v>0</v>
      </c>
      <c r="L789" s="1">
        <f t="shared" si="51"/>
        <v>0</v>
      </c>
    </row>
    <row r="790" spans="6:12" ht="18" customHeight="1" x14ac:dyDescent="0.3">
      <c r="F790" s="1">
        <f t="shared" si="48"/>
        <v>0</v>
      </c>
      <c r="H790" s="1">
        <f t="shared" si="49"/>
        <v>0</v>
      </c>
      <c r="J790" s="1">
        <f t="shared" si="50"/>
        <v>0</v>
      </c>
      <c r="L790" s="1">
        <f t="shared" si="51"/>
        <v>0</v>
      </c>
    </row>
    <row r="791" spans="6:12" ht="18" customHeight="1" x14ac:dyDescent="0.3">
      <c r="F791" s="1">
        <f t="shared" si="48"/>
        <v>0</v>
      </c>
      <c r="H791" s="1">
        <f t="shared" si="49"/>
        <v>0</v>
      </c>
      <c r="J791" s="1">
        <f t="shared" si="50"/>
        <v>0</v>
      </c>
      <c r="L791" s="1">
        <f t="shared" si="51"/>
        <v>0</v>
      </c>
    </row>
    <row r="792" spans="6:12" ht="18" customHeight="1" x14ac:dyDescent="0.3">
      <c r="F792" s="1">
        <f t="shared" si="48"/>
        <v>0</v>
      </c>
      <c r="H792" s="1">
        <f t="shared" si="49"/>
        <v>0</v>
      </c>
      <c r="J792" s="1">
        <f t="shared" si="50"/>
        <v>0</v>
      </c>
      <c r="L792" s="1">
        <f t="shared" si="51"/>
        <v>0</v>
      </c>
    </row>
    <row r="793" spans="6:12" ht="18" customHeight="1" x14ac:dyDescent="0.3">
      <c r="F793" s="1">
        <f t="shared" si="48"/>
        <v>0</v>
      </c>
      <c r="H793" s="1">
        <f t="shared" si="49"/>
        <v>0</v>
      </c>
      <c r="J793" s="1">
        <f t="shared" si="50"/>
        <v>0</v>
      </c>
      <c r="L793" s="1">
        <f t="shared" si="51"/>
        <v>0</v>
      </c>
    </row>
    <row r="794" spans="6:12" ht="18" customHeight="1" x14ac:dyDescent="0.3">
      <c r="F794" s="1">
        <f t="shared" si="48"/>
        <v>0</v>
      </c>
      <c r="H794" s="1">
        <f t="shared" si="49"/>
        <v>0</v>
      </c>
      <c r="J794" s="1">
        <f t="shared" si="50"/>
        <v>0</v>
      </c>
      <c r="L794" s="1">
        <f t="shared" si="51"/>
        <v>0</v>
      </c>
    </row>
    <row r="795" spans="6:12" ht="18" customHeight="1" x14ac:dyDescent="0.3">
      <c r="F795" s="1">
        <f t="shared" si="48"/>
        <v>0</v>
      </c>
      <c r="H795" s="1">
        <f t="shared" si="49"/>
        <v>0</v>
      </c>
      <c r="J795" s="1">
        <f t="shared" si="50"/>
        <v>0</v>
      </c>
      <c r="L795" s="1">
        <f t="shared" si="51"/>
        <v>0</v>
      </c>
    </row>
    <row r="796" spans="6:12" ht="18" customHeight="1" x14ac:dyDescent="0.3">
      <c r="F796" s="1">
        <f t="shared" si="48"/>
        <v>0</v>
      </c>
      <c r="H796" s="1">
        <f t="shared" si="49"/>
        <v>0</v>
      </c>
      <c r="J796" s="1">
        <f t="shared" si="50"/>
        <v>0</v>
      </c>
      <c r="L796" s="1">
        <f t="shared" si="51"/>
        <v>0</v>
      </c>
    </row>
    <row r="797" spans="6:12" ht="18" customHeight="1" x14ac:dyDescent="0.3">
      <c r="F797" s="1">
        <f t="shared" si="48"/>
        <v>0</v>
      </c>
      <c r="H797" s="1">
        <f t="shared" si="49"/>
        <v>0</v>
      </c>
      <c r="J797" s="1">
        <f t="shared" si="50"/>
        <v>0</v>
      </c>
      <c r="L797" s="1">
        <f t="shared" si="51"/>
        <v>0</v>
      </c>
    </row>
    <row r="798" spans="6:12" ht="18" customHeight="1" x14ac:dyDescent="0.3">
      <c r="F798" s="1">
        <f t="shared" si="48"/>
        <v>0</v>
      </c>
      <c r="H798" s="1">
        <f t="shared" si="49"/>
        <v>0</v>
      </c>
      <c r="J798" s="1">
        <f t="shared" si="50"/>
        <v>0</v>
      </c>
      <c r="L798" s="1">
        <f t="shared" si="51"/>
        <v>0</v>
      </c>
    </row>
    <row r="799" spans="6:12" ht="18" customHeight="1" x14ac:dyDescent="0.3">
      <c r="F799" s="1">
        <f t="shared" si="48"/>
        <v>0</v>
      </c>
      <c r="H799" s="1">
        <f t="shared" si="49"/>
        <v>0</v>
      </c>
      <c r="J799" s="1">
        <f t="shared" si="50"/>
        <v>0</v>
      </c>
      <c r="L799" s="1">
        <f t="shared" si="51"/>
        <v>0</v>
      </c>
    </row>
    <row r="800" spans="6:12" ht="18" customHeight="1" x14ac:dyDescent="0.3">
      <c r="F800" s="1">
        <f t="shared" si="48"/>
        <v>0</v>
      </c>
      <c r="H800" s="1">
        <f t="shared" si="49"/>
        <v>0</v>
      </c>
      <c r="J800" s="1">
        <f t="shared" si="50"/>
        <v>0</v>
      </c>
      <c r="L800" s="1">
        <f t="shared" si="51"/>
        <v>0</v>
      </c>
    </row>
    <row r="801" spans="6:12" ht="18" customHeight="1" x14ac:dyDescent="0.3">
      <c r="F801" s="1">
        <f t="shared" si="48"/>
        <v>0</v>
      </c>
      <c r="H801" s="1">
        <f t="shared" si="49"/>
        <v>0</v>
      </c>
      <c r="J801" s="1">
        <f t="shared" si="50"/>
        <v>0</v>
      </c>
      <c r="L801" s="1">
        <f t="shared" si="51"/>
        <v>0</v>
      </c>
    </row>
    <row r="802" spans="6:12" ht="18" customHeight="1" x14ac:dyDescent="0.3">
      <c r="F802" s="1">
        <f t="shared" si="48"/>
        <v>0</v>
      </c>
      <c r="H802" s="1">
        <f t="shared" si="49"/>
        <v>0</v>
      </c>
      <c r="J802" s="1">
        <f t="shared" si="50"/>
        <v>0</v>
      </c>
      <c r="L802" s="1">
        <f t="shared" si="51"/>
        <v>0</v>
      </c>
    </row>
    <row r="803" spans="6:12" ht="18" customHeight="1" x14ac:dyDescent="0.3">
      <c r="F803" s="1">
        <f t="shared" si="48"/>
        <v>0</v>
      </c>
      <c r="H803" s="1">
        <f t="shared" si="49"/>
        <v>0</v>
      </c>
      <c r="J803" s="1">
        <f t="shared" si="50"/>
        <v>0</v>
      </c>
      <c r="L803" s="1">
        <f t="shared" si="51"/>
        <v>0</v>
      </c>
    </row>
    <row r="804" spans="6:12" ht="18" customHeight="1" x14ac:dyDescent="0.3">
      <c r="F804" s="1">
        <f t="shared" si="48"/>
        <v>0</v>
      </c>
      <c r="H804" s="1">
        <f t="shared" si="49"/>
        <v>0</v>
      </c>
      <c r="J804" s="1">
        <f t="shared" si="50"/>
        <v>0</v>
      </c>
      <c r="L804" s="1">
        <f t="shared" si="51"/>
        <v>0</v>
      </c>
    </row>
    <row r="805" spans="6:12" ht="18" customHeight="1" x14ac:dyDescent="0.3">
      <c r="F805" s="1">
        <f t="shared" si="48"/>
        <v>0</v>
      </c>
      <c r="H805" s="1">
        <f t="shared" si="49"/>
        <v>0</v>
      </c>
      <c r="J805" s="1">
        <f t="shared" si="50"/>
        <v>0</v>
      </c>
      <c r="L805" s="1">
        <f t="shared" si="51"/>
        <v>0</v>
      </c>
    </row>
    <row r="806" spans="6:12" ht="18" customHeight="1" x14ac:dyDescent="0.3">
      <c r="F806" s="1">
        <f t="shared" si="48"/>
        <v>0</v>
      </c>
      <c r="H806" s="1">
        <f t="shared" si="49"/>
        <v>0</v>
      </c>
      <c r="J806" s="1">
        <f t="shared" si="50"/>
        <v>0</v>
      </c>
      <c r="L806" s="1">
        <f t="shared" si="51"/>
        <v>0</v>
      </c>
    </row>
    <row r="807" spans="6:12" ht="18" customHeight="1" x14ac:dyDescent="0.3">
      <c r="F807" s="1">
        <f t="shared" si="48"/>
        <v>0</v>
      </c>
      <c r="H807" s="1">
        <f t="shared" si="49"/>
        <v>0</v>
      </c>
      <c r="J807" s="1">
        <f t="shared" si="50"/>
        <v>0</v>
      </c>
      <c r="L807" s="1">
        <f t="shared" si="51"/>
        <v>0</v>
      </c>
    </row>
    <row r="808" spans="6:12" ht="18" customHeight="1" x14ac:dyDescent="0.3">
      <c r="F808" s="1">
        <f>SUM(H808,J808,L808)</f>
        <v>0</v>
      </c>
      <c r="H808" s="1">
        <f t="shared" si="49"/>
        <v>0</v>
      </c>
      <c r="J808" s="1">
        <f t="shared" si="50"/>
        <v>0</v>
      </c>
      <c r="L808" s="1">
        <f t="shared" si="51"/>
        <v>0</v>
      </c>
    </row>
    <row r="809" spans="6:12" ht="18" customHeight="1" x14ac:dyDescent="0.3">
      <c r="F809" s="1">
        <f t="shared" ref="F809:F872" si="52">SUM(H809,J809,L809)</f>
        <v>0</v>
      </c>
      <c r="H809" s="1">
        <f t="shared" si="49"/>
        <v>0</v>
      </c>
      <c r="J809" s="1">
        <f t="shared" si="50"/>
        <v>0</v>
      </c>
      <c r="L809" s="1">
        <f t="shared" si="51"/>
        <v>0</v>
      </c>
    </row>
    <row r="810" spans="6:12" ht="18" customHeight="1" x14ac:dyDescent="0.3">
      <c r="F810" s="1">
        <f t="shared" si="52"/>
        <v>0</v>
      </c>
      <c r="H810" s="1">
        <f t="shared" si="49"/>
        <v>0</v>
      </c>
      <c r="J810" s="1">
        <f t="shared" si="50"/>
        <v>0</v>
      </c>
      <c r="L810" s="1">
        <f t="shared" si="51"/>
        <v>0</v>
      </c>
    </row>
    <row r="811" spans="6:12" ht="18" customHeight="1" x14ac:dyDescent="0.3">
      <c r="F811" s="1">
        <f t="shared" si="52"/>
        <v>0</v>
      </c>
      <c r="H811" s="1">
        <f t="shared" si="49"/>
        <v>0</v>
      </c>
      <c r="J811" s="1">
        <f t="shared" si="50"/>
        <v>0</v>
      </c>
      <c r="L811" s="1">
        <f t="shared" si="51"/>
        <v>0</v>
      </c>
    </row>
    <row r="812" spans="6:12" ht="18" customHeight="1" x14ac:dyDescent="0.3">
      <c r="F812" s="1">
        <f t="shared" si="52"/>
        <v>0</v>
      </c>
      <c r="H812" s="1">
        <f t="shared" si="49"/>
        <v>0</v>
      </c>
      <c r="J812" s="1">
        <f t="shared" si="50"/>
        <v>0</v>
      </c>
      <c r="L812" s="1">
        <f t="shared" si="51"/>
        <v>0</v>
      </c>
    </row>
    <row r="813" spans="6:12" ht="18" customHeight="1" x14ac:dyDescent="0.3">
      <c r="F813" s="1">
        <f t="shared" si="52"/>
        <v>0</v>
      </c>
      <c r="H813" s="1">
        <f t="shared" si="49"/>
        <v>0</v>
      </c>
      <c r="J813" s="1">
        <f t="shared" si="50"/>
        <v>0</v>
      </c>
      <c r="L813" s="1">
        <f t="shared" si="51"/>
        <v>0</v>
      </c>
    </row>
    <row r="814" spans="6:12" ht="18" customHeight="1" x14ac:dyDescent="0.3">
      <c r="F814" s="1">
        <f t="shared" si="52"/>
        <v>0</v>
      </c>
      <c r="H814" s="1">
        <f t="shared" si="49"/>
        <v>0</v>
      </c>
      <c r="J814" s="1">
        <f t="shared" si="50"/>
        <v>0</v>
      </c>
      <c r="L814" s="1">
        <f t="shared" si="51"/>
        <v>0</v>
      </c>
    </row>
    <row r="815" spans="6:12" ht="18" customHeight="1" x14ac:dyDescent="0.3">
      <c r="F815" s="1">
        <f t="shared" si="52"/>
        <v>0</v>
      </c>
      <c r="H815" s="1">
        <f t="shared" si="49"/>
        <v>0</v>
      </c>
      <c r="J815" s="1">
        <f t="shared" si="50"/>
        <v>0</v>
      </c>
      <c r="L815" s="1">
        <f t="shared" si="51"/>
        <v>0</v>
      </c>
    </row>
    <row r="816" spans="6:12" ht="18" customHeight="1" x14ac:dyDescent="0.3">
      <c r="F816" s="1">
        <f t="shared" si="52"/>
        <v>0</v>
      </c>
      <c r="H816" s="1">
        <f t="shared" si="49"/>
        <v>0</v>
      </c>
      <c r="J816" s="1">
        <f t="shared" si="50"/>
        <v>0</v>
      </c>
      <c r="L816" s="1">
        <f t="shared" si="51"/>
        <v>0</v>
      </c>
    </row>
    <row r="817" spans="6:12" ht="18" customHeight="1" x14ac:dyDescent="0.3">
      <c r="F817" s="1">
        <f t="shared" si="52"/>
        <v>0</v>
      </c>
      <c r="H817" s="1">
        <f t="shared" si="49"/>
        <v>0</v>
      </c>
      <c r="J817" s="1">
        <f t="shared" si="50"/>
        <v>0</v>
      </c>
      <c r="L817" s="1">
        <f t="shared" si="51"/>
        <v>0</v>
      </c>
    </row>
    <row r="818" spans="6:12" ht="18" customHeight="1" x14ac:dyDescent="0.3">
      <c r="F818" s="1">
        <f t="shared" si="52"/>
        <v>0</v>
      </c>
      <c r="H818" s="1">
        <f t="shared" si="49"/>
        <v>0</v>
      </c>
      <c r="J818" s="1">
        <f t="shared" si="50"/>
        <v>0</v>
      </c>
      <c r="L818" s="1">
        <f t="shared" si="51"/>
        <v>0</v>
      </c>
    </row>
    <row r="819" spans="6:12" ht="18" customHeight="1" x14ac:dyDescent="0.3">
      <c r="F819" s="1">
        <f t="shared" si="52"/>
        <v>0</v>
      </c>
      <c r="H819" s="1">
        <f t="shared" si="49"/>
        <v>0</v>
      </c>
      <c r="J819" s="1">
        <f t="shared" si="50"/>
        <v>0</v>
      </c>
      <c r="L819" s="1">
        <f t="shared" si="51"/>
        <v>0</v>
      </c>
    </row>
    <row r="820" spans="6:12" ht="18" customHeight="1" x14ac:dyDescent="0.3">
      <c r="F820" s="1">
        <f t="shared" si="52"/>
        <v>0</v>
      </c>
      <c r="H820" s="1">
        <f t="shared" si="49"/>
        <v>0</v>
      </c>
      <c r="J820" s="1">
        <f t="shared" si="50"/>
        <v>0</v>
      </c>
      <c r="L820" s="1">
        <f t="shared" si="51"/>
        <v>0</v>
      </c>
    </row>
    <row r="821" spans="6:12" ht="18" customHeight="1" x14ac:dyDescent="0.3">
      <c r="F821" s="1">
        <f t="shared" si="52"/>
        <v>0</v>
      </c>
      <c r="H821" s="1">
        <f t="shared" si="49"/>
        <v>0</v>
      </c>
      <c r="J821" s="1">
        <f t="shared" si="50"/>
        <v>0</v>
      </c>
      <c r="L821" s="1">
        <f t="shared" si="51"/>
        <v>0</v>
      </c>
    </row>
    <row r="822" spans="6:12" ht="18" customHeight="1" x14ac:dyDescent="0.3">
      <c r="F822" s="1">
        <f t="shared" si="52"/>
        <v>0</v>
      </c>
      <c r="H822" s="1">
        <f t="shared" si="49"/>
        <v>0</v>
      </c>
      <c r="J822" s="1">
        <f t="shared" si="50"/>
        <v>0</v>
      </c>
      <c r="L822" s="1">
        <f t="shared" si="51"/>
        <v>0</v>
      </c>
    </row>
    <row r="823" spans="6:12" ht="18" customHeight="1" x14ac:dyDescent="0.3">
      <c r="F823" s="1">
        <f t="shared" si="52"/>
        <v>0</v>
      </c>
      <c r="H823" s="1">
        <f t="shared" si="49"/>
        <v>0</v>
      </c>
      <c r="J823" s="1">
        <f t="shared" si="50"/>
        <v>0</v>
      </c>
      <c r="L823" s="1">
        <f t="shared" si="51"/>
        <v>0</v>
      </c>
    </row>
    <row r="824" spans="6:12" ht="18" customHeight="1" x14ac:dyDescent="0.3">
      <c r="F824" s="1">
        <f t="shared" si="52"/>
        <v>0</v>
      </c>
      <c r="H824" s="1">
        <f t="shared" si="49"/>
        <v>0</v>
      </c>
      <c r="J824" s="1">
        <f t="shared" si="50"/>
        <v>0</v>
      </c>
      <c r="L824" s="1">
        <f t="shared" si="51"/>
        <v>0</v>
      </c>
    </row>
    <row r="825" spans="6:12" ht="18" customHeight="1" x14ac:dyDescent="0.3">
      <c r="F825" s="1">
        <f t="shared" si="52"/>
        <v>0</v>
      </c>
      <c r="H825" s="1">
        <f t="shared" si="49"/>
        <v>0</v>
      </c>
      <c r="J825" s="1">
        <f t="shared" si="50"/>
        <v>0</v>
      </c>
      <c r="L825" s="1">
        <f t="shared" si="51"/>
        <v>0</v>
      </c>
    </row>
    <row r="826" spans="6:12" ht="18" customHeight="1" x14ac:dyDescent="0.3">
      <c r="F826" s="1">
        <f t="shared" si="52"/>
        <v>0</v>
      </c>
      <c r="H826" s="1">
        <f t="shared" si="49"/>
        <v>0</v>
      </c>
      <c r="J826" s="1">
        <f t="shared" si="50"/>
        <v>0</v>
      </c>
      <c r="L826" s="1">
        <f t="shared" si="51"/>
        <v>0</v>
      </c>
    </row>
    <row r="827" spans="6:12" ht="18" customHeight="1" x14ac:dyDescent="0.3">
      <c r="F827" s="1">
        <f t="shared" si="52"/>
        <v>0</v>
      </c>
      <c r="H827" s="1">
        <f t="shared" si="49"/>
        <v>0</v>
      </c>
      <c r="J827" s="1">
        <f t="shared" si="50"/>
        <v>0</v>
      </c>
      <c r="L827" s="1">
        <f t="shared" si="51"/>
        <v>0</v>
      </c>
    </row>
    <row r="828" spans="6:12" ht="18" customHeight="1" x14ac:dyDescent="0.3">
      <c r="F828" s="1">
        <f t="shared" si="52"/>
        <v>0</v>
      </c>
      <c r="H828" s="1">
        <f t="shared" si="49"/>
        <v>0</v>
      </c>
      <c r="J828" s="1">
        <f t="shared" si="50"/>
        <v>0</v>
      </c>
      <c r="L828" s="1">
        <f t="shared" si="51"/>
        <v>0</v>
      </c>
    </row>
    <row r="829" spans="6:12" ht="18" customHeight="1" x14ac:dyDescent="0.3">
      <c r="F829" s="1">
        <f t="shared" si="52"/>
        <v>0</v>
      </c>
      <c r="H829" s="1">
        <f t="shared" si="49"/>
        <v>0</v>
      </c>
      <c r="J829" s="1">
        <f t="shared" si="50"/>
        <v>0</v>
      </c>
      <c r="L829" s="1">
        <f t="shared" si="51"/>
        <v>0</v>
      </c>
    </row>
    <row r="830" spans="6:12" ht="18" customHeight="1" x14ac:dyDescent="0.3">
      <c r="F830" s="1">
        <f t="shared" si="52"/>
        <v>0</v>
      </c>
      <c r="H830" s="1">
        <f t="shared" si="49"/>
        <v>0</v>
      </c>
      <c r="J830" s="1">
        <f t="shared" si="50"/>
        <v>0</v>
      </c>
      <c r="L830" s="1">
        <f t="shared" si="51"/>
        <v>0</v>
      </c>
    </row>
    <row r="831" spans="6:12" ht="18" customHeight="1" x14ac:dyDescent="0.3">
      <c r="F831" s="1">
        <f t="shared" si="52"/>
        <v>0</v>
      </c>
      <c r="H831" s="1">
        <f t="shared" si="49"/>
        <v>0</v>
      </c>
      <c r="J831" s="1">
        <f t="shared" si="50"/>
        <v>0</v>
      </c>
      <c r="L831" s="1">
        <f t="shared" si="51"/>
        <v>0</v>
      </c>
    </row>
    <row r="832" spans="6:12" ht="18" customHeight="1" x14ac:dyDescent="0.3">
      <c r="F832" s="1">
        <f t="shared" si="52"/>
        <v>0</v>
      </c>
      <c r="H832" s="1">
        <f t="shared" si="49"/>
        <v>0</v>
      </c>
      <c r="J832" s="1">
        <f t="shared" si="50"/>
        <v>0</v>
      </c>
      <c r="L832" s="1">
        <f t="shared" si="51"/>
        <v>0</v>
      </c>
    </row>
    <row r="833" spans="6:12" ht="18" customHeight="1" x14ac:dyDescent="0.3">
      <c r="F833" s="1">
        <f t="shared" si="52"/>
        <v>0</v>
      </c>
      <c r="H833" s="1">
        <f t="shared" si="49"/>
        <v>0</v>
      </c>
      <c r="J833" s="1">
        <f t="shared" si="50"/>
        <v>0</v>
      </c>
      <c r="L833" s="1">
        <f t="shared" si="51"/>
        <v>0</v>
      </c>
    </row>
    <row r="834" spans="6:12" ht="18" customHeight="1" x14ac:dyDescent="0.3">
      <c r="F834" s="1">
        <f t="shared" si="52"/>
        <v>0</v>
      </c>
      <c r="H834" s="1">
        <f t="shared" si="49"/>
        <v>0</v>
      </c>
      <c r="J834" s="1">
        <f t="shared" si="50"/>
        <v>0</v>
      </c>
      <c r="L834" s="1">
        <f t="shared" si="51"/>
        <v>0</v>
      </c>
    </row>
    <row r="835" spans="6:12" ht="18" customHeight="1" x14ac:dyDescent="0.3">
      <c r="F835" s="1">
        <f t="shared" si="52"/>
        <v>0</v>
      </c>
      <c r="H835" s="1">
        <f t="shared" si="49"/>
        <v>0</v>
      </c>
      <c r="J835" s="1">
        <f t="shared" si="50"/>
        <v>0</v>
      </c>
      <c r="L835" s="1">
        <f t="shared" si="51"/>
        <v>0</v>
      </c>
    </row>
    <row r="836" spans="6:12" ht="18" customHeight="1" x14ac:dyDescent="0.3">
      <c r="F836" s="1">
        <f t="shared" si="52"/>
        <v>0</v>
      </c>
      <c r="H836" s="1">
        <f t="shared" si="49"/>
        <v>0</v>
      </c>
      <c r="J836" s="1">
        <f t="shared" si="50"/>
        <v>0</v>
      </c>
      <c r="L836" s="1">
        <f t="shared" si="51"/>
        <v>0</v>
      </c>
    </row>
    <row r="837" spans="6:12" ht="18" customHeight="1" x14ac:dyDescent="0.3">
      <c r="F837" s="1">
        <f t="shared" si="52"/>
        <v>0</v>
      </c>
      <c r="H837" s="1">
        <f t="shared" ref="H837:H900" si="53">ROUNDUP(D837*G837,0)</f>
        <v>0</v>
      </c>
      <c r="J837" s="1">
        <f t="shared" ref="J837:J900" si="54">ROUNDUP(D837*I837,0)</f>
        <v>0</v>
      </c>
      <c r="L837" s="1">
        <f t="shared" ref="L837:L900" si="55">ROUNDUP(D837*K837,0)</f>
        <v>0</v>
      </c>
    </row>
    <row r="838" spans="6:12" ht="18" customHeight="1" x14ac:dyDescent="0.3">
      <c r="F838" s="1">
        <f t="shared" si="52"/>
        <v>0</v>
      </c>
      <c r="H838" s="1">
        <f t="shared" si="53"/>
        <v>0</v>
      </c>
      <c r="J838" s="1">
        <f t="shared" si="54"/>
        <v>0</v>
      </c>
      <c r="L838" s="1">
        <f t="shared" si="55"/>
        <v>0</v>
      </c>
    </row>
    <row r="839" spans="6:12" ht="18" customHeight="1" x14ac:dyDescent="0.3">
      <c r="F839" s="1">
        <f t="shared" si="52"/>
        <v>0</v>
      </c>
      <c r="H839" s="1">
        <f t="shared" si="53"/>
        <v>0</v>
      </c>
      <c r="J839" s="1">
        <f t="shared" si="54"/>
        <v>0</v>
      </c>
      <c r="L839" s="1">
        <f t="shared" si="55"/>
        <v>0</v>
      </c>
    </row>
    <row r="840" spans="6:12" ht="18" customHeight="1" x14ac:dyDescent="0.3">
      <c r="F840" s="1">
        <f t="shared" si="52"/>
        <v>0</v>
      </c>
      <c r="H840" s="1">
        <f t="shared" si="53"/>
        <v>0</v>
      </c>
      <c r="J840" s="1">
        <f t="shared" si="54"/>
        <v>0</v>
      </c>
      <c r="L840" s="1">
        <f t="shared" si="55"/>
        <v>0</v>
      </c>
    </row>
    <row r="841" spans="6:12" ht="18" customHeight="1" x14ac:dyDescent="0.3">
      <c r="F841" s="1">
        <f t="shared" si="52"/>
        <v>0</v>
      </c>
      <c r="H841" s="1">
        <f t="shared" si="53"/>
        <v>0</v>
      </c>
      <c r="J841" s="1">
        <f t="shared" si="54"/>
        <v>0</v>
      </c>
      <c r="L841" s="1">
        <f t="shared" si="55"/>
        <v>0</v>
      </c>
    </row>
    <row r="842" spans="6:12" ht="18" customHeight="1" x14ac:dyDescent="0.3">
      <c r="F842" s="1">
        <f t="shared" si="52"/>
        <v>0</v>
      </c>
      <c r="H842" s="1">
        <f t="shared" si="53"/>
        <v>0</v>
      </c>
      <c r="J842" s="1">
        <f t="shared" si="54"/>
        <v>0</v>
      </c>
      <c r="L842" s="1">
        <f t="shared" si="55"/>
        <v>0</v>
      </c>
    </row>
    <row r="843" spans="6:12" ht="18" customHeight="1" x14ac:dyDescent="0.3">
      <c r="F843" s="1">
        <f t="shared" si="52"/>
        <v>0</v>
      </c>
      <c r="H843" s="1">
        <f t="shared" si="53"/>
        <v>0</v>
      </c>
      <c r="J843" s="1">
        <f t="shared" si="54"/>
        <v>0</v>
      </c>
      <c r="L843" s="1">
        <f t="shared" si="55"/>
        <v>0</v>
      </c>
    </row>
    <row r="844" spans="6:12" ht="18" customHeight="1" x14ac:dyDescent="0.3">
      <c r="F844" s="1">
        <f t="shared" si="52"/>
        <v>0</v>
      </c>
      <c r="H844" s="1">
        <f t="shared" si="53"/>
        <v>0</v>
      </c>
      <c r="J844" s="1">
        <f t="shared" si="54"/>
        <v>0</v>
      </c>
      <c r="L844" s="1">
        <f t="shared" si="55"/>
        <v>0</v>
      </c>
    </row>
    <row r="845" spans="6:12" ht="18" customHeight="1" x14ac:dyDescent="0.3">
      <c r="F845" s="1">
        <f t="shared" si="52"/>
        <v>0</v>
      </c>
      <c r="H845" s="1">
        <f t="shared" si="53"/>
        <v>0</v>
      </c>
      <c r="J845" s="1">
        <f t="shared" si="54"/>
        <v>0</v>
      </c>
      <c r="L845" s="1">
        <f t="shared" si="55"/>
        <v>0</v>
      </c>
    </row>
    <row r="846" spans="6:12" ht="18" customHeight="1" x14ac:dyDescent="0.3">
      <c r="F846" s="1">
        <f t="shared" si="52"/>
        <v>0</v>
      </c>
      <c r="H846" s="1">
        <f t="shared" si="53"/>
        <v>0</v>
      </c>
      <c r="J846" s="1">
        <f t="shared" si="54"/>
        <v>0</v>
      </c>
      <c r="L846" s="1">
        <f t="shared" si="55"/>
        <v>0</v>
      </c>
    </row>
    <row r="847" spans="6:12" ht="18" customHeight="1" x14ac:dyDescent="0.3">
      <c r="F847" s="1">
        <f t="shared" si="52"/>
        <v>0</v>
      </c>
      <c r="H847" s="1">
        <f t="shared" si="53"/>
        <v>0</v>
      </c>
      <c r="J847" s="1">
        <f t="shared" si="54"/>
        <v>0</v>
      </c>
      <c r="L847" s="1">
        <f t="shared" si="55"/>
        <v>0</v>
      </c>
    </row>
    <row r="848" spans="6:12" ht="18" customHeight="1" x14ac:dyDescent="0.3">
      <c r="F848" s="1">
        <f t="shared" si="52"/>
        <v>0</v>
      </c>
      <c r="H848" s="1">
        <f t="shared" si="53"/>
        <v>0</v>
      </c>
      <c r="J848" s="1">
        <f t="shared" si="54"/>
        <v>0</v>
      </c>
      <c r="L848" s="1">
        <f t="shared" si="55"/>
        <v>0</v>
      </c>
    </row>
    <row r="849" spans="6:12" ht="18" customHeight="1" x14ac:dyDescent="0.3">
      <c r="F849" s="1">
        <f t="shared" si="52"/>
        <v>0</v>
      </c>
      <c r="H849" s="1">
        <f t="shared" si="53"/>
        <v>0</v>
      </c>
      <c r="J849" s="1">
        <f t="shared" si="54"/>
        <v>0</v>
      </c>
      <c r="L849" s="1">
        <f t="shared" si="55"/>
        <v>0</v>
      </c>
    </row>
    <row r="850" spans="6:12" ht="18" customHeight="1" x14ac:dyDescent="0.3">
      <c r="F850" s="1">
        <f t="shared" si="52"/>
        <v>0</v>
      </c>
      <c r="H850" s="1">
        <f t="shared" si="53"/>
        <v>0</v>
      </c>
      <c r="J850" s="1">
        <f t="shared" si="54"/>
        <v>0</v>
      </c>
      <c r="L850" s="1">
        <f t="shared" si="55"/>
        <v>0</v>
      </c>
    </row>
    <row r="851" spans="6:12" ht="18" customHeight="1" x14ac:dyDescent="0.3">
      <c r="F851" s="1">
        <f t="shared" si="52"/>
        <v>0</v>
      </c>
      <c r="H851" s="1">
        <f t="shared" si="53"/>
        <v>0</v>
      </c>
      <c r="J851" s="1">
        <f t="shared" si="54"/>
        <v>0</v>
      </c>
      <c r="L851" s="1">
        <f t="shared" si="55"/>
        <v>0</v>
      </c>
    </row>
    <row r="852" spans="6:12" ht="18" customHeight="1" x14ac:dyDescent="0.3">
      <c r="F852" s="1">
        <f t="shared" si="52"/>
        <v>0</v>
      </c>
      <c r="H852" s="1">
        <f t="shared" si="53"/>
        <v>0</v>
      </c>
      <c r="J852" s="1">
        <f t="shared" si="54"/>
        <v>0</v>
      </c>
      <c r="L852" s="1">
        <f t="shared" si="55"/>
        <v>0</v>
      </c>
    </row>
    <row r="853" spans="6:12" ht="18" customHeight="1" x14ac:dyDescent="0.3">
      <c r="F853" s="1">
        <f t="shared" si="52"/>
        <v>0</v>
      </c>
      <c r="H853" s="1">
        <f t="shared" si="53"/>
        <v>0</v>
      </c>
      <c r="J853" s="1">
        <f t="shared" si="54"/>
        <v>0</v>
      </c>
      <c r="L853" s="1">
        <f t="shared" si="55"/>
        <v>0</v>
      </c>
    </row>
    <row r="854" spans="6:12" ht="18" customHeight="1" x14ac:dyDescent="0.3">
      <c r="F854" s="1">
        <f t="shared" si="52"/>
        <v>0</v>
      </c>
      <c r="H854" s="1">
        <f t="shared" si="53"/>
        <v>0</v>
      </c>
      <c r="J854" s="1">
        <f t="shared" si="54"/>
        <v>0</v>
      </c>
      <c r="L854" s="1">
        <f t="shared" si="55"/>
        <v>0</v>
      </c>
    </row>
    <row r="855" spans="6:12" ht="18" customHeight="1" x14ac:dyDescent="0.3">
      <c r="F855" s="1">
        <f t="shared" si="52"/>
        <v>0</v>
      </c>
      <c r="H855" s="1">
        <f t="shared" si="53"/>
        <v>0</v>
      </c>
      <c r="J855" s="1">
        <f t="shared" si="54"/>
        <v>0</v>
      </c>
      <c r="L855" s="1">
        <f t="shared" si="55"/>
        <v>0</v>
      </c>
    </row>
    <row r="856" spans="6:12" ht="18" customHeight="1" x14ac:dyDescent="0.3">
      <c r="F856" s="1">
        <f t="shared" si="52"/>
        <v>0</v>
      </c>
      <c r="H856" s="1">
        <f t="shared" si="53"/>
        <v>0</v>
      </c>
      <c r="J856" s="1">
        <f t="shared" si="54"/>
        <v>0</v>
      </c>
      <c r="L856" s="1">
        <f t="shared" si="55"/>
        <v>0</v>
      </c>
    </row>
    <row r="857" spans="6:12" ht="18" customHeight="1" x14ac:dyDescent="0.3">
      <c r="F857" s="1">
        <f t="shared" si="52"/>
        <v>0</v>
      </c>
      <c r="H857" s="1">
        <f t="shared" si="53"/>
        <v>0</v>
      </c>
      <c r="J857" s="1">
        <f t="shared" si="54"/>
        <v>0</v>
      </c>
      <c r="L857" s="1">
        <f t="shared" si="55"/>
        <v>0</v>
      </c>
    </row>
    <row r="858" spans="6:12" ht="18" customHeight="1" x14ac:dyDescent="0.3">
      <c r="F858" s="1">
        <f t="shared" si="52"/>
        <v>0</v>
      </c>
      <c r="H858" s="1">
        <f t="shared" si="53"/>
        <v>0</v>
      </c>
      <c r="J858" s="1">
        <f t="shared" si="54"/>
        <v>0</v>
      </c>
      <c r="L858" s="1">
        <f t="shared" si="55"/>
        <v>0</v>
      </c>
    </row>
    <row r="859" spans="6:12" ht="18" customHeight="1" x14ac:dyDescent="0.3">
      <c r="F859" s="1">
        <f t="shared" si="52"/>
        <v>0</v>
      </c>
      <c r="H859" s="1">
        <f t="shared" si="53"/>
        <v>0</v>
      </c>
      <c r="J859" s="1">
        <f t="shared" si="54"/>
        <v>0</v>
      </c>
      <c r="L859" s="1">
        <f t="shared" si="55"/>
        <v>0</v>
      </c>
    </row>
    <row r="860" spans="6:12" ht="18" customHeight="1" x14ac:dyDescent="0.3">
      <c r="F860" s="1">
        <f t="shared" si="52"/>
        <v>0</v>
      </c>
      <c r="H860" s="1">
        <f t="shared" si="53"/>
        <v>0</v>
      </c>
      <c r="J860" s="1">
        <f t="shared" si="54"/>
        <v>0</v>
      </c>
      <c r="L860" s="1">
        <f t="shared" si="55"/>
        <v>0</v>
      </c>
    </row>
    <row r="861" spans="6:12" ht="18" customHeight="1" x14ac:dyDescent="0.3">
      <c r="F861" s="1">
        <f t="shared" si="52"/>
        <v>0</v>
      </c>
      <c r="H861" s="1">
        <f t="shared" si="53"/>
        <v>0</v>
      </c>
      <c r="J861" s="1">
        <f t="shared" si="54"/>
        <v>0</v>
      </c>
      <c r="L861" s="1">
        <f t="shared" si="55"/>
        <v>0</v>
      </c>
    </row>
    <row r="862" spans="6:12" ht="18" customHeight="1" x14ac:dyDescent="0.3">
      <c r="F862" s="1">
        <f t="shared" si="52"/>
        <v>0</v>
      </c>
      <c r="H862" s="1">
        <f t="shared" si="53"/>
        <v>0</v>
      </c>
      <c r="J862" s="1">
        <f t="shared" si="54"/>
        <v>0</v>
      </c>
      <c r="L862" s="1">
        <f t="shared" si="55"/>
        <v>0</v>
      </c>
    </row>
    <row r="863" spans="6:12" ht="18" customHeight="1" x14ac:dyDescent="0.3">
      <c r="F863" s="1">
        <f t="shared" si="52"/>
        <v>0</v>
      </c>
      <c r="H863" s="1">
        <f t="shared" si="53"/>
        <v>0</v>
      </c>
      <c r="J863" s="1">
        <f t="shared" si="54"/>
        <v>0</v>
      </c>
      <c r="L863" s="1">
        <f t="shared" si="55"/>
        <v>0</v>
      </c>
    </row>
    <row r="864" spans="6:12" ht="18" customHeight="1" x14ac:dyDescent="0.3">
      <c r="F864" s="1">
        <f t="shared" si="52"/>
        <v>0</v>
      </c>
      <c r="H864" s="1">
        <f t="shared" si="53"/>
        <v>0</v>
      </c>
      <c r="J864" s="1">
        <f t="shared" si="54"/>
        <v>0</v>
      </c>
      <c r="L864" s="1">
        <f t="shared" si="55"/>
        <v>0</v>
      </c>
    </row>
    <row r="865" spans="6:12" ht="18" customHeight="1" x14ac:dyDescent="0.3">
      <c r="F865" s="1">
        <f t="shared" si="52"/>
        <v>0</v>
      </c>
      <c r="H865" s="1">
        <f t="shared" si="53"/>
        <v>0</v>
      </c>
      <c r="J865" s="1">
        <f t="shared" si="54"/>
        <v>0</v>
      </c>
      <c r="L865" s="1">
        <f t="shared" si="55"/>
        <v>0</v>
      </c>
    </row>
    <row r="866" spans="6:12" ht="18" customHeight="1" x14ac:dyDescent="0.3">
      <c r="F866" s="1">
        <f t="shared" si="52"/>
        <v>0</v>
      </c>
      <c r="H866" s="1">
        <f t="shared" si="53"/>
        <v>0</v>
      </c>
      <c r="J866" s="1">
        <f t="shared" si="54"/>
        <v>0</v>
      </c>
      <c r="L866" s="1">
        <f t="shared" si="55"/>
        <v>0</v>
      </c>
    </row>
    <row r="867" spans="6:12" ht="18" customHeight="1" x14ac:dyDescent="0.3">
      <c r="F867" s="1">
        <f t="shared" si="52"/>
        <v>0</v>
      </c>
      <c r="H867" s="1">
        <f t="shared" si="53"/>
        <v>0</v>
      </c>
      <c r="J867" s="1">
        <f t="shared" si="54"/>
        <v>0</v>
      </c>
      <c r="L867" s="1">
        <f t="shared" si="55"/>
        <v>0</v>
      </c>
    </row>
    <row r="868" spans="6:12" ht="18" customHeight="1" x14ac:dyDescent="0.3">
      <c r="F868" s="1">
        <f t="shared" si="52"/>
        <v>0</v>
      </c>
      <c r="H868" s="1">
        <f t="shared" si="53"/>
        <v>0</v>
      </c>
      <c r="J868" s="1">
        <f t="shared" si="54"/>
        <v>0</v>
      </c>
      <c r="L868" s="1">
        <f t="shared" si="55"/>
        <v>0</v>
      </c>
    </row>
    <row r="869" spans="6:12" ht="18" customHeight="1" x14ac:dyDescent="0.3">
      <c r="F869" s="1">
        <f t="shared" si="52"/>
        <v>0</v>
      </c>
      <c r="H869" s="1">
        <f t="shared" si="53"/>
        <v>0</v>
      </c>
      <c r="J869" s="1">
        <f t="shared" si="54"/>
        <v>0</v>
      </c>
      <c r="L869" s="1">
        <f t="shared" si="55"/>
        <v>0</v>
      </c>
    </row>
    <row r="870" spans="6:12" ht="18" customHeight="1" x14ac:dyDescent="0.3">
      <c r="F870" s="1">
        <f t="shared" si="52"/>
        <v>0</v>
      </c>
      <c r="H870" s="1">
        <f t="shared" si="53"/>
        <v>0</v>
      </c>
      <c r="J870" s="1">
        <f t="shared" si="54"/>
        <v>0</v>
      </c>
      <c r="L870" s="1">
        <f t="shared" si="55"/>
        <v>0</v>
      </c>
    </row>
    <row r="871" spans="6:12" ht="18" customHeight="1" x14ac:dyDescent="0.3">
      <c r="F871" s="1">
        <f t="shared" si="52"/>
        <v>0</v>
      </c>
      <c r="H871" s="1">
        <f t="shared" si="53"/>
        <v>0</v>
      </c>
      <c r="J871" s="1">
        <f t="shared" si="54"/>
        <v>0</v>
      </c>
      <c r="L871" s="1">
        <f t="shared" si="55"/>
        <v>0</v>
      </c>
    </row>
    <row r="872" spans="6:12" ht="18" customHeight="1" x14ac:dyDescent="0.3">
      <c r="F872" s="1">
        <f t="shared" si="52"/>
        <v>0</v>
      </c>
      <c r="H872" s="1">
        <f t="shared" si="53"/>
        <v>0</v>
      </c>
      <c r="J872" s="1">
        <f t="shared" si="54"/>
        <v>0</v>
      </c>
      <c r="L872" s="1">
        <f t="shared" si="55"/>
        <v>0</v>
      </c>
    </row>
    <row r="873" spans="6:12" ht="18" customHeight="1" x14ac:dyDescent="0.3">
      <c r="F873" s="1">
        <f t="shared" ref="F873:F936" si="56">SUM(H873,J873,L873)</f>
        <v>0</v>
      </c>
      <c r="H873" s="1">
        <f t="shared" si="53"/>
        <v>0</v>
      </c>
      <c r="J873" s="1">
        <f t="shared" si="54"/>
        <v>0</v>
      </c>
      <c r="L873" s="1">
        <f t="shared" si="55"/>
        <v>0</v>
      </c>
    </row>
    <row r="874" spans="6:12" ht="18" customHeight="1" x14ac:dyDescent="0.3">
      <c r="F874" s="1">
        <f t="shared" si="56"/>
        <v>0</v>
      </c>
      <c r="H874" s="1">
        <f t="shared" si="53"/>
        <v>0</v>
      </c>
      <c r="J874" s="1">
        <f t="shared" si="54"/>
        <v>0</v>
      </c>
      <c r="L874" s="1">
        <f t="shared" si="55"/>
        <v>0</v>
      </c>
    </row>
    <row r="875" spans="6:12" ht="18" customHeight="1" x14ac:dyDescent="0.3">
      <c r="F875" s="1">
        <f t="shared" si="56"/>
        <v>0</v>
      </c>
      <c r="H875" s="1">
        <f t="shared" si="53"/>
        <v>0</v>
      </c>
      <c r="J875" s="1">
        <f t="shared" si="54"/>
        <v>0</v>
      </c>
      <c r="L875" s="1">
        <f t="shared" si="55"/>
        <v>0</v>
      </c>
    </row>
    <row r="876" spans="6:12" ht="18" customHeight="1" x14ac:dyDescent="0.3">
      <c r="F876" s="1">
        <f t="shared" si="56"/>
        <v>0</v>
      </c>
      <c r="H876" s="1">
        <f t="shared" si="53"/>
        <v>0</v>
      </c>
      <c r="J876" s="1">
        <f t="shared" si="54"/>
        <v>0</v>
      </c>
      <c r="L876" s="1">
        <f t="shared" si="55"/>
        <v>0</v>
      </c>
    </row>
    <row r="877" spans="6:12" ht="18" customHeight="1" x14ac:dyDescent="0.3">
      <c r="F877" s="1">
        <f t="shared" si="56"/>
        <v>0</v>
      </c>
      <c r="H877" s="1">
        <f t="shared" si="53"/>
        <v>0</v>
      </c>
      <c r="J877" s="1">
        <f t="shared" si="54"/>
        <v>0</v>
      </c>
      <c r="L877" s="1">
        <f t="shared" si="55"/>
        <v>0</v>
      </c>
    </row>
    <row r="878" spans="6:12" ht="18" customHeight="1" x14ac:dyDescent="0.3">
      <c r="F878" s="1">
        <f t="shared" si="56"/>
        <v>0</v>
      </c>
      <c r="H878" s="1">
        <f t="shared" si="53"/>
        <v>0</v>
      </c>
      <c r="J878" s="1">
        <f t="shared" si="54"/>
        <v>0</v>
      </c>
      <c r="L878" s="1">
        <f t="shared" si="55"/>
        <v>0</v>
      </c>
    </row>
    <row r="879" spans="6:12" ht="18" customHeight="1" x14ac:dyDescent="0.3">
      <c r="F879" s="1">
        <f t="shared" si="56"/>
        <v>0</v>
      </c>
      <c r="H879" s="1">
        <f t="shared" si="53"/>
        <v>0</v>
      </c>
      <c r="J879" s="1">
        <f t="shared" si="54"/>
        <v>0</v>
      </c>
      <c r="L879" s="1">
        <f t="shared" si="55"/>
        <v>0</v>
      </c>
    </row>
    <row r="880" spans="6:12" ht="18" customHeight="1" x14ac:dyDescent="0.3">
      <c r="F880" s="1">
        <f t="shared" si="56"/>
        <v>0</v>
      </c>
      <c r="H880" s="1">
        <f t="shared" si="53"/>
        <v>0</v>
      </c>
      <c r="J880" s="1">
        <f t="shared" si="54"/>
        <v>0</v>
      </c>
      <c r="L880" s="1">
        <f t="shared" si="55"/>
        <v>0</v>
      </c>
    </row>
    <row r="881" spans="6:12" ht="18" customHeight="1" x14ac:dyDescent="0.3">
      <c r="F881" s="1">
        <f t="shared" si="56"/>
        <v>0</v>
      </c>
      <c r="H881" s="1">
        <f t="shared" si="53"/>
        <v>0</v>
      </c>
      <c r="J881" s="1">
        <f t="shared" si="54"/>
        <v>0</v>
      </c>
      <c r="L881" s="1">
        <f t="shared" si="55"/>
        <v>0</v>
      </c>
    </row>
    <row r="882" spans="6:12" ht="18" customHeight="1" x14ac:dyDescent="0.3">
      <c r="F882" s="1">
        <f t="shared" si="56"/>
        <v>0</v>
      </c>
      <c r="H882" s="1">
        <f t="shared" si="53"/>
        <v>0</v>
      </c>
      <c r="J882" s="1">
        <f t="shared" si="54"/>
        <v>0</v>
      </c>
      <c r="L882" s="1">
        <f t="shared" si="55"/>
        <v>0</v>
      </c>
    </row>
    <row r="883" spans="6:12" ht="18" customHeight="1" x14ac:dyDescent="0.3">
      <c r="F883" s="1">
        <f t="shared" si="56"/>
        <v>0</v>
      </c>
      <c r="H883" s="1">
        <f t="shared" si="53"/>
        <v>0</v>
      </c>
      <c r="J883" s="1">
        <f t="shared" si="54"/>
        <v>0</v>
      </c>
      <c r="L883" s="1">
        <f t="shared" si="55"/>
        <v>0</v>
      </c>
    </row>
    <row r="884" spans="6:12" ht="18" customHeight="1" x14ac:dyDescent="0.3">
      <c r="F884" s="1">
        <f t="shared" si="56"/>
        <v>0</v>
      </c>
      <c r="H884" s="1">
        <f t="shared" si="53"/>
        <v>0</v>
      </c>
      <c r="J884" s="1">
        <f t="shared" si="54"/>
        <v>0</v>
      </c>
      <c r="L884" s="1">
        <f t="shared" si="55"/>
        <v>0</v>
      </c>
    </row>
    <row r="885" spans="6:12" ht="18" customHeight="1" x14ac:dyDescent="0.3">
      <c r="F885" s="1">
        <f t="shared" si="56"/>
        <v>0</v>
      </c>
      <c r="H885" s="1">
        <f t="shared" si="53"/>
        <v>0</v>
      </c>
      <c r="J885" s="1">
        <f t="shared" si="54"/>
        <v>0</v>
      </c>
      <c r="L885" s="1">
        <f t="shared" si="55"/>
        <v>0</v>
      </c>
    </row>
    <row r="886" spans="6:12" ht="18" customHeight="1" x14ac:dyDescent="0.3">
      <c r="F886" s="1">
        <f t="shared" si="56"/>
        <v>0</v>
      </c>
      <c r="H886" s="1">
        <f t="shared" si="53"/>
        <v>0</v>
      </c>
      <c r="J886" s="1">
        <f t="shared" si="54"/>
        <v>0</v>
      </c>
      <c r="L886" s="1">
        <f t="shared" si="55"/>
        <v>0</v>
      </c>
    </row>
    <row r="887" spans="6:12" ht="18" customHeight="1" x14ac:dyDescent="0.3">
      <c r="F887" s="1">
        <f t="shared" si="56"/>
        <v>0</v>
      </c>
      <c r="H887" s="1">
        <f t="shared" si="53"/>
        <v>0</v>
      </c>
      <c r="J887" s="1">
        <f t="shared" si="54"/>
        <v>0</v>
      </c>
      <c r="L887" s="1">
        <f t="shared" si="55"/>
        <v>0</v>
      </c>
    </row>
    <row r="888" spans="6:12" ht="18" customHeight="1" x14ac:dyDescent="0.3">
      <c r="F888" s="1">
        <f t="shared" si="56"/>
        <v>0</v>
      </c>
      <c r="H888" s="1">
        <f t="shared" si="53"/>
        <v>0</v>
      </c>
      <c r="J888" s="1">
        <f t="shared" si="54"/>
        <v>0</v>
      </c>
      <c r="L888" s="1">
        <f t="shared" si="55"/>
        <v>0</v>
      </c>
    </row>
    <row r="889" spans="6:12" ht="18" customHeight="1" x14ac:dyDescent="0.3">
      <c r="F889" s="1">
        <f t="shared" si="56"/>
        <v>0</v>
      </c>
      <c r="H889" s="1">
        <f t="shared" si="53"/>
        <v>0</v>
      </c>
      <c r="J889" s="1">
        <f t="shared" si="54"/>
        <v>0</v>
      </c>
      <c r="L889" s="1">
        <f t="shared" si="55"/>
        <v>0</v>
      </c>
    </row>
    <row r="890" spans="6:12" ht="18" customHeight="1" x14ac:dyDescent="0.3">
      <c r="F890" s="1">
        <f t="shared" si="56"/>
        <v>0</v>
      </c>
      <c r="H890" s="1">
        <f t="shared" si="53"/>
        <v>0</v>
      </c>
      <c r="J890" s="1">
        <f t="shared" si="54"/>
        <v>0</v>
      </c>
      <c r="L890" s="1">
        <f t="shared" si="55"/>
        <v>0</v>
      </c>
    </row>
    <row r="891" spans="6:12" ht="18" customHeight="1" x14ac:dyDescent="0.3">
      <c r="F891" s="1">
        <f t="shared" si="56"/>
        <v>0</v>
      </c>
      <c r="H891" s="1">
        <f t="shared" si="53"/>
        <v>0</v>
      </c>
      <c r="J891" s="1">
        <f t="shared" si="54"/>
        <v>0</v>
      </c>
      <c r="L891" s="1">
        <f t="shared" si="55"/>
        <v>0</v>
      </c>
    </row>
    <row r="892" spans="6:12" ht="18" customHeight="1" x14ac:dyDescent="0.3">
      <c r="F892" s="1">
        <f t="shared" si="56"/>
        <v>0</v>
      </c>
      <c r="H892" s="1">
        <f t="shared" si="53"/>
        <v>0</v>
      </c>
      <c r="J892" s="1">
        <f t="shared" si="54"/>
        <v>0</v>
      </c>
      <c r="L892" s="1">
        <f t="shared" si="55"/>
        <v>0</v>
      </c>
    </row>
    <row r="893" spans="6:12" ht="18" customHeight="1" x14ac:dyDescent="0.3">
      <c r="F893" s="1">
        <f t="shared" si="56"/>
        <v>0</v>
      </c>
      <c r="H893" s="1">
        <f t="shared" si="53"/>
        <v>0</v>
      </c>
      <c r="J893" s="1">
        <f t="shared" si="54"/>
        <v>0</v>
      </c>
      <c r="L893" s="1">
        <f t="shared" si="55"/>
        <v>0</v>
      </c>
    </row>
    <row r="894" spans="6:12" ht="18" customHeight="1" x14ac:dyDescent="0.3">
      <c r="F894" s="1">
        <f t="shared" si="56"/>
        <v>0</v>
      </c>
      <c r="H894" s="1">
        <f t="shared" si="53"/>
        <v>0</v>
      </c>
      <c r="J894" s="1">
        <f t="shared" si="54"/>
        <v>0</v>
      </c>
      <c r="L894" s="1">
        <f t="shared" si="55"/>
        <v>0</v>
      </c>
    </row>
    <row r="895" spans="6:12" ht="18" customHeight="1" x14ac:dyDescent="0.3">
      <c r="F895" s="1">
        <f t="shared" si="56"/>
        <v>0</v>
      </c>
      <c r="H895" s="1">
        <f t="shared" si="53"/>
        <v>0</v>
      </c>
      <c r="J895" s="1">
        <f t="shared" si="54"/>
        <v>0</v>
      </c>
      <c r="L895" s="1">
        <f t="shared" si="55"/>
        <v>0</v>
      </c>
    </row>
    <row r="896" spans="6:12" ht="18" customHeight="1" x14ac:dyDescent="0.3">
      <c r="F896" s="1">
        <f t="shared" si="56"/>
        <v>0</v>
      </c>
      <c r="H896" s="1">
        <f t="shared" si="53"/>
        <v>0</v>
      </c>
      <c r="J896" s="1">
        <f t="shared" si="54"/>
        <v>0</v>
      </c>
      <c r="L896" s="1">
        <f t="shared" si="55"/>
        <v>0</v>
      </c>
    </row>
    <row r="897" spans="6:12" ht="18" customHeight="1" x14ac:dyDescent="0.3">
      <c r="F897" s="1">
        <f t="shared" si="56"/>
        <v>0</v>
      </c>
      <c r="H897" s="1">
        <f t="shared" si="53"/>
        <v>0</v>
      </c>
      <c r="J897" s="1">
        <f t="shared" si="54"/>
        <v>0</v>
      </c>
      <c r="L897" s="1">
        <f t="shared" si="55"/>
        <v>0</v>
      </c>
    </row>
    <row r="898" spans="6:12" ht="18" customHeight="1" x14ac:dyDescent="0.3">
      <c r="F898" s="1">
        <f t="shared" si="56"/>
        <v>0</v>
      </c>
      <c r="H898" s="1">
        <f t="shared" si="53"/>
        <v>0</v>
      </c>
      <c r="J898" s="1">
        <f t="shared" si="54"/>
        <v>0</v>
      </c>
      <c r="L898" s="1">
        <f t="shared" si="55"/>
        <v>0</v>
      </c>
    </row>
    <row r="899" spans="6:12" ht="18" customHeight="1" x14ac:dyDescent="0.3">
      <c r="F899" s="1">
        <f t="shared" si="56"/>
        <v>0</v>
      </c>
      <c r="H899" s="1">
        <f t="shared" si="53"/>
        <v>0</v>
      </c>
      <c r="J899" s="1">
        <f t="shared" si="54"/>
        <v>0</v>
      </c>
      <c r="L899" s="1">
        <f t="shared" si="55"/>
        <v>0</v>
      </c>
    </row>
    <row r="900" spans="6:12" ht="18" customHeight="1" x14ac:dyDescent="0.3">
      <c r="F900" s="1">
        <f t="shared" si="56"/>
        <v>0</v>
      </c>
      <c r="H900" s="1">
        <f t="shared" si="53"/>
        <v>0</v>
      </c>
      <c r="J900" s="1">
        <f t="shared" si="54"/>
        <v>0</v>
      </c>
      <c r="L900" s="1">
        <f t="shared" si="55"/>
        <v>0</v>
      </c>
    </row>
    <row r="901" spans="6:12" ht="18" customHeight="1" x14ac:dyDescent="0.3">
      <c r="F901" s="1">
        <f t="shared" si="56"/>
        <v>0</v>
      </c>
      <c r="H901" s="1">
        <f t="shared" ref="H901:H964" si="57">ROUNDUP(D901*G901,0)</f>
        <v>0</v>
      </c>
      <c r="J901" s="1">
        <f t="shared" ref="J901:J964" si="58">ROUNDUP(D901*I901,0)</f>
        <v>0</v>
      </c>
      <c r="L901" s="1">
        <f t="shared" ref="L901:L964" si="59">ROUNDUP(D901*K901,0)</f>
        <v>0</v>
      </c>
    </row>
    <row r="902" spans="6:12" ht="18" customHeight="1" x14ac:dyDescent="0.3">
      <c r="F902" s="1">
        <f t="shared" si="56"/>
        <v>0</v>
      </c>
      <c r="H902" s="1">
        <f t="shared" si="57"/>
        <v>0</v>
      </c>
      <c r="J902" s="1">
        <f t="shared" si="58"/>
        <v>0</v>
      </c>
      <c r="L902" s="1">
        <f t="shared" si="59"/>
        <v>0</v>
      </c>
    </row>
    <row r="903" spans="6:12" ht="18" customHeight="1" x14ac:dyDescent="0.3">
      <c r="F903" s="1">
        <f t="shared" si="56"/>
        <v>0</v>
      </c>
      <c r="H903" s="1">
        <f t="shared" si="57"/>
        <v>0</v>
      </c>
      <c r="J903" s="1">
        <f t="shared" si="58"/>
        <v>0</v>
      </c>
      <c r="L903" s="1">
        <f t="shared" si="59"/>
        <v>0</v>
      </c>
    </row>
    <row r="904" spans="6:12" ht="18" customHeight="1" x14ac:dyDescent="0.3">
      <c r="F904" s="1">
        <f t="shared" si="56"/>
        <v>0</v>
      </c>
      <c r="H904" s="1">
        <f t="shared" si="57"/>
        <v>0</v>
      </c>
      <c r="J904" s="1">
        <f t="shared" si="58"/>
        <v>0</v>
      </c>
      <c r="L904" s="1">
        <f t="shared" si="59"/>
        <v>0</v>
      </c>
    </row>
    <row r="905" spans="6:12" ht="18" customHeight="1" x14ac:dyDescent="0.3">
      <c r="F905" s="1">
        <f t="shared" si="56"/>
        <v>0</v>
      </c>
      <c r="H905" s="1">
        <f t="shared" si="57"/>
        <v>0</v>
      </c>
      <c r="J905" s="1">
        <f t="shared" si="58"/>
        <v>0</v>
      </c>
      <c r="L905" s="1">
        <f t="shared" si="59"/>
        <v>0</v>
      </c>
    </row>
    <row r="906" spans="6:12" ht="18" customHeight="1" x14ac:dyDescent="0.3">
      <c r="F906" s="1">
        <f t="shared" si="56"/>
        <v>0</v>
      </c>
      <c r="H906" s="1">
        <f t="shared" si="57"/>
        <v>0</v>
      </c>
      <c r="J906" s="1">
        <f t="shared" si="58"/>
        <v>0</v>
      </c>
      <c r="L906" s="1">
        <f t="shared" si="59"/>
        <v>0</v>
      </c>
    </row>
    <row r="907" spans="6:12" ht="18" customHeight="1" x14ac:dyDescent="0.3">
      <c r="F907" s="1">
        <f t="shared" si="56"/>
        <v>0</v>
      </c>
      <c r="H907" s="1">
        <f t="shared" si="57"/>
        <v>0</v>
      </c>
      <c r="J907" s="1">
        <f t="shared" si="58"/>
        <v>0</v>
      </c>
      <c r="L907" s="1">
        <f t="shared" si="59"/>
        <v>0</v>
      </c>
    </row>
    <row r="908" spans="6:12" ht="18" customHeight="1" x14ac:dyDescent="0.3">
      <c r="F908" s="1">
        <f t="shared" si="56"/>
        <v>0</v>
      </c>
      <c r="H908" s="1">
        <f t="shared" si="57"/>
        <v>0</v>
      </c>
      <c r="J908" s="1">
        <f t="shared" si="58"/>
        <v>0</v>
      </c>
      <c r="L908" s="1">
        <f t="shared" si="59"/>
        <v>0</v>
      </c>
    </row>
    <row r="909" spans="6:12" ht="18" customHeight="1" x14ac:dyDescent="0.3">
      <c r="F909" s="1">
        <f t="shared" si="56"/>
        <v>0</v>
      </c>
      <c r="H909" s="1">
        <f t="shared" si="57"/>
        <v>0</v>
      </c>
      <c r="J909" s="1">
        <f t="shared" si="58"/>
        <v>0</v>
      </c>
      <c r="L909" s="1">
        <f t="shared" si="59"/>
        <v>0</v>
      </c>
    </row>
    <row r="910" spans="6:12" ht="18" customHeight="1" x14ac:dyDescent="0.3">
      <c r="F910" s="1">
        <f t="shared" si="56"/>
        <v>0</v>
      </c>
      <c r="H910" s="1">
        <f t="shared" si="57"/>
        <v>0</v>
      </c>
      <c r="J910" s="1">
        <f t="shared" si="58"/>
        <v>0</v>
      </c>
      <c r="L910" s="1">
        <f t="shared" si="59"/>
        <v>0</v>
      </c>
    </row>
    <row r="911" spans="6:12" ht="18" customHeight="1" x14ac:dyDescent="0.3">
      <c r="F911" s="1">
        <f t="shared" si="56"/>
        <v>0</v>
      </c>
      <c r="H911" s="1">
        <f t="shared" si="57"/>
        <v>0</v>
      </c>
      <c r="J911" s="1">
        <f t="shared" si="58"/>
        <v>0</v>
      </c>
      <c r="L911" s="1">
        <f t="shared" si="59"/>
        <v>0</v>
      </c>
    </row>
    <row r="912" spans="6:12" ht="18" customHeight="1" x14ac:dyDescent="0.3">
      <c r="F912" s="1">
        <f t="shared" si="56"/>
        <v>0</v>
      </c>
      <c r="H912" s="1">
        <f t="shared" si="57"/>
        <v>0</v>
      </c>
      <c r="J912" s="1">
        <f t="shared" si="58"/>
        <v>0</v>
      </c>
      <c r="L912" s="1">
        <f t="shared" si="59"/>
        <v>0</v>
      </c>
    </row>
    <row r="913" spans="6:12" ht="18" customHeight="1" x14ac:dyDescent="0.3">
      <c r="F913" s="1">
        <f t="shared" si="56"/>
        <v>0</v>
      </c>
      <c r="H913" s="1">
        <f t="shared" si="57"/>
        <v>0</v>
      </c>
      <c r="J913" s="1">
        <f t="shared" si="58"/>
        <v>0</v>
      </c>
      <c r="L913" s="1">
        <f t="shared" si="59"/>
        <v>0</v>
      </c>
    </row>
    <row r="914" spans="6:12" ht="18" customHeight="1" x14ac:dyDescent="0.3">
      <c r="F914" s="1">
        <f t="shared" si="56"/>
        <v>0</v>
      </c>
      <c r="H914" s="1">
        <f t="shared" si="57"/>
        <v>0</v>
      </c>
      <c r="J914" s="1">
        <f t="shared" si="58"/>
        <v>0</v>
      </c>
      <c r="L914" s="1">
        <f t="shared" si="59"/>
        <v>0</v>
      </c>
    </row>
    <row r="915" spans="6:12" ht="18" customHeight="1" x14ac:dyDescent="0.3">
      <c r="F915" s="1">
        <f t="shared" si="56"/>
        <v>0</v>
      </c>
      <c r="H915" s="1">
        <f t="shared" si="57"/>
        <v>0</v>
      </c>
      <c r="J915" s="1">
        <f t="shared" si="58"/>
        <v>0</v>
      </c>
      <c r="L915" s="1">
        <f t="shared" si="59"/>
        <v>0</v>
      </c>
    </row>
    <row r="916" spans="6:12" ht="18" customHeight="1" x14ac:dyDescent="0.3">
      <c r="F916" s="1">
        <f t="shared" si="56"/>
        <v>0</v>
      </c>
      <c r="H916" s="1">
        <f t="shared" si="57"/>
        <v>0</v>
      </c>
      <c r="J916" s="1">
        <f t="shared" si="58"/>
        <v>0</v>
      </c>
      <c r="L916" s="1">
        <f t="shared" si="59"/>
        <v>0</v>
      </c>
    </row>
    <row r="917" spans="6:12" ht="18" customHeight="1" x14ac:dyDescent="0.3">
      <c r="F917" s="1">
        <f t="shared" si="56"/>
        <v>0</v>
      </c>
      <c r="H917" s="1">
        <f t="shared" si="57"/>
        <v>0</v>
      </c>
      <c r="J917" s="1">
        <f t="shared" si="58"/>
        <v>0</v>
      </c>
      <c r="L917" s="1">
        <f t="shared" si="59"/>
        <v>0</v>
      </c>
    </row>
    <row r="918" spans="6:12" ht="18" customHeight="1" x14ac:dyDescent="0.3">
      <c r="F918" s="1">
        <f t="shared" si="56"/>
        <v>0</v>
      </c>
      <c r="H918" s="1">
        <f t="shared" si="57"/>
        <v>0</v>
      </c>
      <c r="J918" s="1">
        <f t="shared" si="58"/>
        <v>0</v>
      </c>
      <c r="L918" s="1">
        <f t="shared" si="59"/>
        <v>0</v>
      </c>
    </row>
    <row r="919" spans="6:12" ht="18" customHeight="1" x14ac:dyDescent="0.3">
      <c r="F919" s="1">
        <f t="shared" si="56"/>
        <v>0</v>
      </c>
      <c r="H919" s="1">
        <f t="shared" si="57"/>
        <v>0</v>
      </c>
      <c r="J919" s="1">
        <f t="shared" si="58"/>
        <v>0</v>
      </c>
      <c r="L919" s="1">
        <f t="shared" si="59"/>
        <v>0</v>
      </c>
    </row>
    <row r="920" spans="6:12" ht="18" customHeight="1" x14ac:dyDescent="0.3">
      <c r="F920" s="1">
        <f t="shared" si="56"/>
        <v>0</v>
      </c>
      <c r="H920" s="1">
        <f t="shared" si="57"/>
        <v>0</v>
      </c>
      <c r="J920" s="1">
        <f t="shared" si="58"/>
        <v>0</v>
      </c>
      <c r="L920" s="1">
        <f t="shared" si="59"/>
        <v>0</v>
      </c>
    </row>
    <row r="921" spans="6:12" ht="18" customHeight="1" x14ac:dyDescent="0.3">
      <c r="F921" s="1">
        <f t="shared" si="56"/>
        <v>0</v>
      </c>
      <c r="H921" s="1">
        <f t="shared" si="57"/>
        <v>0</v>
      </c>
      <c r="J921" s="1">
        <f t="shared" si="58"/>
        <v>0</v>
      </c>
      <c r="L921" s="1">
        <f t="shared" si="59"/>
        <v>0</v>
      </c>
    </row>
    <row r="922" spans="6:12" ht="18" customHeight="1" x14ac:dyDescent="0.3">
      <c r="F922" s="1">
        <f t="shared" si="56"/>
        <v>0</v>
      </c>
      <c r="H922" s="1">
        <f t="shared" si="57"/>
        <v>0</v>
      </c>
      <c r="J922" s="1">
        <f t="shared" si="58"/>
        <v>0</v>
      </c>
      <c r="L922" s="1">
        <f t="shared" si="59"/>
        <v>0</v>
      </c>
    </row>
    <row r="923" spans="6:12" ht="18" customHeight="1" x14ac:dyDescent="0.3">
      <c r="F923" s="1">
        <f t="shared" si="56"/>
        <v>0</v>
      </c>
      <c r="H923" s="1">
        <f t="shared" si="57"/>
        <v>0</v>
      </c>
      <c r="J923" s="1">
        <f t="shared" si="58"/>
        <v>0</v>
      </c>
      <c r="L923" s="1">
        <f t="shared" si="59"/>
        <v>0</v>
      </c>
    </row>
    <row r="924" spans="6:12" ht="18" customHeight="1" x14ac:dyDescent="0.3">
      <c r="F924" s="1">
        <f t="shared" si="56"/>
        <v>0</v>
      </c>
      <c r="H924" s="1">
        <f t="shared" si="57"/>
        <v>0</v>
      </c>
      <c r="J924" s="1">
        <f t="shared" si="58"/>
        <v>0</v>
      </c>
      <c r="L924" s="1">
        <f t="shared" si="59"/>
        <v>0</v>
      </c>
    </row>
    <row r="925" spans="6:12" ht="18" customHeight="1" x14ac:dyDescent="0.3">
      <c r="F925" s="1">
        <f t="shared" si="56"/>
        <v>0</v>
      </c>
      <c r="H925" s="1">
        <f t="shared" si="57"/>
        <v>0</v>
      </c>
      <c r="J925" s="1">
        <f t="shared" si="58"/>
        <v>0</v>
      </c>
      <c r="L925" s="1">
        <f t="shared" si="59"/>
        <v>0</v>
      </c>
    </row>
    <row r="926" spans="6:12" ht="18" customHeight="1" x14ac:dyDescent="0.3">
      <c r="F926" s="1">
        <f t="shared" si="56"/>
        <v>0</v>
      </c>
      <c r="H926" s="1">
        <f t="shared" si="57"/>
        <v>0</v>
      </c>
      <c r="J926" s="1">
        <f t="shared" si="58"/>
        <v>0</v>
      </c>
      <c r="L926" s="1">
        <f t="shared" si="59"/>
        <v>0</v>
      </c>
    </row>
    <row r="927" spans="6:12" ht="18" customHeight="1" x14ac:dyDescent="0.3">
      <c r="F927" s="1">
        <f t="shared" si="56"/>
        <v>0</v>
      </c>
      <c r="H927" s="1">
        <f t="shared" si="57"/>
        <v>0</v>
      </c>
      <c r="J927" s="1">
        <f t="shared" si="58"/>
        <v>0</v>
      </c>
      <c r="L927" s="1">
        <f t="shared" si="59"/>
        <v>0</v>
      </c>
    </row>
    <row r="928" spans="6:12" ht="18" customHeight="1" x14ac:dyDescent="0.3">
      <c r="F928" s="1">
        <f t="shared" si="56"/>
        <v>0</v>
      </c>
      <c r="H928" s="1">
        <f t="shared" si="57"/>
        <v>0</v>
      </c>
      <c r="J928" s="1">
        <f t="shared" si="58"/>
        <v>0</v>
      </c>
      <c r="L928" s="1">
        <f t="shared" si="59"/>
        <v>0</v>
      </c>
    </row>
    <row r="929" spans="6:12" ht="18" customHeight="1" x14ac:dyDescent="0.3">
      <c r="F929" s="1">
        <f t="shared" si="56"/>
        <v>0</v>
      </c>
      <c r="H929" s="1">
        <f t="shared" si="57"/>
        <v>0</v>
      </c>
      <c r="J929" s="1">
        <f t="shared" si="58"/>
        <v>0</v>
      </c>
      <c r="L929" s="1">
        <f t="shared" si="59"/>
        <v>0</v>
      </c>
    </row>
    <row r="930" spans="6:12" ht="18" customHeight="1" x14ac:dyDescent="0.3">
      <c r="F930" s="1">
        <f t="shared" si="56"/>
        <v>0</v>
      </c>
      <c r="H930" s="1">
        <f t="shared" si="57"/>
        <v>0</v>
      </c>
      <c r="J930" s="1">
        <f t="shared" si="58"/>
        <v>0</v>
      </c>
      <c r="L930" s="1">
        <f t="shared" si="59"/>
        <v>0</v>
      </c>
    </row>
    <row r="931" spans="6:12" ht="18" customHeight="1" x14ac:dyDescent="0.3">
      <c r="F931" s="1">
        <f t="shared" si="56"/>
        <v>0</v>
      </c>
      <c r="H931" s="1">
        <f t="shared" si="57"/>
        <v>0</v>
      </c>
      <c r="J931" s="1">
        <f t="shared" si="58"/>
        <v>0</v>
      </c>
      <c r="L931" s="1">
        <f t="shared" si="59"/>
        <v>0</v>
      </c>
    </row>
    <row r="932" spans="6:12" ht="18" customHeight="1" x14ac:dyDescent="0.3">
      <c r="F932" s="1">
        <f t="shared" si="56"/>
        <v>0</v>
      </c>
      <c r="H932" s="1">
        <f t="shared" si="57"/>
        <v>0</v>
      </c>
      <c r="J932" s="1">
        <f t="shared" si="58"/>
        <v>0</v>
      </c>
      <c r="L932" s="1">
        <f t="shared" si="59"/>
        <v>0</v>
      </c>
    </row>
    <row r="933" spans="6:12" ht="18" customHeight="1" x14ac:dyDescent="0.3">
      <c r="F933" s="1">
        <f t="shared" si="56"/>
        <v>0</v>
      </c>
      <c r="H933" s="1">
        <f t="shared" si="57"/>
        <v>0</v>
      </c>
      <c r="J933" s="1">
        <f t="shared" si="58"/>
        <v>0</v>
      </c>
      <c r="L933" s="1">
        <f t="shared" si="59"/>
        <v>0</v>
      </c>
    </row>
    <row r="934" spans="6:12" ht="18" customHeight="1" x14ac:dyDescent="0.3">
      <c r="F934" s="1">
        <f t="shared" si="56"/>
        <v>0</v>
      </c>
      <c r="H934" s="1">
        <f t="shared" si="57"/>
        <v>0</v>
      </c>
      <c r="J934" s="1">
        <f t="shared" si="58"/>
        <v>0</v>
      </c>
      <c r="L934" s="1">
        <f t="shared" si="59"/>
        <v>0</v>
      </c>
    </row>
    <row r="935" spans="6:12" ht="18" customHeight="1" x14ac:dyDescent="0.3">
      <c r="F935" s="1">
        <f t="shared" si="56"/>
        <v>0</v>
      </c>
      <c r="H935" s="1">
        <f t="shared" si="57"/>
        <v>0</v>
      </c>
      <c r="J935" s="1">
        <f t="shared" si="58"/>
        <v>0</v>
      </c>
      <c r="L935" s="1">
        <f t="shared" si="59"/>
        <v>0</v>
      </c>
    </row>
    <row r="936" spans="6:12" ht="18" customHeight="1" x14ac:dyDescent="0.3">
      <c r="F936" s="1">
        <f t="shared" si="56"/>
        <v>0</v>
      </c>
      <c r="H936" s="1">
        <f t="shared" si="57"/>
        <v>0</v>
      </c>
      <c r="J936" s="1">
        <f t="shared" si="58"/>
        <v>0</v>
      </c>
      <c r="L936" s="1">
        <f t="shared" si="59"/>
        <v>0</v>
      </c>
    </row>
    <row r="937" spans="6:12" ht="18" customHeight="1" x14ac:dyDescent="0.3">
      <c r="F937" s="1">
        <f t="shared" ref="F937:F1000" si="60">SUM(H937,J937,L937)</f>
        <v>0</v>
      </c>
      <c r="H937" s="1">
        <f t="shared" si="57"/>
        <v>0</v>
      </c>
      <c r="J937" s="1">
        <f t="shared" si="58"/>
        <v>0</v>
      </c>
      <c r="L937" s="1">
        <f t="shared" si="59"/>
        <v>0</v>
      </c>
    </row>
    <row r="938" spans="6:12" ht="18" customHeight="1" x14ac:dyDescent="0.3">
      <c r="F938" s="1">
        <f t="shared" si="60"/>
        <v>0</v>
      </c>
      <c r="H938" s="1">
        <f t="shared" si="57"/>
        <v>0</v>
      </c>
      <c r="J938" s="1">
        <f t="shared" si="58"/>
        <v>0</v>
      </c>
      <c r="L938" s="1">
        <f t="shared" si="59"/>
        <v>0</v>
      </c>
    </row>
    <row r="939" spans="6:12" ht="18" customHeight="1" x14ac:dyDescent="0.3">
      <c r="F939" s="1">
        <f t="shared" si="60"/>
        <v>0</v>
      </c>
      <c r="H939" s="1">
        <f t="shared" si="57"/>
        <v>0</v>
      </c>
      <c r="J939" s="1">
        <f t="shared" si="58"/>
        <v>0</v>
      </c>
      <c r="L939" s="1">
        <f t="shared" si="59"/>
        <v>0</v>
      </c>
    </row>
    <row r="940" spans="6:12" ht="18" customHeight="1" x14ac:dyDescent="0.3">
      <c r="F940" s="1">
        <f t="shared" si="60"/>
        <v>0</v>
      </c>
      <c r="H940" s="1">
        <f t="shared" si="57"/>
        <v>0</v>
      </c>
      <c r="J940" s="1">
        <f t="shared" si="58"/>
        <v>0</v>
      </c>
      <c r="L940" s="1">
        <f t="shared" si="59"/>
        <v>0</v>
      </c>
    </row>
    <row r="941" spans="6:12" ht="18" customHeight="1" x14ac:dyDescent="0.3">
      <c r="F941" s="1">
        <f t="shared" si="60"/>
        <v>0</v>
      </c>
      <c r="H941" s="1">
        <f t="shared" si="57"/>
        <v>0</v>
      </c>
      <c r="J941" s="1">
        <f t="shared" si="58"/>
        <v>0</v>
      </c>
      <c r="L941" s="1">
        <f t="shared" si="59"/>
        <v>0</v>
      </c>
    </row>
    <row r="942" spans="6:12" ht="18" customHeight="1" x14ac:dyDescent="0.3">
      <c r="F942" s="1">
        <f t="shared" si="60"/>
        <v>0</v>
      </c>
      <c r="H942" s="1">
        <f t="shared" si="57"/>
        <v>0</v>
      </c>
      <c r="J942" s="1">
        <f t="shared" si="58"/>
        <v>0</v>
      </c>
      <c r="L942" s="1">
        <f t="shared" si="59"/>
        <v>0</v>
      </c>
    </row>
    <row r="943" spans="6:12" ht="18" customHeight="1" x14ac:dyDescent="0.3">
      <c r="F943" s="1">
        <f t="shared" si="60"/>
        <v>0</v>
      </c>
      <c r="H943" s="1">
        <f t="shared" si="57"/>
        <v>0</v>
      </c>
      <c r="J943" s="1">
        <f t="shared" si="58"/>
        <v>0</v>
      </c>
      <c r="L943" s="1">
        <f t="shared" si="59"/>
        <v>0</v>
      </c>
    </row>
    <row r="944" spans="6:12" ht="18" customHeight="1" x14ac:dyDescent="0.3">
      <c r="F944" s="1">
        <f t="shared" si="60"/>
        <v>0</v>
      </c>
      <c r="H944" s="1">
        <f t="shared" si="57"/>
        <v>0</v>
      </c>
      <c r="J944" s="1">
        <f t="shared" si="58"/>
        <v>0</v>
      </c>
      <c r="L944" s="1">
        <f t="shared" si="59"/>
        <v>0</v>
      </c>
    </row>
    <row r="945" spans="6:12" ht="18" customHeight="1" x14ac:dyDescent="0.3">
      <c r="F945" s="1">
        <f t="shared" si="60"/>
        <v>0</v>
      </c>
      <c r="H945" s="1">
        <f t="shared" si="57"/>
        <v>0</v>
      </c>
      <c r="J945" s="1">
        <f t="shared" si="58"/>
        <v>0</v>
      </c>
      <c r="L945" s="1">
        <f t="shared" si="59"/>
        <v>0</v>
      </c>
    </row>
    <row r="946" spans="6:12" ht="18" customHeight="1" x14ac:dyDescent="0.3">
      <c r="F946" s="1">
        <f t="shared" si="60"/>
        <v>0</v>
      </c>
      <c r="H946" s="1">
        <f t="shared" si="57"/>
        <v>0</v>
      </c>
      <c r="J946" s="1">
        <f t="shared" si="58"/>
        <v>0</v>
      </c>
      <c r="L946" s="1">
        <f t="shared" si="59"/>
        <v>0</v>
      </c>
    </row>
    <row r="947" spans="6:12" ht="18" customHeight="1" x14ac:dyDescent="0.3">
      <c r="F947" s="1">
        <f t="shared" si="60"/>
        <v>0</v>
      </c>
      <c r="H947" s="1">
        <f t="shared" si="57"/>
        <v>0</v>
      </c>
      <c r="J947" s="1">
        <f t="shared" si="58"/>
        <v>0</v>
      </c>
      <c r="L947" s="1">
        <f t="shared" si="59"/>
        <v>0</v>
      </c>
    </row>
    <row r="948" spans="6:12" ht="18" customHeight="1" x14ac:dyDescent="0.3">
      <c r="F948" s="1">
        <f t="shared" si="60"/>
        <v>0</v>
      </c>
      <c r="H948" s="1">
        <f t="shared" si="57"/>
        <v>0</v>
      </c>
      <c r="J948" s="1">
        <f t="shared" si="58"/>
        <v>0</v>
      </c>
      <c r="L948" s="1">
        <f t="shared" si="59"/>
        <v>0</v>
      </c>
    </row>
    <row r="949" spans="6:12" ht="18" customHeight="1" x14ac:dyDescent="0.3">
      <c r="F949" s="1">
        <f t="shared" si="60"/>
        <v>0</v>
      </c>
      <c r="H949" s="1">
        <f t="shared" si="57"/>
        <v>0</v>
      </c>
      <c r="J949" s="1">
        <f t="shared" si="58"/>
        <v>0</v>
      </c>
      <c r="L949" s="1">
        <f t="shared" si="59"/>
        <v>0</v>
      </c>
    </row>
    <row r="950" spans="6:12" ht="18" customHeight="1" x14ac:dyDescent="0.3">
      <c r="F950" s="1">
        <f t="shared" si="60"/>
        <v>0</v>
      </c>
      <c r="H950" s="1">
        <f t="shared" si="57"/>
        <v>0</v>
      </c>
      <c r="J950" s="1">
        <f t="shared" si="58"/>
        <v>0</v>
      </c>
      <c r="L950" s="1">
        <f t="shared" si="59"/>
        <v>0</v>
      </c>
    </row>
    <row r="951" spans="6:12" ht="18" customHeight="1" x14ac:dyDescent="0.3">
      <c r="F951" s="1">
        <f t="shared" si="60"/>
        <v>0</v>
      </c>
      <c r="H951" s="1">
        <f t="shared" si="57"/>
        <v>0</v>
      </c>
      <c r="J951" s="1">
        <f t="shared" si="58"/>
        <v>0</v>
      </c>
      <c r="L951" s="1">
        <f t="shared" si="59"/>
        <v>0</v>
      </c>
    </row>
    <row r="952" spans="6:12" ht="18" customHeight="1" x14ac:dyDescent="0.3">
      <c r="F952" s="1">
        <f t="shared" si="60"/>
        <v>0</v>
      </c>
      <c r="H952" s="1">
        <f t="shared" si="57"/>
        <v>0</v>
      </c>
      <c r="J952" s="1">
        <f t="shared" si="58"/>
        <v>0</v>
      </c>
      <c r="L952" s="1">
        <f t="shared" si="59"/>
        <v>0</v>
      </c>
    </row>
    <row r="953" spans="6:12" ht="18" customHeight="1" x14ac:dyDescent="0.3">
      <c r="F953" s="1">
        <f t="shared" si="60"/>
        <v>0</v>
      </c>
      <c r="H953" s="1">
        <f t="shared" si="57"/>
        <v>0</v>
      </c>
      <c r="J953" s="1">
        <f t="shared" si="58"/>
        <v>0</v>
      </c>
      <c r="L953" s="1">
        <f t="shared" si="59"/>
        <v>0</v>
      </c>
    </row>
    <row r="954" spans="6:12" ht="18" customHeight="1" x14ac:dyDescent="0.3">
      <c r="F954" s="1">
        <f t="shared" si="60"/>
        <v>0</v>
      </c>
      <c r="H954" s="1">
        <f t="shared" si="57"/>
        <v>0</v>
      </c>
      <c r="J954" s="1">
        <f t="shared" si="58"/>
        <v>0</v>
      </c>
      <c r="L954" s="1">
        <f t="shared" si="59"/>
        <v>0</v>
      </c>
    </row>
    <row r="955" spans="6:12" ht="18" customHeight="1" x14ac:dyDescent="0.3">
      <c r="F955" s="1">
        <f t="shared" si="60"/>
        <v>0</v>
      </c>
      <c r="H955" s="1">
        <f t="shared" si="57"/>
        <v>0</v>
      </c>
      <c r="J955" s="1">
        <f t="shared" si="58"/>
        <v>0</v>
      </c>
      <c r="L955" s="1">
        <f t="shared" si="59"/>
        <v>0</v>
      </c>
    </row>
    <row r="956" spans="6:12" ht="18" customHeight="1" x14ac:dyDescent="0.3">
      <c r="F956" s="1">
        <f t="shared" si="60"/>
        <v>0</v>
      </c>
      <c r="H956" s="1">
        <f t="shared" si="57"/>
        <v>0</v>
      </c>
      <c r="J956" s="1">
        <f t="shared" si="58"/>
        <v>0</v>
      </c>
      <c r="L956" s="1">
        <f t="shared" si="59"/>
        <v>0</v>
      </c>
    </row>
    <row r="957" spans="6:12" ht="18" customHeight="1" x14ac:dyDescent="0.3">
      <c r="F957" s="1">
        <f t="shared" si="60"/>
        <v>0</v>
      </c>
      <c r="H957" s="1">
        <f t="shared" si="57"/>
        <v>0</v>
      </c>
      <c r="J957" s="1">
        <f t="shared" si="58"/>
        <v>0</v>
      </c>
      <c r="L957" s="1">
        <f t="shared" si="59"/>
        <v>0</v>
      </c>
    </row>
    <row r="958" spans="6:12" ht="18" customHeight="1" x14ac:dyDescent="0.3">
      <c r="F958" s="1">
        <f t="shared" si="60"/>
        <v>0</v>
      </c>
      <c r="H958" s="1">
        <f t="shared" si="57"/>
        <v>0</v>
      </c>
      <c r="J958" s="1">
        <f t="shared" si="58"/>
        <v>0</v>
      </c>
      <c r="L958" s="1">
        <f t="shared" si="59"/>
        <v>0</v>
      </c>
    </row>
    <row r="959" spans="6:12" ht="18" customHeight="1" x14ac:dyDescent="0.3">
      <c r="F959" s="1">
        <f t="shared" si="60"/>
        <v>0</v>
      </c>
      <c r="H959" s="1">
        <f t="shared" si="57"/>
        <v>0</v>
      </c>
      <c r="J959" s="1">
        <f t="shared" si="58"/>
        <v>0</v>
      </c>
      <c r="L959" s="1">
        <f t="shared" si="59"/>
        <v>0</v>
      </c>
    </row>
    <row r="960" spans="6:12" ht="18" customHeight="1" x14ac:dyDescent="0.3">
      <c r="F960" s="1">
        <f t="shared" si="60"/>
        <v>0</v>
      </c>
      <c r="H960" s="1">
        <f t="shared" si="57"/>
        <v>0</v>
      </c>
      <c r="J960" s="1">
        <f t="shared" si="58"/>
        <v>0</v>
      </c>
      <c r="L960" s="1">
        <f t="shared" si="59"/>
        <v>0</v>
      </c>
    </row>
    <row r="961" spans="6:12" ht="18" customHeight="1" x14ac:dyDescent="0.3">
      <c r="F961" s="1">
        <f t="shared" si="60"/>
        <v>0</v>
      </c>
      <c r="H961" s="1">
        <f t="shared" si="57"/>
        <v>0</v>
      </c>
      <c r="J961" s="1">
        <f t="shared" si="58"/>
        <v>0</v>
      </c>
      <c r="L961" s="1">
        <f t="shared" si="59"/>
        <v>0</v>
      </c>
    </row>
    <row r="962" spans="6:12" ht="18" customHeight="1" x14ac:dyDescent="0.3">
      <c r="F962" s="1">
        <f t="shared" si="60"/>
        <v>0</v>
      </c>
      <c r="H962" s="1">
        <f t="shared" si="57"/>
        <v>0</v>
      </c>
      <c r="J962" s="1">
        <f t="shared" si="58"/>
        <v>0</v>
      </c>
      <c r="L962" s="1">
        <f t="shared" si="59"/>
        <v>0</v>
      </c>
    </row>
    <row r="963" spans="6:12" ht="18" customHeight="1" x14ac:dyDescent="0.3">
      <c r="F963" s="1">
        <f t="shared" si="60"/>
        <v>0</v>
      </c>
      <c r="H963" s="1">
        <f t="shared" si="57"/>
        <v>0</v>
      </c>
      <c r="J963" s="1">
        <f t="shared" si="58"/>
        <v>0</v>
      </c>
      <c r="L963" s="1">
        <f t="shared" si="59"/>
        <v>0</v>
      </c>
    </row>
    <row r="964" spans="6:12" ht="18" customHeight="1" x14ac:dyDescent="0.3">
      <c r="F964" s="1">
        <f t="shared" si="60"/>
        <v>0</v>
      </c>
      <c r="H964" s="1">
        <f t="shared" si="57"/>
        <v>0</v>
      </c>
      <c r="J964" s="1">
        <f t="shared" si="58"/>
        <v>0</v>
      </c>
      <c r="L964" s="1">
        <f t="shared" si="59"/>
        <v>0</v>
      </c>
    </row>
    <row r="965" spans="6:12" ht="18" customHeight="1" x14ac:dyDescent="0.3">
      <c r="F965" s="1">
        <f t="shared" si="60"/>
        <v>0</v>
      </c>
      <c r="H965" s="1">
        <f t="shared" ref="H965:H1000" si="61">ROUNDUP(D965*G965,0)</f>
        <v>0</v>
      </c>
      <c r="J965" s="1">
        <f t="shared" ref="J965:J1000" si="62">ROUNDUP(D965*I965,0)</f>
        <v>0</v>
      </c>
      <c r="L965" s="1">
        <f t="shared" ref="L965:L1000" si="63">ROUNDUP(D965*K965,0)</f>
        <v>0</v>
      </c>
    </row>
    <row r="966" spans="6:12" ht="18" customHeight="1" x14ac:dyDescent="0.3">
      <c r="F966" s="1">
        <f t="shared" si="60"/>
        <v>0</v>
      </c>
      <c r="H966" s="1">
        <f t="shared" si="61"/>
        <v>0</v>
      </c>
      <c r="J966" s="1">
        <f t="shared" si="62"/>
        <v>0</v>
      </c>
      <c r="L966" s="1">
        <f t="shared" si="63"/>
        <v>0</v>
      </c>
    </row>
    <row r="967" spans="6:12" ht="18" customHeight="1" x14ac:dyDescent="0.3">
      <c r="F967" s="1">
        <f t="shared" si="60"/>
        <v>0</v>
      </c>
      <c r="H967" s="1">
        <f t="shared" si="61"/>
        <v>0</v>
      </c>
      <c r="J967" s="1">
        <f t="shared" si="62"/>
        <v>0</v>
      </c>
      <c r="L967" s="1">
        <f t="shared" si="63"/>
        <v>0</v>
      </c>
    </row>
    <row r="968" spans="6:12" ht="18" customHeight="1" x14ac:dyDescent="0.3">
      <c r="F968" s="1">
        <f t="shared" si="60"/>
        <v>0</v>
      </c>
      <c r="H968" s="1">
        <f t="shared" si="61"/>
        <v>0</v>
      </c>
      <c r="J968" s="1">
        <f t="shared" si="62"/>
        <v>0</v>
      </c>
      <c r="L968" s="1">
        <f t="shared" si="63"/>
        <v>0</v>
      </c>
    </row>
    <row r="969" spans="6:12" ht="18" customHeight="1" x14ac:dyDescent="0.3">
      <c r="F969" s="1">
        <f t="shared" si="60"/>
        <v>0</v>
      </c>
      <c r="H969" s="1">
        <f t="shared" si="61"/>
        <v>0</v>
      </c>
      <c r="J969" s="1">
        <f t="shared" si="62"/>
        <v>0</v>
      </c>
      <c r="L969" s="1">
        <f t="shared" si="63"/>
        <v>0</v>
      </c>
    </row>
    <row r="970" spans="6:12" ht="18" customHeight="1" x14ac:dyDescent="0.3">
      <c r="F970" s="1">
        <f t="shared" si="60"/>
        <v>0</v>
      </c>
      <c r="H970" s="1">
        <f t="shared" si="61"/>
        <v>0</v>
      </c>
      <c r="J970" s="1">
        <f t="shared" si="62"/>
        <v>0</v>
      </c>
      <c r="L970" s="1">
        <f t="shared" si="63"/>
        <v>0</v>
      </c>
    </row>
    <row r="971" spans="6:12" ht="18" customHeight="1" x14ac:dyDescent="0.3">
      <c r="F971" s="1">
        <f t="shared" si="60"/>
        <v>0</v>
      </c>
      <c r="H971" s="1">
        <f t="shared" si="61"/>
        <v>0</v>
      </c>
      <c r="J971" s="1">
        <f t="shared" si="62"/>
        <v>0</v>
      </c>
      <c r="L971" s="1">
        <f t="shared" si="63"/>
        <v>0</v>
      </c>
    </row>
    <row r="972" spans="6:12" ht="18" customHeight="1" x14ac:dyDescent="0.3">
      <c r="F972" s="1">
        <f t="shared" si="60"/>
        <v>0</v>
      </c>
      <c r="H972" s="1">
        <f t="shared" si="61"/>
        <v>0</v>
      </c>
      <c r="J972" s="1">
        <f t="shared" si="62"/>
        <v>0</v>
      </c>
      <c r="L972" s="1">
        <f t="shared" si="63"/>
        <v>0</v>
      </c>
    </row>
    <row r="973" spans="6:12" ht="18" customHeight="1" x14ac:dyDescent="0.3">
      <c r="F973" s="1">
        <f t="shared" si="60"/>
        <v>0</v>
      </c>
      <c r="H973" s="1">
        <f t="shared" si="61"/>
        <v>0</v>
      </c>
      <c r="J973" s="1">
        <f t="shared" si="62"/>
        <v>0</v>
      </c>
      <c r="L973" s="1">
        <f t="shared" si="63"/>
        <v>0</v>
      </c>
    </row>
    <row r="974" spans="6:12" ht="18" customHeight="1" x14ac:dyDescent="0.3">
      <c r="F974" s="1">
        <f t="shared" si="60"/>
        <v>0</v>
      </c>
      <c r="H974" s="1">
        <f t="shared" si="61"/>
        <v>0</v>
      </c>
      <c r="J974" s="1">
        <f t="shared" si="62"/>
        <v>0</v>
      </c>
      <c r="L974" s="1">
        <f t="shared" si="63"/>
        <v>0</v>
      </c>
    </row>
    <row r="975" spans="6:12" ht="18" customHeight="1" x14ac:dyDescent="0.3">
      <c r="F975" s="1">
        <f t="shared" si="60"/>
        <v>0</v>
      </c>
      <c r="H975" s="1">
        <f t="shared" si="61"/>
        <v>0</v>
      </c>
      <c r="J975" s="1">
        <f t="shared" si="62"/>
        <v>0</v>
      </c>
      <c r="L975" s="1">
        <f t="shared" si="63"/>
        <v>0</v>
      </c>
    </row>
    <row r="976" spans="6:12" ht="18" customHeight="1" x14ac:dyDescent="0.3">
      <c r="F976" s="1">
        <f t="shared" si="60"/>
        <v>0</v>
      </c>
      <c r="H976" s="1">
        <f t="shared" si="61"/>
        <v>0</v>
      </c>
      <c r="J976" s="1">
        <f t="shared" si="62"/>
        <v>0</v>
      </c>
      <c r="L976" s="1">
        <f t="shared" si="63"/>
        <v>0</v>
      </c>
    </row>
    <row r="977" spans="6:12" ht="18" customHeight="1" x14ac:dyDescent="0.3">
      <c r="F977" s="1">
        <f t="shared" si="60"/>
        <v>0</v>
      </c>
      <c r="H977" s="1">
        <f t="shared" si="61"/>
        <v>0</v>
      </c>
      <c r="J977" s="1">
        <f t="shared" si="62"/>
        <v>0</v>
      </c>
      <c r="L977" s="1">
        <f t="shared" si="63"/>
        <v>0</v>
      </c>
    </row>
    <row r="978" spans="6:12" ht="18" customHeight="1" x14ac:dyDescent="0.3">
      <c r="F978" s="1">
        <f t="shared" si="60"/>
        <v>0</v>
      </c>
      <c r="H978" s="1">
        <f t="shared" si="61"/>
        <v>0</v>
      </c>
      <c r="J978" s="1">
        <f t="shared" si="62"/>
        <v>0</v>
      </c>
      <c r="L978" s="1">
        <f t="shared" si="63"/>
        <v>0</v>
      </c>
    </row>
    <row r="979" spans="6:12" ht="18" customHeight="1" x14ac:dyDescent="0.3">
      <c r="F979" s="1">
        <f t="shared" si="60"/>
        <v>0</v>
      </c>
      <c r="H979" s="1">
        <f t="shared" si="61"/>
        <v>0</v>
      </c>
      <c r="J979" s="1">
        <f t="shared" si="62"/>
        <v>0</v>
      </c>
      <c r="L979" s="1">
        <f t="shared" si="63"/>
        <v>0</v>
      </c>
    </row>
    <row r="980" spans="6:12" ht="18" customHeight="1" x14ac:dyDescent="0.3">
      <c r="F980" s="1">
        <f t="shared" si="60"/>
        <v>0</v>
      </c>
      <c r="H980" s="1">
        <f t="shared" si="61"/>
        <v>0</v>
      </c>
      <c r="J980" s="1">
        <f t="shared" si="62"/>
        <v>0</v>
      </c>
      <c r="L980" s="1">
        <f t="shared" si="63"/>
        <v>0</v>
      </c>
    </row>
    <row r="981" spans="6:12" ht="18" customHeight="1" x14ac:dyDescent="0.3">
      <c r="F981" s="1">
        <f t="shared" si="60"/>
        <v>0</v>
      </c>
      <c r="H981" s="1">
        <f t="shared" si="61"/>
        <v>0</v>
      </c>
      <c r="J981" s="1">
        <f t="shared" si="62"/>
        <v>0</v>
      </c>
      <c r="L981" s="1">
        <f t="shared" si="63"/>
        <v>0</v>
      </c>
    </row>
    <row r="982" spans="6:12" ht="18" customHeight="1" x14ac:dyDescent="0.3">
      <c r="F982" s="1">
        <f t="shared" si="60"/>
        <v>0</v>
      </c>
      <c r="H982" s="1">
        <f t="shared" si="61"/>
        <v>0</v>
      </c>
      <c r="J982" s="1">
        <f t="shared" si="62"/>
        <v>0</v>
      </c>
      <c r="L982" s="1">
        <f t="shared" si="63"/>
        <v>0</v>
      </c>
    </row>
    <row r="983" spans="6:12" ht="18" customHeight="1" x14ac:dyDescent="0.3">
      <c r="F983" s="1">
        <f t="shared" si="60"/>
        <v>0</v>
      </c>
      <c r="H983" s="1">
        <f t="shared" si="61"/>
        <v>0</v>
      </c>
      <c r="J983" s="1">
        <f t="shared" si="62"/>
        <v>0</v>
      </c>
      <c r="L983" s="1">
        <f t="shared" si="63"/>
        <v>0</v>
      </c>
    </row>
    <row r="984" spans="6:12" ht="18" customHeight="1" x14ac:dyDescent="0.3">
      <c r="F984" s="1">
        <f t="shared" si="60"/>
        <v>0</v>
      </c>
      <c r="H984" s="1">
        <f t="shared" si="61"/>
        <v>0</v>
      </c>
      <c r="J984" s="1">
        <f t="shared" si="62"/>
        <v>0</v>
      </c>
      <c r="L984" s="1">
        <f t="shared" si="63"/>
        <v>0</v>
      </c>
    </row>
    <row r="985" spans="6:12" ht="18" customHeight="1" x14ac:dyDescent="0.3">
      <c r="F985" s="1">
        <f t="shared" si="60"/>
        <v>0</v>
      </c>
      <c r="H985" s="1">
        <f t="shared" si="61"/>
        <v>0</v>
      </c>
      <c r="J985" s="1">
        <f t="shared" si="62"/>
        <v>0</v>
      </c>
      <c r="L985" s="1">
        <f t="shared" si="63"/>
        <v>0</v>
      </c>
    </row>
    <row r="986" spans="6:12" ht="18" customHeight="1" x14ac:dyDescent="0.3">
      <c r="F986" s="1">
        <f t="shared" si="60"/>
        <v>0</v>
      </c>
      <c r="H986" s="1">
        <f t="shared" si="61"/>
        <v>0</v>
      </c>
      <c r="J986" s="1">
        <f t="shared" si="62"/>
        <v>0</v>
      </c>
      <c r="L986" s="1">
        <f t="shared" si="63"/>
        <v>0</v>
      </c>
    </row>
    <row r="987" spans="6:12" ht="18" customHeight="1" x14ac:dyDescent="0.3">
      <c r="F987" s="1">
        <f t="shared" si="60"/>
        <v>0</v>
      </c>
      <c r="H987" s="1">
        <f t="shared" si="61"/>
        <v>0</v>
      </c>
      <c r="J987" s="1">
        <f t="shared" si="62"/>
        <v>0</v>
      </c>
      <c r="L987" s="1">
        <f t="shared" si="63"/>
        <v>0</v>
      </c>
    </row>
    <row r="988" spans="6:12" ht="18" customHeight="1" x14ac:dyDescent="0.3">
      <c r="F988" s="1">
        <f t="shared" si="60"/>
        <v>0</v>
      </c>
      <c r="H988" s="1">
        <f t="shared" si="61"/>
        <v>0</v>
      </c>
      <c r="J988" s="1">
        <f t="shared" si="62"/>
        <v>0</v>
      </c>
      <c r="L988" s="1">
        <f t="shared" si="63"/>
        <v>0</v>
      </c>
    </row>
    <row r="989" spans="6:12" ht="18" customHeight="1" x14ac:dyDescent="0.3">
      <c r="F989" s="1">
        <f t="shared" si="60"/>
        <v>0</v>
      </c>
      <c r="H989" s="1">
        <f t="shared" si="61"/>
        <v>0</v>
      </c>
      <c r="J989" s="1">
        <f t="shared" si="62"/>
        <v>0</v>
      </c>
      <c r="L989" s="1">
        <f t="shared" si="63"/>
        <v>0</v>
      </c>
    </row>
    <row r="990" spans="6:12" ht="18" customHeight="1" x14ac:dyDescent="0.3">
      <c r="F990" s="1">
        <f t="shared" si="60"/>
        <v>0</v>
      </c>
      <c r="H990" s="1">
        <f t="shared" si="61"/>
        <v>0</v>
      </c>
      <c r="J990" s="1">
        <f t="shared" si="62"/>
        <v>0</v>
      </c>
      <c r="L990" s="1">
        <f t="shared" si="63"/>
        <v>0</v>
      </c>
    </row>
    <row r="991" spans="6:12" ht="18" customHeight="1" x14ac:dyDescent="0.3">
      <c r="F991" s="1">
        <f t="shared" si="60"/>
        <v>0</v>
      </c>
      <c r="H991" s="1">
        <f t="shared" si="61"/>
        <v>0</v>
      </c>
      <c r="J991" s="1">
        <f t="shared" si="62"/>
        <v>0</v>
      </c>
      <c r="L991" s="1">
        <f t="shared" si="63"/>
        <v>0</v>
      </c>
    </row>
    <row r="992" spans="6:12" ht="18" customHeight="1" x14ac:dyDescent="0.3">
      <c r="F992" s="1">
        <f t="shared" si="60"/>
        <v>0</v>
      </c>
      <c r="H992" s="1">
        <f t="shared" si="61"/>
        <v>0</v>
      </c>
      <c r="J992" s="1">
        <f t="shared" si="62"/>
        <v>0</v>
      </c>
      <c r="L992" s="1">
        <f t="shared" si="63"/>
        <v>0</v>
      </c>
    </row>
    <row r="993" spans="6:12" ht="18" customHeight="1" x14ac:dyDescent="0.3">
      <c r="F993" s="1">
        <f t="shared" si="60"/>
        <v>0</v>
      </c>
      <c r="H993" s="1">
        <f t="shared" si="61"/>
        <v>0</v>
      </c>
      <c r="J993" s="1">
        <f t="shared" si="62"/>
        <v>0</v>
      </c>
      <c r="L993" s="1">
        <f t="shared" si="63"/>
        <v>0</v>
      </c>
    </row>
    <row r="994" spans="6:12" ht="18" customHeight="1" x14ac:dyDescent="0.3">
      <c r="F994" s="1">
        <f t="shared" si="60"/>
        <v>0</v>
      </c>
      <c r="H994" s="1">
        <f t="shared" si="61"/>
        <v>0</v>
      </c>
      <c r="J994" s="1">
        <f t="shared" si="62"/>
        <v>0</v>
      </c>
      <c r="L994" s="1">
        <f t="shared" si="63"/>
        <v>0</v>
      </c>
    </row>
    <row r="995" spans="6:12" ht="18" customHeight="1" x14ac:dyDescent="0.3">
      <c r="F995" s="1">
        <f t="shared" si="60"/>
        <v>0</v>
      </c>
      <c r="H995" s="1">
        <f t="shared" si="61"/>
        <v>0</v>
      </c>
      <c r="J995" s="1">
        <f t="shared" si="62"/>
        <v>0</v>
      </c>
      <c r="L995" s="1">
        <f t="shared" si="63"/>
        <v>0</v>
      </c>
    </row>
    <row r="996" spans="6:12" ht="18" customHeight="1" x14ac:dyDescent="0.3">
      <c r="F996" s="1">
        <f t="shared" si="60"/>
        <v>0</v>
      </c>
      <c r="H996" s="1">
        <f t="shared" si="61"/>
        <v>0</v>
      </c>
      <c r="J996" s="1">
        <f t="shared" si="62"/>
        <v>0</v>
      </c>
      <c r="L996" s="1">
        <f t="shared" si="63"/>
        <v>0</v>
      </c>
    </row>
    <row r="997" spans="6:12" ht="18" customHeight="1" x14ac:dyDescent="0.3">
      <c r="F997" s="1">
        <f t="shared" si="60"/>
        <v>0</v>
      </c>
      <c r="H997" s="1">
        <f t="shared" si="61"/>
        <v>0</v>
      </c>
      <c r="J997" s="1">
        <f t="shared" si="62"/>
        <v>0</v>
      </c>
      <c r="L997" s="1">
        <f t="shared" si="63"/>
        <v>0</v>
      </c>
    </row>
    <row r="998" spans="6:12" ht="18" customHeight="1" x14ac:dyDescent="0.3">
      <c r="F998" s="1">
        <f t="shared" si="60"/>
        <v>0</v>
      </c>
      <c r="H998" s="1">
        <f t="shared" si="61"/>
        <v>0</v>
      </c>
      <c r="J998" s="1">
        <f t="shared" si="62"/>
        <v>0</v>
      </c>
      <c r="L998" s="1">
        <f t="shared" si="63"/>
        <v>0</v>
      </c>
    </row>
    <row r="999" spans="6:12" ht="18" customHeight="1" x14ac:dyDescent="0.3">
      <c r="F999" s="1">
        <f t="shared" si="60"/>
        <v>0</v>
      </c>
      <c r="H999" s="1">
        <f t="shared" si="61"/>
        <v>0</v>
      </c>
      <c r="J999" s="1">
        <f t="shared" si="62"/>
        <v>0</v>
      </c>
      <c r="L999" s="1">
        <f t="shared" si="63"/>
        <v>0</v>
      </c>
    </row>
    <row r="1000" spans="6:12" ht="18" customHeight="1" x14ac:dyDescent="0.3">
      <c r="F1000" s="1">
        <f t="shared" si="60"/>
        <v>0</v>
      </c>
      <c r="H1000" s="1">
        <f t="shared" si="61"/>
        <v>0</v>
      </c>
      <c r="J1000" s="1">
        <f t="shared" si="62"/>
        <v>0</v>
      </c>
      <c r="L1000" s="1">
        <f t="shared" si="63"/>
        <v>0</v>
      </c>
    </row>
  </sheetData>
  <mergeCells count="11">
    <mergeCell ref="N2:N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7883-7FCF-4338-BC3D-266069194294}">
  <sheetPr>
    <tabColor rgb="FFFFFF00"/>
  </sheetPr>
  <dimension ref="A1:AE101"/>
  <sheetViews>
    <sheetView zoomScale="85" zoomScaleNormal="85" workbookViewId="0">
      <selection activeCell="F136" sqref="F136"/>
    </sheetView>
  </sheetViews>
  <sheetFormatPr defaultColWidth="9" defaultRowHeight="12" x14ac:dyDescent="0.3"/>
  <cols>
    <col min="1" max="2" width="40.625" style="1" customWidth="1"/>
    <col min="3" max="4" width="8.625" style="1" customWidth="1"/>
    <col min="5" max="5" width="27.375" style="22" bestFit="1" customWidth="1"/>
    <col min="6" max="6" width="9" style="22"/>
    <col min="7" max="7" width="35.25" style="22" bestFit="1" customWidth="1"/>
    <col min="8" max="8" width="26.125" style="22" bestFit="1" customWidth="1"/>
    <col min="9" max="15" width="10.625" style="22" customWidth="1"/>
    <col min="16" max="19" width="10.625" style="21" customWidth="1"/>
    <col min="20" max="20" width="14.25" style="21" bestFit="1" customWidth="1"/>
    <col min="21" max="21" width="9" style="22"/>
    <col min="22" max="22" width="37.5" style="22" bestFit="1" customWidth="1"/>
    <col min="23" max="23" width="10.75" style="22" bestFit="1" customWidth="1"/>
    <col min="24" max="27" width="9" style="22"/>
    <col min="28" max="28" width="37.5" style="22" bestFit="1" customWidth="1"/>
    <col min="29" max="29" width="10.75" style="22" bestFit="1" customWidth="1"/>
    <col min="30" max="16384" width="9" style="22"/>
  </cols>
  <sheetData>
    <row r="1" spans="1:31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  <c r="X1" s="21"/>
      <c r="Y1" s="21"/>
      <c r="AD1" s="21"/>
      <c r="AE1" s="21"/>
    </row>
    <row r="2" spans="1:31" ht="18" customHeight="1" x14ac:dyDescent="0.3">
      <c r="A2" s="203"/>
      <c r="B2" s="203"/>
      <c r="C2" s="203"/>
      <c r="D2" s="203"/>
      <c r="E2" s="203"/>
      <c r="I2" s="21"/>
      <c r="J2" s="21"/>
      <c r="K2" s="21"/>
      <c r="L2" s="21"/>
      <c r="M2" s="21"/>
      <c r="N2" s="21"/>
      <c r="O2" s="21"/>
      <c r="W2" s="21"/>
      <c r="X2" s="21"/>
      <c r="Y2" s="21"/>
      <c r="AB2" s="21"/>
      <c r="AC2" s="21"/>
      <c r="AD2" s="21"/>
      <c r="AE2" s="21"/>
    </row>
    <row r="3" spans="1:31" ht="18" customHeight="1" x14ac:dyDescent="0.3">
      <c r="A3" s="28" t="s">
        <v>1531</v>
      </c>
      <c r="B3" s="28"/>
      <c r="C3" s="28"/>
      <c r="D3" s="37"/>
      <c r="E3" s="24"/>
      <c r="I3" s="21"/>
      <c r="J3" s="21"/>
      <c r="K3" s="21"/>
      <c r="L3" s="21"/>
      <c r="M3" s="21"/>
      <c r="W3" s="21"/>
      <c r="X3" s="21"/>
      <c r="Y3" s="21"/>
      <c r="AB3" s="21"/>
      <c r="AC3" s="21"/>
      <c r="AD3" s="21"/>
      <c r="AE3" s="21"/>
    </row>
    <row r="4" spans="1:31" ht="18" customHeight="1" x14ac:dyDescent="0.2">
      <c r="A4" s="54" t="s">
        <v>1532</v>
      </c>
      <c r="B4" s="55" t="s">
        <v>1533</v>
      </c>
      <c r="C4" s="56">
        <v>30</v>
      </c>
      <c r="D4" s="56" t="s">
        <v>1534</v>
      </c>
      <c r="E4" s="57" t="s">
        <v>1535</v>
      </c>
      <c r="G4" s="22" t="s">
        <v>1916</v>
      </c>
      <c r="H4" s="22" t="s">
        <v>1915</v>
      </c>
      <c r="I4" s="75" t="s">
        <v>1914</v>
      </c>
      <c r="L4" s="21"/>
      <c r="M4" s="21"/>
      <c r="W4" s="21"/>
      <c r="X4" s="21"/>
      <c r="Y4" s="21"/>
      <c r="AB4" s="21"/>
      <c r="AC4" s="21"/>
      <c r="AD4" s="21"/>
      <c r="AE4" s="21"/>
    </row>
    <row r="5" spans="1:31" ht="18" customHeight="1" x14ac:dyDescent="0.2">
      <c r="A5" s="28" t="s">
        <v>1532</v>
      </c>
      <c r="B5" s="28" t="s">
        <v>1536</v>
      </c>
      <c r="C5" s="2">
        <v>210</v>
      </c>
      <c r="D5" s="2" t="s">
        <v>10</v>
      </c>
      <c r="E5" s="25" t="s">
        <v>1537</v>
      </c>
      <c r="G5" s="22" t="s">
        <v>1916</v>
      </c>
      <c r="H5" s="22" t="s">
        <v>1915</v>
      </c>
      <c r="I5" s="75" t="s">
        <v>1914</v>
      </c>
      <c r="J5" s="21"/>
      <c r="K5" s="21"/>
      <c r="L5" s="21"/>
      <c r="M5" s="21"/>
      <c r="N5" s="21"/>
      <c r="O5" s="21"/>
      <c r="W5" s="21"/>
      <c r="X5" s="21"/>
      <c r="Y5" s="21"/>
      <c r="AB5" s="21"/>
      <c r="AC5" s="21"/>
      <c r="AD5" s="21"/>
      <c r="AE5" s="21"/>
    </row>
    <row r="6" spans="1:31" ht="18" customHeight="1" x14ac:dyDescent="0.2">
      <c r="A6" s="36" t="s">
        <v>1532</v>
      </c>
      <c r="B6" s="27" t="s">
        <v>1884</v>
      </c>
      <c r="C6" s="2">
        <v>485</v>
      </c>
      <c r="D6" s="2" t="s">
        <v>10</v>
      </c>
      <c r="E6" s="25" t="s">
        <v>1538</v>
      </c>
      <c r="G6" s="22" t="s">
        <v>1916</v>
      </c>
      <c r="H6" s="22" t="s">
        <v>1915</v>
      </c>
      <c r="I6" s="75" t="s">
        <v>1914</v>
      </c>
      <c r="J6" s="21"/>
      <c r="K6" s="21"/>
      <c r="L6" s="21"/>
      <c r="M6" s="21"/>
      <c r="N6" s="21"/>
      <c r="O6" s="21"/>
      <c r="W6" s="21"/>
      <c r="X6" s="21"/>
      <c r="Y6" s="21"/>
      <c r="AB6" s="21"/>
      <c r="AC6" s="21"/>
      <c r="AD6" s="21"/>
      <c r="AE6" s="21"/>
    </row>
    <row r="7" spans="1:31" ht="18" customHeight="1" x14ac:dyDescent="0.2">
      <c r="A7" s="36" t="s">
        <v>1532</v>
      </c>
      <c r="B7" s="27" t="s">
        <v>1885</v>
      </c>
      <c r="C7" s="2">
        <v>1095</v>
      </c>
      <c r="D7" s="2" t="s">
        <v>10</v>
      </c>
      <c r="E7" s="25" t="s">
        <v>1539</v>
      </c>
      <c r="G7" s="22" t="s">
        <v>1916</v>
      </c>
      <c r="H7" s="22" t="s">
        <v>1915</v>
      </c>
      <c r="I7" s="75" t="s">
        <v>1914</v>
      </c>
      <c r="W7" s="21"/>
      <c r="X7" s="21"/>
      <c r="Y7" s="21"/>
      <c r="AB7" s="21"/>
      <c r="AC7" s="21"/>
      <c r="AD7" s="21"/>
      <c r="AE7" s="21"/>
    </row>
    <row r="8" spans="1:31" ht="18" customHeight="1" x14ac:dyDescent="0.2">
      <c r="A8" s="36" t="s">
        <v>1532</v>
      </c>
      <c r="B8" s="27" t="s">
        <v>1540</v>
      </c>
      <c r="C8" s="2">
        <v>390</v>
      </c>
      <c r="D8" s="2" t="s">
        <v>10</v>
      </c>
      <c r="E8" s="25" t="s">
        <v>1541</v>
      </c>
      <c r="G8" s="22" t="s">
        <v>1916</v>
      </c>
      <c r="H8" s="22" t="s">
        <v>1915</v>
      </c>
      <c r="I8" s="75" t="s">
        <v>1914</v>
      </c>
      <c r="J8" s="21"/>
      <c r="K8" s="21"/>
      <c r="L8" s="21"/>
      <c r="M8" s="21"/>
      <c r="W8" s="21"/>
      <c r="X8" s="21"/>
      <c r="Y8" s="21"/>
      <c r="AB8" s="21"/>
      <c r="AC8" s="21"/>
      <c r="AD8" s="21"/>
      <c r="AE8" s="21"/>
    </row>
    <row r="9" spans="1:31" ht="18" customHeight="1" x14ac:dyDescent="0.2">
      <c r="A9" s="36" t="s">
        <v>1895</v>
      </c>
      <c r="B9" s="27" t="s">
        <v>1879</v>
      </c>
      <c r="C9" s="2">
        <v>1040</v>
      </c>
      <c r="D9" s="2" t="s">
        <v>10</v>
      </c>
      <c r="E9" s="25" t="s">
        <v>1544</v>
      </c>
      <c r="G9" s="22" t="s">
        <v>1916</v>
      </c>
      <c r="H9" s="22" t="s">
        <v>1915</v>
      </c>
      <c r="I9" s="75" t="s">
        <v>1914</v>
      </c>
      <c r="W9" s="21"/>
      <c r="X9" s="21"/>
      <c r="Y9" s="21"/>
      <c r="Z9" s="21"/>
      <c r="AB9" s="21"/>
      <c r="AC9" s="21"/>
      <c r="AD9" s="21"/>
      <c r="AE9" s="21"/>
    </row>
    <row r="10" spans="1:31" ht="18" customHeight="1" x14ac:dyDescent="0.2">
      <c r="A10" s="28" t="s">
        <v>1542</v>
      </c>
      <c r="B10" s="28" t="s">
        <v>1545</v>
      </c>
      <c r="C10" s="2">
        <v>170</v>
      </c>
      <c r="D10" s="2" t="s">
        <v>10</v>
      </c>
      <c r="E10" s="25" t="s">
        <v>1546</v>
      </c>
      <c r="G10" s="22" t="s">
        <v>1916</v>
      </c>
      <c r="H10" s="22" t="s">
        <v>1915</v>
      </c>
      <c r="I10" s="75" t="s">
        <v>1914</v>
      </c>
      <c r="J10" s="21"/>
      <c r="K10" s="21"/>
      <c r="L10" s="21"/>
      <c r="M10" s="21"/>
      <c r="N10" s="21"/>
      <c r="O10" s="21"/>
      <c r="W10" s="21"/>
      <c r="X10" s="21"/>
      <c r="Y10" s="21"/>
      <c r="Z10" s="21"/>
      <c r="AB10" s="21"/>
      <c r="AC10" s="21"/>
      <c r="AD10" s="21"/>
      <c r="AE10" s="21"/>
    </row>
    <row r="11" spans="1:31" ht="18" customHeight="1" x14ac:dyDescent="0.2">
      <c r="A11" s="36" t="s">
        <v>1542</v>
      </c>
      <c r="B11" s="27" t="s">
        <v>1547</v>
      </c>
      <c r="C11" s="2">
        <v>605</v>
      </c>
      <c r="D11" s="2" t="s">
        <v>10</v>
      </c>
      <c r="E11" s="25" t="s">
        <v>1548</v>
      </c>
      <c r="G11" s="22" t="s">
        <v>1916</v>
      </c>
      <c r="H11" s="22" t="s">
        <v>1915</v>
      </c>
      <c r="I11" s="75" t="s">
        <v>1914</v>
      </c>
      <c r="W11" s="21"/>
      <c r="X11" s="21"/>
      <c r="Y11" s="21"/>
      <c r="Z11" s="21"/>
      <c r="AB11" s="21"/>
      <c r="AC11" s="21"/>
      <c r="AD11" s="21"/>
      <c r="AE11" s="21"/>
    </row>
    <row r="12" spans="1:31" ht="18" customHeight="1" x14ac:dyDescent="0.2">
      <c r="A12" s="36" t="s">
        <v>1542</v>
      </c>
      <c r="B12" s="27" t="s">
        <v>1883</v>
      </c>
      <c r="C12" s="2">
        <v>545</v>
      </c>
      <c r="D12" s="2" t="s">
        <v>10</v>
      </c>
      <c r="E12" s="25" t="s">
        <v>1549</v>
      </c>
      <c r="G12" s="22" t="s">
        <v>1916</v>
      </c>
      <c r="H12" s="22" t="s">
        <v>1915</v>
      </c>
      <c r="I12" s="75" t="s">
        <v>1914</v>
      </c>
      <c r="J12" s="21"/>
      <c r="K12" s="21"/>
      <c r="L12" s="21"/>
      <c r="M12" s="21"/>
      <c r="W12" s="21"/>
      <c r="X12" s="21"/>
      <c r="Y12" s="21"/>
      <c r="Z12" s="21"/>
    </row>
    <row r="13" spans="1:31" ht="18" customHeight="1" x14ac:dyDescent="0.2">
      <c r="A13" s="36" t="s">
        <v>1542</v>
      </c>
      <c r="B13" s="27" t="s">
        <v>1886</v>
      </c>
      <c r="C13" s="2">
        <v>555</v>
      </c>
      <c r="D13" s="2" t="s">
        <v>10</v>
      </c>
      <c r="E13" s="25" t="s">
        <v>1550</v>
      </c>
      <c r="G13" s="22" t="s">
        <v>1916</v>
      </c>
      <c r="H13" s="22" t="s">
        <v>1915</v>
      </c>
      <c r="I13" s="75" t="s">
        <v>1914</v>
      </c>
      <c r="W13" s="21"/>
      <c r="X13" s="21"/>
      <c r="Y13" s="21"/>
      <c r="Z13" s="21"/>
    </row>
    <row r="14" spans="1:31" ht="18" customHeight="1" x14ac:dyDescent="0.2">
      <c r="A14" s="36" t="s">
        <v>1896</v>
      </c>
      <c r="B14" s="27" t="s">
        <v>1543</v>
      </c>
      <c r="C14" s="2">
        <v>60</v>
      </c>
      <c r="D14" s="2" t="s">
        <v>10</v>
      </c>
      <c r="E14" s="25" t="s">
        <v>1552</v>
      </c>
      <c r="G14" s="22" t="s">
        <v>1916</v>
      </c>
      <c r="H14" s="22" t="s">
        <v>1915</v>
      </c>
      <c r="I14" s="75" t="s">
        <v>1914</v>
      </c>
      <c r="J14" s="21"/>
      <c r="K14" s="21"/>
      <c r="L14" s="21"/>
      <c r="M14" s="21"/>
      <c r="N14" s="21"/>
      <c r="O14" s="21"/>
      <c r="W14" s="21"/>
      <c r="X14" s="21"/>
      <c r="Y14" s="21"/>
      <c r="Z14" s="21"/>
    </row>
    <row r="15" spans="1:31" ht="18" customHeight="1" x14ac:dyDescent="0.2">
      <c r="A15" s="36" t="s">
        <v>1551</v>
      </c>
      <c r="B15" s="27" t="s">
        <v>1874</v>
      </c>
      <c r="C15" s="2">
        <v>790</v>
      </c>
      <c r="D15" s="2" t="s">
        <v>10</v>
      </c>
      <c r="E15" s="25" t="s">
        <v>1553</v>
      </c>
      <c r="G15" s="22" t="s">
        <v>1916</v>
      </c>
      <c r="H15" s="22" t="s">
        <v>1915</v>
      </c>
      <c r="I15" s="75" t="s">
        <v>1914</v>
      </c>
      <c r="W15" s="21"/>
      <c r="X15" s="21"/>
      <c r="Y15" s="21"/>
      <c r="Z15" s="21"/>
    </row>
    <row r="16" spans="1:31" ht="18" customHeight="1" x14ac:dyDescent="0.2">
      <c r="A16" s="36" t="s">
        <v>1551</v>
      </c>
      <c r="B16" s="27" t="s">
        <v>1882</v>
      </c>
      <c r="C16" s="2">
        <v>30</v>
      </c>
      <c r="D16" s="2" t="s">
        <v>10</v>
      </c>
      <c r="E16" s="25" t="s">
        <v>1554</v>
      </c>
      <c r="G16" s="22" t="s">
        <v>1916</v>
      </c>
      <c r="H16" s="22" t="s">
        <v>1915</v>
      </c>
      <c r="I16" s="75" t="s">
        <v>1914</v>
      </c>
      <c r="W16" s="21"/>
      <c r="X16" s="21"/>
      <c r="Y16" s="21"/>
    </row>
    <row r="17" spans="1:25" ht="18" customHeight="1" x14ac:dyDescent="0.2">
      <c r="A17" s="28" t="s">
        <v>1894</v>
      </c>
      <c r="B17" s="28" t="s">
        <v>1872</v>
      </c>
      <c r="C17" s="2">
        <v>30</v>
      </c>
      <c r="D17" s="2" t="s">
        <v>10</v>
      </c>
      <c r="E17" s="25" t="s">
        <v>1557</v>
      </c>
      <c r="G17" s="22" t="s">
        <v>1916</v>
      </c>
      <c r="H17" s="22" t="s">
        <v>1915</v>
      </c>
      <c r="I17" s="75" t="s">
        <v>1914</v>
      </c>
      <c r="W17" s="21"/>
      <c r="X17" s="21"/>
      <c r="Y17" s="21"/>
    </row>
    <row r="18" spans="1:25" ht="18" customHeight="1" x14ac:dyDescent="0.2">
      <c r="A18" s="36" t="s">
        <v>1555</v>
      </c>
      <c r="B18" s="27" t="s">
        <v>1875</v>
      </c>
      <c r="C18" s="2">
        <v>210</v>
      </c>
      <c r="D18" s="2" t="s">
        <v>10</v>
      </c>
      <c r="E18" s="25" t="s">
        <v>1558</v>
      </c>
      <c r="G18" s="22" t="s">
        <v>1916</v>
      </c>
      <c r="H18" s="22" t="s">
        <v>1915</v>
      </c>
      <c r="I18" s="75" t="s">
        <v>1914</v>
      </c>
      <c r="W18" s="21"/>
      <c r="X18" s="21"/>
      <c r="Y18" s="21"/>
    </row>
    <row r="19" spans="1:25" ht="18" customHeight="1" x14ac:dyDescent="0.2">
      <c r="A19" s="36" t="s">
        <v>1555</v>
      </c>
      <c r="B19" s="27" t="s">
        <v>1876</v>
      </c>
      <c r="C19" s="2">
        <v>2595</v>
      </c>
      <c r="D19" s="2" t="s">
        <v>10</v>
      </c>
      <c r="E19" s="25" t="s">
        <v>1559</v>
      </c>
      <c r="G19" s="22" t="s">
        <v>1916</v>
      </c>
      <c r="H19" s="22" t="s">
        <v>1915</v>
      </c>
      <c r="I19" s="75" t="s">
        <v>1914</v>
      </c>
      <c r="W19" s="21"/>
      <c r="X19" s="21"/>
      <c r="Y19" s="21"/>
    </row>
    <row r="20" spans="1:25" ht="18" customHeight="1" x14ac:dyDescent="0.2">
      <c r="A20" s="36" t="s">
        <v>1555</v>
      </c>
      <c r="B20" s="27" t="s">
        <v>1560</v>
      </c>
      <c r="C20" s="2">
        <v>390</v>
      </c>
      <c r="D20" s="2" t="s">
        <v>10</v>
      </c>
      <c r="E20" s="25" t="s">
        <v>1561</v>
      </c>
      <c r="G20" s="22" t="s">
        <v>1916</v>
      </c>
      <c r="H20" s="22" t="s">
        <v>1915</v>
      </c>
      <c r="I20" s="75" t="s">
        <v>1914</v>
      </c>
      <c r="W20" s="21"/>
      <c r="X20" s="21"/>
      <c r="Y20" s="21"/>
    </row>
    <row r="21" spans="1:25" ht="18" customHeight="1" x14ac:dyDescent="0.2">
      <c r="A21" s="36" t="s">
        <v>1562</v>
      </c>
      <c r="B21" s="27" t="s">
        <v>1563</v>
      </c>
      <c r="C21" s="19">
        <v>36</v>
      </c>
      <c r="D21" s="2" t="s">
        <v>10</v>
      </c>
      <c r="E21" s="25" t="s">
        <v>1564</v>
      </c>
      <c r="G21" s="22" t="s">
        <v>1917</v>
      </c>
      <c r="H21" s="22" t="s">
        <v>1918</v>
      </c>
      <c r="W21" s="21"/>
      <c r="X21" s="21"/>
      <c r="Y21" s="21"/>
    </row>
    <row r="22" spans="1:25" ht="18" customHeight="1" x14ac:dyDescent="0.2">
      <c r="A22" s="36" t="s">
        <v>1562</v>
      </c>
      <c r="B22" s="27" t="s">
        <v>1565</v>
      </c>
      <c r="C22" s="2">
        <v>72</v>
      </c>
      <c r="D22" s="2" t="s">
        <v>10</v>
      </c>
      <c r="E22" s="25" t="s">
        <v>1566</v>
      </c>
      <c r="G22" s="22" t="s">
        <v>1917</v>
      </c>
      <c r="H22" s="22" t="s">
        <v>1918</v>
      </c>
    </row>
    <row r="23" spans="1:25" ht="18" customHeight="1" x14ac:dyDescent="0.2">
      <c r="A23" s="28" t="s">
        <v>1562</v>
      </c>
      <c r="B23" s="28" t="s">
        <v>1567</v>
      </c>
      <c r="C23" s="2">
        <v>24</v>
      </c>
      <c r="D23" s="2" t="s">
        <v>10</v>
      </c>
      <c r="E23" s="25" t="s">
        <v>1568</v>
      </c>
      <c r="G23" s="22" t="s">
        <v>1917</v>
      </c>
      <c r="H23" s="22" t="s">
        <v>1918</v>
      </c>
    </row>
    <row r="24" spans="1:25" ht="18" customHeight="1" x14ac:dyDescent="0.2">
      <c r="A24" s="36" t="s">
        <v>1562</v>
      </c>
      <c r="B24" s="27" t="s">
        <v>1569</v>
      </c>
      <c r="C24" s="2">
        <v>826</v>
      </c>
      <c r="D24" s="2" t="s">
        <v>10</v>
      </c>
      <c r="E24" s="25" t="s">
        <v>1570</v>
      </c>
      <c r="G24" s="22" t="s">
        <v>1917</v>
      </c>
      <c r="H24" s="22" t="s">
        <v>1918</v>
      </c>
    </row>
    <row r="25" spans="1:25" ht="18" customHeight="1" x14ac:dyDescent="0.2">
      <c r="A25" s="36" t="s">
        <v>1562</v>
      </c>
      <c r="B25" s="27" t="s">
        <v>1571</v>
      </c>
      <c r="C25" s="2">
        <v>516</v>
      </c>
      <c r="D25" s="2" t="s">
        <v>10</v>
      </c>
      <c r="E25" s="25" t="s">
        <v>1572</v>
      </c>
      <c r="G25" s="22" t="s">
        <v>1917</v>
      </c>
      <c r="H25" s="22" t="s">
        <v>1918</v>
      </c>
    </row>
    <row r="26" spans="1:25" ht="18" customHeight="1" x14ac:dyDescent="0.2">
      <c r="A26" s="28" t="s">
        <v>1562</v>
      </c>
      <c r="B26" s="28" t="s">
        <v>1573</v>
      </c>
      <c r="C26" s="2">
        <v>462</v>
      </c>
      <c r="D26" s="2" t="s">
        <v>10</v>
      </c>
      <c r="E26" s="25" t="s">
        <v>1574</v>
      </c>
      <c r="G26" s="22" t="s">
        <v>1917</v>
      </c>
      <c r="H26" s="22" t="s">
        <v>1918</v>
      </c>
    </row>
    <row r="27" spans="1:25" ht="16.5" x14ac:dyDescent="0.3"/>
    <row r="28" spans="1:25" ht="18" customHeight="1" x14ac:dyDescent="0.3">
      <c r="A28" s="28" t="s">
        <v>1624</v>
      </c>
      <c r="B28" s="28"/>
      <c r="C28" s="28"/>
      <c r="D28" s="28"/>
      <c r="E28" s="24"/>
    </row>
    <row r="29" spans="1:25" ht="18" customHeight="1" x14ac:dyDescent="0.2">
      <c r="A29" s="6" t="s">
        <v>1625</v>
      </c>
      <c r="B29" s="6" t="s">
        <v>1626</v>
      </c>
      <c r="C29" s="19">
        <v>4</v>
      </c>
      <c r="D29" s="41" t="s">
        <v>32</v>
      </c>
      <c r="E29" s="25" t="s">
        <v>1627</v>
      </c>
      <c r="G29" s="22" t="s">
        <v>1919</v>
      </c>
    </row>
    <row r="30" spans="1:25" ht="18" customHeight="1" x14ac:dyDescent="0.2">
      <c r="A30" s="24" t="s">
        <v>1625</v>
      </c>
      <c r="B30" s="24" t="s">
        <v>1628</v>
      </c>
      <c r="C30" s="58">
        <v>5</v>
      </c>
      <c r="D30" s="58" t="s">
        <v>32</v>
      </c>
      <c r="E30" s="25" t="s">
        <v>1629</v>
      </c>
      <c r="G30" s="22" t="s">
        <v>1919</v>
      </c>
    </row>
    <row r="31" spans="1:25" ht="18" customHeight="1" x14ac:dyDescent="0.2">
      <c r="A31" s="6" t="s">
        <v>1625</v>
      </c>
      <c r="B31" s="6" t="s">
        <v>1630</v>
      </c>
      <c r="C31" s="41">
        <v>9</v>
      </c>
      <c r="D31" s="41" t="s">
        <v>32</v>
      </c>
      <c r="E31" s="25" t="s">
        <v>1631</v>
      </c>
      <c r="G31" s="22" t="s">
        <v>1919</v>
      </c>
    </row>
    <row r="32" spans="1:25" ht="18" customHeight="1" x14ac:dyDescent="0.2">
      <c r="A32" s="6" t="s">
        <v>1625</v>
      </c>
      <c r="B32" s="6" t="s">
        <v>1632</v>
      </c>
      <c r="C32" s="41">
        <v>10</v>
      </c>
      <c r="D32" s="41" t="s">
        <v>32</v>
      </c>
      <c r="E32" s="25" t="s">
        <v>1633</v>
      </c>
      <c r="G32" s="22" t="s">
        <v>1919</v>
      </c>
    </row>
    <row r="33" spans="1:8" ht="18" customHeight="1" x14ac:dyDescent="0.2">
      <c r="A33" s="6" t="s">
        <v>1625</v>
      </c>
      <c r="B33" s="6" t="s">
        <v>1634</v>
      </c>
      <c r="C33" s="41">
        <v>14</v>
      </c>
      <c r="D33" s="41" t="s">
        <v>32</v>
      </c>
      <c r="E33" s="25" t="s">
        <v>1635</v>
      </c>
      <c r="G33" s="22" t="s">
        <v>1919</v>
      </c>
    </row>
    <row r="34" spans="1:8" ht="18" customHeight="1" x14ac:dyDescent="0.2">
      <c r="A34" s="6" t="s">
        <v>1625</v>
      </c>
      <c r="B34" s="6" t="s">
        <v>1636</v>
      </c>
      <c r="C34" s="41">
        <v>11</v>
      </c>
      <c r="D34" s="41" t="s">
        <v>32</v>
      </c>
      <c r="E34" s="25" t="s">
        <v>1637</v>
      </c>
      <c r="G34" s="22" t="s">
        <v>1919</v>
      </c>
    </row>
    <row r="35" spans="1:8" ht="18" customHeight="1" x14ac:dyDescent="0.2">
      <c r="A35" s="6" t="s">
        <v>1625</v>
      </c>
      <c r="B35" s="6" t="s">
        <v>1638</v>
      </c>
      <c r="C35" s="41">
        <v>4</v>
      </c>
      <c r="D35" s="41" t="s">
        <v>32</v>
      </c>
      <c r="E35" s="25" t="s">
        <v>1639</v>
      </c>
      <c r="G35" s="22" t="s">
        <v>1919</v>
      </c>
    </row>
    <row r="36" spans="1:8" ht="18" customHeight="1" x14ac:dyDescent="0.2">
      <c r="A36" s="6" t="s">
        <v>1625</v>
      </c>
      <c r="B36" s="6" t="s">
        <v>1640</v>
      </c>
      <c r="C36" s="41">
        <v>20</v>
      </c>
      <c r="D36" s="41" t="s">
        <v>32</v>
      </c>
      <c r="E36" s="25" t="s">
        <v>1641</v>
      </c>
      <c r="G36" s="22" t="s">
        <v>1919</v>
      </c>
    </row>
    <row r="38" spans="1:8" ht="18" customHeight="1" x14ac:dyDescent="0.2">
      <c r="A38" s="6" t="s">
        <v>1642</v>
      </c>
      <c r="B38" s="6" t="s">
        <v>1643</v>
      </c>
      <c r="C38" s="41">
        <v>2</v>
      </c>
      <c r="D38" s="41" t="s">
        <v>32</v>
      </c>
      <c r="E38" s="29" t="s">
        <v>1644</v>
      </c>
      <c r="G38" s="22" t="s">
        <v>1919</v>
      </c>
      <c r="H38" s="22" t="s">
        <v>1858</v>
      </c>
    </row>
    <row r="39" spans="1:8" ht="18" customHeight="1" x14ac:dyDescent="0.2">
      <c r="A39" s="6" t="s">
        <v>1642</v>
      </c>
      <c r="B39" s="6" t="s">
        <v>1645</v>
      </c>
      <c r="C39" s="41">
        <v>4</v>
      </c>
      <c r="D39" s="41" t="s">
        <v>32</v>
      </c>
      <c r="E39" s="29" t="s">
        <v>1646</v>
      </c>
      <c r="G39" s="22" t="s">
        <v>1919</v>
      </c>
    </row>
    <row r="40" spans="1:8" ht="18" customHeight="1" x14ac:dyDescent="0.2">
      <c r="A40" s="24" t="s">
        <v>1642</v>
      </c>
      <c r="B40" s="24" t="s">
        <v>1647</v>
      </c>
      <c r="C40" s="58">
        <v>2</v>
      </c>
      <c r="D40" s="58" t="s">
        <v>32</v>
      </c>
      <c r="E40" s="29" t="s">
        <v>1648</v>
      </c>
      <c r="G40" s="22" t="s">
        <v>1919</v>
      </c>
    </row>
    <row r="41" spans="1:8" ht="18" customHeight="1" x14ac:dyDescent="0.2">
      <c r="A41" s="24" t="s">
        <v>1642</v>
      </c>
      <c r="B41" s="24" t="s">
        <v>1649</v>
      </c>
      <c r="C41" s="58">
        <v>4</v>
      </c>
      <c r="D41" s="58" t="s">
        <v>32</v>
      </c>
      <c r="E41" s="29" t="s">
        <v>1650</v>
      </c>
      <c r="G41" s="22" t="s">
        <v>1919</v>
      </c>
    </row>
    <row r="43" spans="1:8" ht="18" customHeight="1" x14ac:dyDescent="0.2">
      <c r="A43" s="6" t="s">
        <v>1651</v>
      </c>
      <c r="B43" s="6" t="s">
        <v>1652</v>
      </c>
      <c r="C43" s="41">
        <v>1</v>
      </c>
      <c r="D43" s="41" t="s">
        <v>32</v>
      </c>
      <c r="E43" s="29" t="s">
        <v>1653</v>
      </c>
      <c r="G43" s="22" t="s">
        <v>1919</v>
      </c>
    </row>
    <row r="44" spans="1:8" ht="18" customHeight="1" x14ac:dyDescent="0.2">
      <c r="A44" s="24" t="s">
        <v>1651</v>
      </c>
      <c r="B44" s="24" t="s">
        <v>1654</v>
      </c>
      <c r="C44" s="58">
        <v>4</v>
      </c>
      <c r="D44" s="58" t="s">
        <v>32</v>
      </c>
      <c r="E44" s="29" t="s">
        <v>1655</v>
      </c>
      <c r="G44" s="22" t="s">
        <v>1919</v>
      </c>
    </row>
    <row r="45" spans="1:8" ht="18" customHeight="1" x14ac:dyDescent="0.2">
      <c r="A45" s="6" t="s">
        <v>1651</v>
      </c>
      <c r="B45" s="6" t="s">
        <v>1656</v>
      </c>
      <c r="C45" s="41">
        <v>2</v>
      </c>
      <c r="D45" s="41" t="s">
        <v>32</v>
      </c>
      <c r="E45" s="29" t="s">
        <v>1657</v>
      </c>
      <c r="G45" s="22" t="s">
        <v>1919</v>
      </c>
    </row>
    <row r="46" spans="1:8" ht="18" customHeight="1" x14ac:dyDescent="0.2">
      <c r="A46" s="24" t="s">
        <v>1651</v>
      </c>
      <c r="B46" s="24" t="s">
        <v>1658</v>
      </c>
      <c r="C46" s="58">
        <v>1</v>
      </c>
      <c r="D46" s="58" t="s">
        <v>32</v>
      </c>
      <c r="E46" s="29" t="s">
        <v>1659</v>
      </c>
      <c r="G46" s="22" t="s">
        <v>1919</v>
      </c>
    </row>
    <row r="47" spans="1:8" ht="18" customHeight="1" x14ac:dyDescent="0.2">
      <c r="A47" s="24" t="s">
        <v>1651</v>
      </c>
      <c r="B47" s="24" t="s">
        <v>1660</v>
      </c>
      <c r="C47" s="58">
        <v>2</v>
      </c>
      <c r="D47" s="58" t="s">
        <v>32</v>
      </c>
      <c r="E47" s="29" t="s">
        <v>1661</v>
      </c>
      <c r="G47" s="22" t="s">
        <v>1919</v>
      </c>
    </row>
    <row r="48" spans="1:8" ht="18" customHeight="1" x14ac:dyDescent="0.2">
      <c r="A48" s="24" t="s">
        <v>1662</v>
      </c>
      <c r="B48" s="24" t="s">
        <v>1663</v>
      </c>
      <c r="C48" s="58">
        <v>1</v>
      </c>
      <c r="D48" s="58" t="s">
        <v>32</v>
      </c>
      <c r="E48" s="29" t="s">
        <v>1664</v>
      </c>
      <c r="G48" s="22" t="s">
        <v>1919</v>
      </c>
    </row>
    <row r="49" spans="1:7" ht="18" customHeight="1" x14ac:dyDescent="0.2">
      <c r="A49" s="6" t="s">
        <v>1651</v>
      </c>
      <c r="B49" s="6" t="s">
        <v>1665</v>
      </c>
      <c r="C49" s="41">
        <v>5</v>
      </c>
      <c r="D49" s="41" t="s">
        <v>32</v>
      </c>
      <c r="E49" s="29" t="s">
        <v>1666</v>
      </c>
      <c r="G49" s="22" t="s">
        <v>1919</v>
      </c>
    </row>
    <row r="50" spans="1:7" ht="18" customHeight="1" x14ac:dyDescent="0.2">
      <c r="A50" s="6" t="s">
        <v>1651</v>
      </c>
      <c r="B50" s="6" t="s">
        <v>1667</v>
      </c>
      <c r="C50" s="41">
        <v>4</v>
      </c>
      <c r="D50" s="41" t="s">
        <v>32</v>
      </c>
      <c r="E50" s="29" t="s">
        <v>1668</v>
      </c>
      <c r="G50" s="22" t="s">
        <v>1919</v>
      </c>
    </row>
    <row r="51" spans="1:7" ht="18" customHeight="1" x14ac:dyDescent="0.2">
      <c r="A51" s="6" t="s">
        <v>1651</v>
      </c>
      <c r="B51" s="6" t="s">
        <v>1669</v>
      </c>
      <c r="C51" s="41">
        <v>3</v>
      </c>
      <c r="D51" s="41" t="s">
        <v>32</v>
      </c>
      <c r="E51" s="29" t="s">
        <v>1670</v>
      </c>
      <c r="G51" s="22" t="s">
        <v>1919</v>
      </c>
    </row>
    <row r="52" spans="1:7" ht="18" customHeight="1" x14ac:dyDescent="0.2">
      <c r="A52" s="24" t="s">
        <v>1651</v>
      </c>
      <c r="B52" s="24" t="s">
        <v>1671</v>
      </c>
      <c r="C52" s="58">
        <v>1</v>
      </c>
      <c r="D52" s="58" t="s">
        <v>32</v>
      </c>
      <c r="E52" s="29" t="s">
        <v>1672</v>
      </c>
      <c r="G52" s="22" t="s">
        <v>1919</v>
      </c>
    </row>
    <row r="53" spans="1:7" ht="18" customHeight="1" x14ac:dyDescent="0.2">
      <c r="A53" s="6" t="s">
        <v>1651</v>
      </c>
      <c r="B53" s="6" t="s">
        <v>1673</v>
      </c>
      <c r="C53" s="41">
        <v>2</v>
      </c>
      <c r="D53" s="41" t="s">
        <v>32</v>
      </c>
      <c r="E53" s="29" t="s">
        <v>1674</v>
      </c>
      <c r="G53" s="22" t="s">
        <v>1919</v>
      </c>
    </row>
    <row r="54" spans="1:7" ht="18" customHeight="1" x14ac:dyDescent="0.2">
      <c r="A54" s="6" t="s">
        <v>1651</v>
      </c>
      <c r="B54" s="6" t="s">
        <v>1675</v>
      </c>
      <c r="C54" s="41">
        <v>4</v>
      </c>
      <c r="D54" s="41" t="s">
        <v>32</v>
      </c>
      <c r="E54" s="29" t="s">
        <v>1676</v>
      </c>
      <c r="G54" s="22" t="s">
        <v>1919</v>
      </c>
    </row>
    <row r="55" spans="1:7" ht="18" customHeight="1" x14ac:dyDescent="0.2">
      <c r="A55" s="6" t="s">
        <v>1651</v>
      </c>
      <c r="B55" s="6" t="s">
        <v>1677</v>
      </c>
      <c r="C55" s="41">
        <v>4</v>
      </c>
      <c r="D55" s="41" t="s">
        <v>32</v>
      </c>
      <c r="E55" s="29" t="s">
        <v>1678</v>
      </c>
      <c r="G55" s="22" t="s">
        <v>1919</v>
      </c>
    </row>
    <row r="56" spans="1:7" ht="18" customHeight="1" x14ac:dyDescent="0.2">
      <c r="A56" s="6" t="s">
        <v>1651</v>
      </c>
      <c r="B56" s="6" t="s">
        <v>1679</v>
      </c>
      <c r="C56" s="41">
        <v>4</v>
      </c>
      <c r="D56" s="41" t="s">
        <v>32</v>
      </c>
      <c r="E56" s="29" t="s">
        <v>1680</v>
      </c>
      <c r="G56" s="22" t="s">
        <v>1919</v>
      </c>
    </row>
    <row r="57" spans="1:7" ht="18" customHeight="1" x14ac:dyDescent="0.2">
      <c r="A57" s="24" t="s">
        <v>1651</v>
      </c>
      <c r="B57" s="24" t="s">
        <v>1681</v>
      </c>
      <c r="C57" s="58">
        <v>2</v>
      </c>
      <c r="D57" s="58" t="s">
        <v>32</v>
      </c>
      <c r="E57" s="29" t="s">
        <v>1682</v>
      </c>
      <c r="G57" s="22" t="s">
        <v>1919</v>
      </c>
    </row>
    <row r="58" spans="1:7" ht="18" customHeight="1" x14ac:dyDescent="0.2">
      <c r="A58" s="24" t="s">
        <v>1651</v>
      </c>
      <c r="B58" s="24" t="s">
        <v>1683</v>
      </c>
      <c r="C58" s="58">
        <v>2</v>
      </c>
      <c r="D58" s="58" t="s">
        <v>32</v>
      </c>
      <c r="E58" s="29" t="s">
        <v>1684</v>
      </c>
      <c r="G58" s="22" t="s">
        <v>1919</v>
      </c>
    </row>
    <row r="60" spans="1:7" ht="18" customHeight="1" x14ac:dyDescent="0.2">
      <c r="A60" s="31" t="s">
        <v>1651</v>
      </c>
      <c r="B60" s="31" t="s">
        <v>1685</v>
      </c>
      <c r="C60" s="59">
        <v>1</v>
      </c>
      <c r="D60" s="41" t="s">
        <v>32</v>
      </c>
      <c r="E60" s="29" t="s">
        <v>1686</v>
      </c>
      <c r="G60" s="22" t="s">
        <v>1919</v>
      </c>
    </row>
    <row r="61" spans="1:7" ht="18" customHeight="1" x14ac:dyDescent="0.2">
      <c r="A61" s="31" t="s">
        <v>1651</v>
      </c>
      <c r="B61" s="31" t="s">
        <v>1687</v>
      </c>
      <c r="C61" s="59">
        <v>1</v>
      </c>
      <c r="D61" s="41" t="s">
        <v>32</v>
      </c>
      <c r="E61" s="29" t="s">
        <v>1688</v>
      </c>
      <c r="G61" s="22" t="s">
        <v>1919</v>
      </c>
    </row>
    <row r="62" spans="1:7" ht="18" customHeight="1" x14ac:dyDescent="0.2">
      <c r="A62" s="32" t="s">
        <v>1651</v>
      </c>
      <c r="B62" s="32" t="s">
        <v>1689</v>
      </c>
      <c r="C62" s="60">
        <v>2</v>
      </c>
      <c r="D62" s="58" t="s">
        <v>32</v>
      </c>
      <c r="E62" s="29" t="s">
        <v>1690</v>
      </c>
      <c r="G62" s="22" t="s">
        <v>1919</v>
      </c>
    </row>
    <row r="63" spans="1:7" ht="18" customHeight="1" x14ac:dyDescent="0.2">
      <c r="A63" s="32" t="s">
        <v>1651</v>
      </c>
      <c r="B63" s="32" t="s">
        <v>1691</v>
      </c>
      <c r="C63" s="60">
        <v>1</v>
      </c>
      <c r="D63" s="58" t="s">
        <v>32</v>
      </c>
      <c r="E63" s="29" t="s">
        <v>1692</v>
      </c>
      <c r="G63" s="22" t="s">
        <v>1919</v>
      </c>
    </row>
    <row r="64" spans="1:7" ht="18" customHeight="1" x14ac:dyDescent="0.2">
      <c r="A64" s="31" t="s">
        <v>1651</v>
      </c>
      <c r="B64" s="31" t="s">
        <v>1693</v>
      </c>
      <c r="C64" s="59">
        <v>1</v>
      </c>
      <c r="D64" s="41" t="s">
        <v>32</v>
      </c>
      <c r="E64" s="29" t="s">
        <v>1694</v>
      </c>
      <c r="G64" s="22" t="s">
        <v>1919</v>
      </c>
    </row>
    <row r="65" spans="1:10" ht="18" customHeight="1" x14ac:dyDescent="0.2">
      <c r="A65" s="31" t="s">
        <v>1651</v>
      </c>
      <c r="B65" s="31" t="s">
        <v>1695</v>
      </c>
      <c r="C65" s="59">
        <v>3</v>
      </c>
      <c r="D65" s="41" t="s">
        <v>32</v>
      </c>
      <c r="E65" s="29" t="s">
        <v>1696</v>
      </c>
      <c r="G65" s="22" t="s">
        <v>1919</v>
      </c>
    </row>
    <row r="66" spans="1:10" ht="18" customHeight="1" x14ac:dyDescent="0.2">
      <c r="A66" s="31" t="s">
        <v>1651</v>
      </c>
      <c r="B66" s="31" t="s">
        <v>1697</v>
      </c>
      <c r="C66" s="59">
        <v>2</v>
      </c>
      <c r="D66" s="41" t="s">
        <v>32</v>
      </c>
      <c r="E66" s="29" t="s">
        <v>1698</v>
      </c>
      <c r="G66" s="22" t="s">
        <v>1919</v>
      </c>
    </row>
    <row r="67" spans="1:10" ht="18" customHeight="1" x14ac:dyDescent="0.2">
      <c r="A67" s="31" t="s">
        <v>1651</v>
      </c>
      <c r="B67" s="31" t="s">
        <v>1699</v>
      </c>
      <c r="C67" s="59">
        <v>3</v>
      </c>
      <c r="D67" s="41" t="s">
        <v>32</v>
      </c>
      <c r="E67" s="29" t="s">
        <v>1700</v>
      </c>
      <c r="G67" s="22" t="s">
        <v>1919</v>
      </c>
    </row>
    <row r="68" spans="1:10" ht="18" customHeight="1" x14ac:dyDescent="0.2">
      <c r="A68" s="32" t="s">
        <v>1651</v>
      </c>
      <c r="B68" s="32" t="s">
        <v>1701</v>
      </c>
      <c r="C68" s="60">
        <v>1</v>
      </c>
      <c r="D68" s="58" t="s">
        <v>32</v>
      </c>
      <c r="E68" s="29" t="s">
        <v>1702</v>
      </c>
      <c r="G68" s="22" t="s">
        <v>1919</v>
      </c>
    </row>
    <row r="69" spans="1:10" ht="18" customHeight="1" x14ac:dyDescent="0.2">
      <c r="A69" s="31" t="s">
        <v>1651</v>
      </c>
      <c r="B69" s="31" t="s">
        <v>1703</v>
      </c>
      <c r="C69" s="59">
        <v>1</v>
      </c>
      <c r="D69" s="41" t="s">
        <v>32</v>
      </c>
      <c r="E69" s="29" t="s">
        <v>1704</v>
      </c>
      <c r="G69" s="22" t="s">
        <v>1919</v>
      </c>
    </row>
    <row r="70" spans="1:10" ht="18" customHeight="1" x14ac:dyDescent="0.2">
      <c r="A70" s="31" t="s">
        <v>1651</v>
      </c>
      <c r="B70" s="31" t="s">
        <v>1705</v>
      </c>
      <c r="C70" s="59">
        <v>1</v>
      </c>
      <c r="D70" s="41" t="s">
        <v>32</v>
      </c>
      <c r="E70" s="29" t="s">
        <v>1706</v>
      </c>
      <c r="G70" s="22" t="s">
        <v>1919</v>
      </c>
    </row>
    <row r="71" spans="1:10" ht="18" customHeight="1" x14ac:dyDescent="0.2">
      <c r="A71" s="32" t="s">
        <v>1651</v>
      </c>
      <c r="B71" s="32" t="s">
        <v>1707</v>
      </c>
      <c r="C71" s="60">
        <v>1</v>
      </c>
      <c r="D71" s="58" t="s">
        <v>32</v>
      </c>
      <c r="E71" s="29" t="s">
        <v>1708</v>
      </c>
      <c r="G71" s="22" t="s">
        <v>1919</v>
      </c>
    </row>
    <row r="72" spans="1:10" ht="18" customHeight="1" x14ac:dyDescent="0.2">
      <c r="A72" s="31" t="s">
        <v>1651</v>
      </c>
      <c r="B72" s="31" t="s">
        <v>1709</v>
      </c>
      <c r="C72" s="59">
        <v>2</v>
      </c>
      <c r="D72" s="41" t="s">
        <v>32</v>
      </c>
      <c r="E72" s="29" t="s">
        <v>1710</v>
      </c>
      <c r="G72" s="22" t="s">
        <v>1919</v>
      </c>
    </row>
    <row r="73" spans="1:10" ht="18" customHeight="1" x14ac:dyDescent="0.2">
      <c r="A73" s="31" t="s">
        <v>1651</v>
      </c>
      <c r="B73" s="31" t="s">
        <v>1711</v>
      </c>
      <c r="C73" s="59">
        <v>3</v>
      </c>
      <c r="D73" s="41" t="s">
        <v>32</v>
      </c>
      <c r="E73" s="29" t="s">
        <v>1712</v>
      </c>
      <c r="G73" s="22" t="s">
        <v>1919</v>
      </c>
    </row>
    <row r="74" spans="1:10" ht="18" customHeight="1" x14ac:dyDescent="0.2">
      <c r="A74" s="32" t="s">
        <v>1651</v>
      </c>
      <c r="B74" s="32" t="s">
        <v>1713</v>
      </c>
      <c r="C74" s="60">
        <v>1</v>
      </c>
      <c r="D74" s="58" t="s">
        <v>32</v>
      </c>
      <c r="E74" s="29" t="s">
        <v>1714</v>
      </c>
      <c r="G74" s="22" t="s">
        <v>1919</v>
      </c>
    </row>
    <row r="75" spans="1:10" ht="18" customHeight="1" x14ac:dyDescent="0.2">
      <c r="A75" s="32" t="s">
        <v>1651</v>
      </c>
      <c r="B75" s="32" t="s">
        <v>1715</v>
      </c>
      <c r="C75" s="60">
        <v>1</v>
      </c>
      <c r="D75" s="58" t="s">
        <v>32</v>
      </c>
      <c r="E75" s="29" t="s">
        <v>1716</v>
      </c>
      <c r="G75" s="22" t="s">
        <v>1919</v>
      </c>
    </row>
    <row r="77" spans="1:10" ht="18" customHeight="1" x14ac:dyDescent="0.3">
      <c r="A77" s="28" t="s">
        <v>1749</v>
      </c>
      <c r="B77" s="28"/>
      <c r="C77" s="28"/>
      <c r="D77" s="28"/>
      <c r="E77" s="24"/>
    </row>
    <row r="78" spans="1:10" ht="18" customHeight="1" x14ac:dyDescent="0.2">
      <c r="A78" s="6" t="s">
        <v>1750</v>
      </c>
      <c r="B78" s="6" t="s">
        <v>1751</v>
      </c>
      <c r="C78" s="19">
        <v>5</v>
      </c>
      <c r="D78" s="41" t="s">
        <v>1752</v>
      </c>
      <c r="E78" s="29" t="s">
        <v>1753</v>
      </c>
      <c r="G78" s="22" t="s">
        <v>1920</v>
      </c>
      <c r="H78" s="22" t="s">
        <v>1924</v>
      </c>
      <c r="J78" s="22" t="s">
        <v>1922</v>
      </c>
    </row>
    <row r="79" spans="1:10" ht="18" customHeight="1" x14ac:dyDescent="0.2">
      <c r="A79" s="24" t="s">
        <v>1754</v>
      </c>
      <c r="B79" s="24" t="s">
        <v>1751</v>
      </c>
      <c r="C79" s="58">
        <v>5</v>
      </c>
      <c r="D79" s="58" t="s">
        <v>1752</v>
      </c>
      <c r="E79" s="29" t="s">
        <v>1753</v>
      </c>
      <c r="G79" s="22" t="s">
        <v>1920</v>
      </c>
      <c r="H79" s="22" t="s">
        <v>1924</v>
      </c>
    </row>
    <row r="80" spans="1:10" ht="18" customHeight="1" x14ac:dyDescent="0.2">
      <c r="A80" s="6" t="s">
        <v>1755</v>
      </c>
      <c r="B80" s="6" t="s">
        <v>1756</v>
      </c>
      <c r="C80" s="19">
        <v>31</v>
      </c>
      <c r="D80" s="41" t="s">
        <v>32</v>
      </c>
      <c r="E80" s="29" t="s">
        <v>1757</v>
      </c>
      <c r="G80" s="22" t="s">
        <v>1923</v>
      </c>
      <c r="H80" s="22" t="s">
        <v>1921</v>
      </c>
    </row>
    <row r="82" spans="1:8" ht="18" customHeight="1" x14ac:dyDescent="0.3">
      <c r="A82" s="28" t="s">
        <v>1758</v>
      </c>
      <c r="B82" s="28"/>
      <c r="C82" s="28"/>
      <c r="D82" s="28"/>
      <c r="E82" s="24"/>
    </row>
    <row r="83" spans="1:8" ht="18" customHeight="1" x14ac:dyDescent="0.2">
      <c r="A83" s="6" t="s">
        <v>1759</v>
      </c>
      <c r="B83" s="6" t="s">
        <v>1760</v>
      </c>
      <c r="C83" s="19">
        <v>2</v>
      </c>
      <c r="D83" s="41" t="s">
        <v>32</v>
      </c>
      <c r="E83" s="29" t="s">
        <v>1761</v>
      </c>
      <c r="G83" s="22" t="s">
        <v>1923</v>
      </c>
      <c r="H83" s="22" t="s">
        <v>1913</v>
      </c>
    </row>
    <row r="84" spans="1:8" ht="18" customHeight="1" x14ac:dyDescent="0.2">
      <c r="A84" s="24" t="s">
        <v>1759</v>
      </c>
      <c r="B84" s="24" t="s">
        <v>1762</v>
      </c>
      <c r="C84" s="58">
        <v>2</v>
      </c>
      <c r="D84" s="58" t="s">
        <v>32</v>
      </c>
      <c r="E84" s="29" t="s">
        <v>1763</v>
      </c>
      <c r="G84" s="22" t="s">
        <v>1923</v>
      </c>
      <c r="H84" s="22" t="s">
        <v>1913</v>
      </c>
    </row>
    <row r="85" spans="1:8" ht="18" customHeight="1" x14ac:dyDescent="0.2">
      <c r="A85" s="6" t="s">
        <v>1759</v>
      </c>
      <c r="B85" s="6" t="s">
        <v>1764</v>
      </c>
      <c r="C85" s="41">
        <v>31</v>
      </c>
      <c r="D85" s="41" t="s">
        <v>32</v>
      </c>
      <c r="E85" s="29" t="s">
        <v>1765</v>
      </c>
      <c r="G85" s="22" t="s">
        <v>1923</v>
      </c>
      <c r="H85" s="22" t="s">
        <v>1913</v>
      </c>
    </row>
    <row r="86" spans="1:8" ht="18" customHeight="1" x14ac:dyDescent="0.2">
      <c r="A86" s="6" t="s">
        <v>1759</v>
      </c>
      <c r="B86" s="6" t="s">
        <v>1766</v>
      </c>
      <c r="C86" s="41">
        <v>16</v>
      </c>
      <c r="D86" s="41" t="s">
        <v>32</v>
      </c>
      <c r="E86" s="29" t="s">
        <v>1767</v>
      </c>
      <c r="G86" s="22" t="s">
        <v>1923</v>
      </c>
      <c r="H86" s="22" t="s">
        <v>1913</v>
      </c>
    </row>
    <row r="88" spans="1:8" ht="18" customHeight="1" x14ac:dyDescent="0.2">
      <c r="A88" s="30" t="s">
        <v>1776</v>
      </c>
      <c r="B88" s="30" t="s">
        <v>1777</v>
      </c>
      <c r="C88" s="56">
        <v>2</v>
      </c>
      <c r="D88" s="64" t="s">
        <v>32</v>
      </c>
      <c r="E88" s="65" t="s">
        <v>1778</v>
      </c>
      <c r="G88" s="22" t="s">
        <v>1923</v>
      </c>
      <c r="H88" s="22" t="s">
        <v>1925</v>
      </c>
    </row>
    <row r="90" spans="1:8" ht="18" customHeight="1" x14ac:dyDescent="0.2">
      <c r="A90" s="6" t="s">
        <v>1768</v>
      </c>
      <c r="B90" s="6" t="s">
        <v>1769</v>
      </c>
      <c r="C90" s="19">
        <v>3</v>
      </c>
      <c r="D90" s="41" t="s">
        <v>32</v>
      </c>
      <c r="E90" s="29" t="s">
        <v>1770</v>
      </c>
      <c r="G90" s="22" t="s">
        <v>1923</v>
      </c>
      <c r="H90" s="22" t="s">
        <v>1925</v>
      </c>
    </row>
    <row r="91" spans="1:8" ht="18" customHeight="1" x14ac:dyDescent="0.2">
      <c r="A91" s="6" t="s">
        <v>1768</v>
      </c>
      <c r="B91" s="6" t="s">
        <v>1771</v>
      </c>
      <c r="C91" s="19">
        <v>3</v>
      </c>
      <c r="D91" s="41" t="s">
        <v>32</v>
      </c>
      <c r="E91" s="29" t="s">
        <v>1772</v>
      </c>
      <c r="G91" s="22" t="s">
        <v>1923</v>
      </c>
      <c r="H91" s="22" t="s">
        <v>1925</v>
      </c>
    </row>
    <row r="93" spans="1:8" ht="18" customHeight="1" x14ac:dyDescent="0.2">
      <c r="A93" s="30" t="s">
        <v>1782</v>
      </c>
      <c r="B93" s="30" t="s">
        <v>1783</v>
      </c>
      <c r="C93" s="56">
        <v>17</v>
      </c>
      <c r="D93" s="64" t="s">
        <v>32</v>
      </c>
      <c r="E93" s="65" t="s">
        <v>1784</v>
      </c>
      <c r="G93" s="22" t="s">
        <v>1923</v>
      </c>
      <c r="H93" s="22" t="s">
        <v>1913</v>
      </c>
    </row>
    <row r="94" spans="1:8" ht="18" customHeight="1" x14ac:dyDescent="0.2">
      <c r="A94" s="30" t="s">
        <v>1785</v>
      </c>
      <c r="B94" s="30" t="s">
        <v>1786</v>
      </c>
      <c r="C94" s="56">
        <v>17</v>
      </c>
      <c r="D94" s="64" t="s">
        <v>32</v>
      </c>
      <c r="E94" s="65" t="s">
        <v>1787</v>
      </c>
      <c r="G94" s="22" t="s">
        <v>1923</v>
      </c>
      <c r="H94" s="22" t="s">
        <v>1913</v>
      </c>
    </row>
    <row r="96" spans="1:8" ht="18" customHeight="1" x14ac:dyDescent="0.2">
      <c r="A96" s="6" t="s">
        <v>1791</v>
      </c>
      <c r="B96" s="6" t="s">
        <v>1792</v>
      </c>
      <c r="C96" s="19">
        <v>12</v>
      </c>
      <c r="D96" s="41" t="s">
        <v>32</v>
      </c>
      <c r="E96" s="29" t="s">
        <v>1793</v>
      </c>
      <c r="G96" s="22" t="s">
        <v>1923</v>
      </c>
      <c r="H96" s="22" t="s">
        <v>1913</v>
      </c>
    </row>
    <row r="97" spans="1:8" ht="18" customHeight="1" x14ac:dyDescent="0.2">
      <c r="A97" s="6" t="s">
        <v>1791</v>
      </c>
      <c r="B97" s="6" t="s">
        <v>1794</v>
      </c>
      <c r="C97" s="41">
        <v>2</v>
      </c>
      <c r="D97" s="41" t="s">
        <v>32</v>
      </c>
      <c r="E97" s="29" t="s">
        <v>1795</v>
      </c>
      <c r="G97" s="22" t="s">
        <v>1923</v>
      </c>
      <c r="H97" s="22" t="s">
        <v>1913</v>
      </c>
    </row>
    <row r="99" spans="1:8" ht="18" customHeight="1" x14ac:dyDescent="0.3">
      <c r="A99" s="28" t="s">
        <v>1853</v>
      </c>
      <c r="B99" s="28"/>
      <c r="C99" s="28"/>
      <c r="D99" s="28"/>
    </row>
    <row r="100" spans="1:8" ht="18" customHeight="1" x14ac:dyDescent="0.3">
      <c r="A100" s="6" t="s">
        <v>1854</v>
      </c>
      <c r="B100" s="6" t="s">
        <v>1855</v>
      </c>
      <c r="C100" s="41">
        <v>1</v>
      </c>
      <c r="D100" s="41" t="s">
        <v>1852</v>
      </c>
      <c r="G100" s="22" t="s">
        <v>1926</v>
      </c>
    </row>
    <row r="101" spans="1:8" ht="18" customHeight="1" x14ac:dyDescent="0.3">
      <c r="A101" s="6" t="s">
        <v>1856</v>
      </c>
      <c r="B101" s="6"/>
      <c r="C101" s="41">
        <v>3</v>
      </c>
      <c r="D101" s="41" t="s">
        <v>1852</v>
      </c>
      <c r="G101" s="22" t="s">
        <v>1926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6C14-0CDD-476E-A1FA-D6FB7FECDE03}">
  <dimension ref="A1:AE32"/>
  <sheetViews>
    <sheetView zoomScale="85" zoomScaleNormal="85" workbookViewId="0">
      <selection activeCell="F136" sqref="F136"/>
    </sheetView>
  </sheetViews>
  <sheetFormatPr defaultColWidth="9" defaultRowHeight="18" customHeight="1" x14ac:dyDescent="0.3"/>
  <cols>
    <col min="1" max="2" width="40.625" style="1" customWidth="1"/>
    <col min="3" max="4" width="8.625" style="1" customWidth="1"/>
    <col min="5" max="5" width="27.375" style="22" bestFit="1" customWidth="1"/>
    <col min="6" max="6" width="9" style="22"/>
    <col min="7" max="7" width="35.25" style="22" bestFit="1" customWidth="1"/>
    <col min="8" max="8" width="26.125" style="22" bestFit="1" customWidth="1"/>
    <col min="9" max="12" width="10.625" style="22" customWidth="1"/>
    <col min="13" max="15" width="9" style="22" customWidth="1"/>
    <col min="16" max="20" width="9" style="21" customWidth="1"/>
    <col min="21" max="21" width="9" style="22"/>
    <col min="22" max="23" width="9" style="22" customWidth="1"/>
    <col min="24" max="27" width="9" style="22"/>
    <col min="28" max="28" width="37.5" style="22" bestFit="1" customWidth="1"/>
    <col min="29" max="29" width="10.75" style="22" bestFit="1" customWidth="1"/>
    <col min="30" max="16384" width="9" style="22"/>
  </cols>
  <sheetData>
    <row r="1" spans="1:31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  <c r="X1" s="21"/>
      <c r="Y1" s="21"/>
      <c r="AD1" s="21"/>
      <c r="AE1" s="21"/>
    </row>
    <row r="2" spans="1:31" ht="18" customHeight="1" x14ac:dyDescent="0.3">
      <c r="A2" s="203"/>
      <c r="B2" s="203"/>
      <c r="C2" s="203"/>
      <c r="D2" s="203"/>
      <c r="E2" s="203"/>
      <c r="I2" s="21"/>
      <c r="J2" s="21"/>
      <c r="K2" s="21"/>
      <c r="L2" s="21"/>
      <c r="Y2" s="21"/>
      <c r="AB2" s="21"/>
      <c r="AC2" s="21"/>
      <c r="AD2" s="21"/>
      <c r="AE2" s="21"/>
    </row>
    <row r="3" spans="1:31" ht="18" customHeight="1" thickBot="1" x14ac:dyDescent="0.35">
      <c r="A3" s="76" t="s">
        <v>1531</v>
      </c>
      <c r="B3" s="76"/>
      <c r="C3" s="76"/>
      <c r="D3" s="77"/>
      <c r="E3" s="78"/>
      <c r="I3" s="21"/>
      <c r="J3" s="21"/>
      <c r="K3" s="21"/>
      <c r="L3" s="21"/>
      <c r="Y3" s="21"/>
      <c r="AB3" s="21"/>
      <c r="AC3" s="21"/>
      <c r="AD3" s="21"/>
      <c r="AE3" s="21"/>
    </row>
    <row r="4" spans="1:31" ht="18" customHeight="1" x14ac:dyDescent="0.2">
      <c r="A4" s="79" t="s">
        <v>1532</v>
      </c>
      <c r="B4" s="80" t="s">
        <v>1533</v>
      </c>
      <c r="C4" s="81">
        <v>30</v>
      </c>
      <c r="D4" s="81" t="s">
        <v>1534</v>
      </c>
      <c r="E4" s="82" t="s">
        <v>1535</v>
      </c>
      <c r="G4" s="22" t="s">
        <v>1916</v>
      </c>
      <c r="H4" s="22" t="s">
        <v>1915</v>
      </c>
      <c r="I4" s="75" t="s">
        <v>1914</v>
      </c>
      <c r="L4" s="21"/>
      <c r="M4" s="22" t="s">
        <v>1912</v>
      </c>
      <c r="P4" s="22"/>
      <c r="Q4" s="22"/>
      <c r="R4" s="22"/>
      <c r="S4" s="22"/>
      <c r="U4" s="21"/>
      <c r="V4" s="21"/>
      <c r="W4" s="21"/>
      <c r="X4" s="21"/>
      <c r="Y4" s="21"/>
      <c r="AB4" s="21"/>
      <c r="AC4" s="21"/>
      <c r="AD4" s="21"/>
      <c r="AE4" s="21"/>
    </row>
    <row r="5" spans="1:31" ht="18" customHeight="1" x14ac:dyDescent="0.2">
      <c r="A5" s="83" t="s">
        <v>1532</v>
      </c>
      <c r="B5" s="28" t="s">
        <v>1536</v>
      </c>
      <c r="C5" s="2">
        <v>210</v>
      </c>
      <c r="D5" s="2" t="s">
        <v>10</v>
      </c>
      <c r="E5" s="84" t="s">
        <v>1537</v>
      </c>
      <c r="G5" s="22" t="s">
        <v>1916</v>
      </c>
      <c r="H5" s="22" t="s">
        <v>1915</v>
      </c>
      <c r="I5" s="75" t="s">
        <v>1914</v>
      </c>
      <c r="J5" s="21"/>
      <c r="K5" s="21"/>
      <c r="L5" s="21"/>
      <c r="M5" s="21"/>
      <c r="N5" s="21" t="s">
        <v>1877</v>
      </c>
      <c r="O5" s="21" t="s">
        <v>1893</v>
      </c>
      <c r="P5" s="21" t="s">
        <v>1871</v>
      </c>
      <c r="Q5" s="21" t="s">
        <v>1870</v>
      </c>
      <c r="R5" s="21" t="s">
        <v>1880</v>
      </c>
      <c r="S5" s="21" t="s">
        <v>1881</v>
      </c>
      <c r="T5" s="21" t="s">
        <v>1897</v>
      </c>
      <c r="U5" s="21" t="s">
        <v>1904</v>
      </c>
      <c r="V5" s="21" t="s">
        <v>1907</v>
      </c>
      <c r="W5" s="21" t="s">
        <v>1905</v>
      </c>
      <c r="X5" s="21" t="s">
        <v>1906</v>
      </c>
      <c r="Y5" s="21"/>
      <c r="AB5" s="21"/>
      <c r="AC5" s="21"/>
      <c r="AD5" s="21"/>
      <c r="AE5" s="21"/>
    </row>
    <row r="6" spans="1:31" ht="18" customHeight="1" x14ac:dyDescent="0.2">
      <c r="A6" s="85" t="s">
        <v>1532</v>
      </c>
      <c r="B6" s="27" t="s">
        <v>1884</v>
      </c>
      <c r="C6" s="2">
        <v>485</v>
      </c>
      <c r="D6" s="2" t="s">
        <v>10</v>
      </c>
      <c r="E6" s="84" t="s">
        <v>1538</v>
      </c>
      <c r="G6" s="22" t="s">
        <v>1916</v>
      </c>
      <c r="H6" s="22" t="s">
        <v>1915</v>
      </c>
      <c r="I6" s="75" t="s">
        <v>1914</v>
      </c>
      <c r="J6" s="21"/>
      <c r="K6" s="21"/>
      <c r="L6" s="21"/>
      <c r="M6" s="21" t="s">
        <v>1869</v>
      </c>
      <c r="N6" s="21">
        <v>1</v>
      </c>
      <c r="O6" s="21">
        <v>30</v>
      </c>
      <c r="P6" s="72" t="s">
        <v>1533</v>
      </c>
      <c r="Q6" s="71" t="s">
        <v>1872</v>
      </c>
      <c r="R6" s="22"/>
      <c r="S6" s="22"/>
      <c r="T6" s="72" t="s">
        <v>1898</v>
      </c>
      <c r="U6" s="21"/>
      <c r="V6" s="71" t="s">
        <v>1911</v>
      </c>
      <c r="W6" s="21"/>
      <c r="X6" s="21"/>
      <c r="Y6" s="21"/>
      <c r="AB6" s="21"/>
      <c r="AC6" s="21"/>
      <c r="AD6" s="21"/>
      <c r="AE6" s="21"/>
    </row>
    <row r="7" spans="1:31" ht="18" customHeight="1" x14ac:dyDescent="0.2">
      <c r="A7" s="85" t="s">
        <v>1532</v>
      </c>
      <c r="B7" s="27" t="s">
        <v>1885</v>
      </c>
      <c r="C7" s="2">
        <v>1095</v>
      </c>
      <c r="D7" s="2" t="s">
        <v>10</v>
      </c>
      <c r="E7" s="84" t="s">
        <v>1539</v>
      </c>
      <c r="G7" s="22" t="s">
        <v>1916</v>
      </c>
      <c r="H7" s="22" t="s">
        <v>1915</v>
      </c>
      <c r="I7" s="75" t="s">
        <v>1914</v>
      </c>
      <c r="M7" s="21"/>
      <c r="N7" s="21"/>
      <c r="O7" s="21"/>
      <c r="R7" s="22"/>
      <c r="S7" s="22"/>
      <c r="U7" s="21"/>
      <c r="V7" s="21"/>
      <c r="W7" s="21"/>
      <c r="X7" s="21"/>
      <c r="Y7" s="21"/>
      <c r="AB7" s="21"/>
      <c r="AC7" s="21"/>
      <c r="AD7" s="21"/>
      <c r="AE7" s="21"/>
    </row>
    <row r="8" spans="1:31" ht="18" customHeight="1" x14ac:dyDescent="0.2">
      <c r="A8" s="85" t="s">
        <v>1532</v>
      </c>
      <c r="B8" s="27" t="s">
        <v>1540</v>
      </c>
      <c r="C8" s="2">
        <v>390</v>
      </c>
      <c r="D8" s="2" t="s">
        <v>10</v>
      </c>
      <c r="E8" s="84" t="s">
        <v>1541</v>
      </c>
      <c r="G8" s="22" t="s">
        <v>1916</v>
      </c>
      <c r="H8" s="22" t="s">
        <v>1915</v>
      </c>
      <c r="I8" s="75" t="s">
        <v>1914</v>
      </c>
      <c r="J8" s="21"/>
      <c r="K8" s="21"/>
      <c r="L8" s="21"/>
      <c r="M8" s="21" t="s">
        <v>1868</v>
      </c>
      <c r="N8" s="21">
        <v>3</v>
      </c>
      <c r="O8" s="21">
        <v>30</v>
      </c>
      <c r="P8" s="72" t="s">
        <v>1873</v>
      </c>
      <c r="Q8" s="71" t="s">
        <v>1876</v>
      </c>
      <c r="R8" s="74" t="s">
        <v>1883</v>
      </c>
      <c r="S8" s="73" t="s">
        <v>1882</v>
      </c>
      <c r="U8" s="72" t="s">
        <v>1900</v>
      </c>
      <c r="V8" s="71" t="s">
        <v>1901</v>
      </c>
      <c r="W8" s="74" t="s">
        <v>1902</v>
      </c>
      <c r="X8" s="73" t="s">
        <v>1903</v>
      </c>
      <c r="Y8" s="21"/>
      <c r="AB8" s="21"/>
      <c r="AC8" s="21"/>
      <c r="AD8" s="21"/>
      <c r="AE8" s="21"/>
    </row>
    <row r="9" spans="1:31" ht="18" customHeight="1" x14ac:dyDescent="0.2">
      <c r="A9" s="85" t="s">
        <v>1895</v>
      </c>
      <c r="B9" s="27" t="s">
        <v>1879</v>
      </c>
      <c r="C9" s="2">
        <v>1040</v>
      </c>
      <c r="D9" s="2" t="s">
        <v>10</v>
      </c>
      <c r="E9" s="84" t="s">
        <v>1544</v>
      </c>
      <c r="G9" s="22" t="s">
        <v>1916</v>
      </c>
      <c r="H9" s="22" t="s">
        <v>1915</v>
      </c>
      <c r="I9" s="75" t="s">
        <v>1914</v>
      </c>
      <c r="M9" s="21" t="s">
        <v>1878</v>
      </c>
      <c r="N9" s="21">
        <v>2</v>
      </c>
      <c r="O9" s="21">
        <v>30</v>
      </c>
      <c r="P9" s="72" t="s">
        <v>1885</v>
      </c>
      <c r="Q9" s="71" t="s">
        <v>1876</v>
      </c>
      <c r="R9" s="74" t="s">
        <v>1886</v>
      </c>
      <c r="S9" s="21" t="s">
        <v>1887</v>
      </c>
      <c r="U9" s="72" t="s">
        <v>1908</v>
      </c>
      <c r="V9" s="71" t="s">
        <v>1901</v>
      </c>
      <c r="W9" s="74" t="s">
        <v>1909</v>
      </c>
      <c r="X9" s="21"/>
      <c r="Y9" s="21"/>
      <c r="Z9" s="21"/>
      <c r="AB9" s="21"/>
      <c r="AC9" s="21"/>
      <c r="AD9" s="21"/>
      <c r="AE9" s="21"/>
    </row>
    <row r="10" spans="1:31" ht="18" customHeight="1" x14ac:dyDescent="0.2">
      <c r="A10" s="83" t="s">
        <v>1542</v>
      </c>
      <c r="B10" s="28" t="s">
        <v>1545</v>
      </c>
      <c r="C10" s="2">
        <v>170</v>
      </c>
      <c r="D10" s="2" t="s">
        <v>10</v>
      </c>
      <c r="E10" s="84" t="s">
        <v>1546</v>
      </c>
      <c r="G10" s="22" t="s">
        <v>1916</v>
      </c>
      <c r="H10" s="22" t="s">
        <v>1915</v>
      </c>
      <c r="I10" s="75" t="s">
        <v>1914</v>
      </c>
      <c r="J10" s="21"/>
      <c r="K10" s="21"/>
      <c r="L10" s="21"/>
      <c r="P10" s="22"/>
      <c r="Q10" s="22"/>
      <c r="R10" s="22"/>
      <c r="S10" s="22"/>
      <c r="U10" s="21"/>
      <c r="V10" s="21"/>
      <c r="W10" s="21"/>
      <c r="X10" s="21"/>
      <c r="Y10" s="21"/>
      <c r="Z10" s="21"/>
      <c r="AB10" s="21"/>
      <c r="AC10" s="21"/>
      <c r="AD10" s="21"/>
      <c r="AE10" s="21"/>
    </row>
    <row r="11" spans="1:31" ht="18" customHeight="1" x14ac:dyDescent="0.2">
      <c r="A11" s="85" t="s">
        <v>1542</v>
      </c>
      <c r="B11" s="27" t="s">
        <v>1547</v>
      </c>
      <c r="C11" s="2">
        <v>605</v>
      </c>
      <c r="D11" s="2" t="s">
        <v>10</v>
      </c>
      <c r="E11" s="84" t="s">
        <v>1548</v>
      </c>
      <c r="G11" s="22" t="s">
        <v>1916</v>
      </c>
      <c r="H11" s="22" t="s">
        <v>1915</v>
      </c>
      <c r="I11" s="75" t="s">
        <v>1914</v>
      </c>
      <c r="M11" s="21" t="s">
        <v>1888</v>
      </c>
      <c r="N11" s="21">
        <v>1</v>
      </c>
      <c r="O11" s="21">
        <v>30</v>
      </c>
      <c r="P11" s="72" t="s">
        <v>1533</v>
      </c>
      <c r="Q11" s="71" t="s">
        <v>1872</v>
      </c>
      <c r="R11" s="22"/>
      <c r="S11" s="22"/>
      <c r="T11" s="72" t="s">
        <v>1898</v>
      </c>
      <c r="U11" s="21"/>
      <c r="V11" s="71" t="s">
        <v>1911</v>
      </c>
      <c r="W11" s="21"/>
      <c r="X11" s="21"/>
      <c r="Y11" s="21"/>
      <c r="Z11" s="21"/>
      <c r="AB11" s="21"/>
      <c r="AC11" s="21"/>
      <c r="AD11" s="21"/>
      <c r="AE11" s="21"/>
    </row>
    <row r="12" spans="1:31" ht="18" customHeight="1" x14ac:dyDescent="0.2">
      <c r="A12" s="85" t="s">
        <v>1542</v>
      </c>
      <c r="B12" s="27" t="s">
        <v>1883</v>
      </c>
      <c r="C12" s="2">
        <v>545</v>
      </c>
      <c r="D12" s="2" t="s">
        <v>10</v>
      </c>
      <c r="E12" s="84" t="s">
        <v>1549</v>
      </c>
      <c r="G12" s="22" t="s">
        <v>1916</v>
      </c>
      <c r="H12" s="22" t="s">
        <v>1915</v>
      </c>
      <c r="I12" s="75" t="s">
        <v>1914</v>
      </c>
      <c r="J12" s="21"/>
      <c r="K12" s="21"/>
      <c r="L12" s="21"/>
      <c r="P12" s="22"/>
      <c r="Q12" s="22"/>
      <c r="R12" s="22"/>
      <c r="S12" s="22"/>
      <c r="U12" s="21"/>
      <c r="V12" s="21"/>
      <c r="W12" s="21"/>
      <c r="X12" s="21"/>
      <c r="Y12" s="21"/>
      <c r="Z12" s="21"/>
    </row>
    <row r="13" spans="1:31" ht="18" customHeight="1" x14ac:dyDescent="0.2">
      <c r="A13" s="85" t="s">
        <v>1542</v>
      </c>
      <c r="B13" s="27" t="s">
        <v>1886</v>
      </c>
      <c r="C13" s="2">
        <v>555</v>
      </c>
      <c r="D13" s="2" t="s">
        <v>10</v>
      </c>
      <c r="E13" s="84" t="s">
        <v>1550</v>
      </c>
      <c r="G13" s="22" t="s">
        <v>1916</v>
      </c>
      <c r="H13" s="22" t="s">
        <v>1915</v>
      </c>
      <c r="I13" s="75" t="s">
        <v>1914</v>
      </c>
      <c r="M13" s="21" t="s">
        <v>1889</v>
      </c>
      <c r="N13" s="21">
        <v>2</v>
      </c>
      <c r="O13" s="21">
        <v>40</v>
      </c>
      <c r="P13" s="72" t="s">
        <v>1873</v>
      </c>
      <c r="Q13" s="71" t="s">
        <v>1876</v>
      </c>
      <c r="R13" s="74" t="s">
        <v>1883</v>
      </c>
      <c r="S13" s="73" t="s">
        <v>1882</v>
      </c>
      <c r="U13" s="72" t="s">
        <v>1900</v>
      </c>
      <c r="V13" s="71" t="s">
        <v>1901</v>
      </c>
      <c r="W13" s="74" t="s">
        <v>1902</v>
      </c>
      <c r="X13" s="73" t="s">
        <v>1903</v>
      </c>
      <c r="Y13" s="21"/>
      <c r="Z13" s="21"/>
    </row>
    <row r="14" spans="1:31" ht="18" customHeight="1" x14ac:dyDescent="0.2">
      <c r="A14" s="85" t="s">
        <v>1896</v>
      </c>
      <c r="B14" s="27" t="s">
        <v>1543</v>
      </c>
      <c r="C14" s="2">
        <v>60</v>
      </c>
      <c r="D14" s="2" t="s">
        <v>10</v>
      </c>
      <c r="E14" s="84" t="s">
        <v>1552</v>
      </c>
      <c r="G14" s="22" t="s">
        <v>1916</v>
      </c>
      <c r="H14" s="22" t="s">
        <v>1915</v>
      </c>
      <c r="I14" s="75" t="s">
        <v>1914</v>
      </c>
      <c r="J14" s="21"/>
      <c r="K14" s="21"/>
      <c r="L14" s="21"/>
      <c r="P14" s="22"/>
      <c r="Q14" s="22"/>
      <c r="R14" s="22"/>
      <c r="S14" s="22"/>
      <c r="U14" s="21"/>
      <c r="V14" s="21"/>
      <c r="W14" s="21"/>
      <c r="X14" s="21"/>
      <c r="Y14" s="21"/>
      <c r="Z14" s="21"/>
    </row>
    <row r="15" spans="1:31" ht="18" customHeight="1" x14ac:dyDescent="0.2">
      <c r="A15" s="85" t="s">
        <v>1551</v>
      </c>
      <c r="B15" s="27" t="s">
        <v>1874</v>
      </c>
      <c r="C15" s="2">
        <v>790</v>
      </c>
      <c r="D15" s="2" t="s">
        <v>10</v>
      </c>
      <c r="E15" s="84" t="s">
        <v>1553</v>
      </c>
      <c r="G15" s="22" t="s">
        <v>1916</v>
      </c>
      <c r="H15" s="22" t="s">
        <v>1915</v>
      </c>
      <c r="I15" s="75" t="s">
        <v>1914</v>
      </c>
      <c r="M15" s="21" t="s">
        <v>1890</v>
      </c>
      <c r="N15" s="21">
        <v>1</v>
      </c>
      <c r="O15" s="21">
        <v>30</v>
      </c>
      <c r="P15" s="72" t="s">
        <v>1891</v>
      </c>
      <c r="Q15" s="71" t="s">
        <v>1872</v>
      </c>
      <c r="R15" s="22"/>
      <c r="S15" s="22"/>
      <c r="T15" s="72" t="s">
        <v>1899</v>
      </c>
      <c r="U15" s="21"/>
      <c r="V15" s="71" t="s">
        <v>1911</v>
      </c>
      <c r="W15" s="21"/>
      <c r="X15" s="21"/>
      <c r="Y15" s="21"/>
      <c r="Z15" s="21"/>
    </row>
    <row r="16" spans="1:31" ht="18" customHeight="1" x14ac:dyDescent="0.2">
      <c r="A16" s="85" t="s">
        <v>1551</v>
      </c>
      <c r="B16" s="27" t="s">
        <v>1882</v>
      </c>
      <c r="C16" s="2">
        <v>30</v>
      </c>
      <c r="D16" s="2" t="s">
        <v>10</v>
      </c>
      <c r="E16" s="84" t="s">
        <v>1554</v>
      </c>
      <c r="G16" s="22" t="s">
        <v>1916</v>
      </c>
      <c r="H16" s="22" t="s">
        <v>1915</v>
      </c>
      <c r="I16" s="75" t="s">
        <v>1914</v>
      </c>
      <c r="P16" s="22"/>
      <c r="Q16" s="22"/>
      <c r="R16" s="22"/>
      <c r="S16" s="22"/>
      <c r="U16" s="21"/>
      <c r="V16" s="21"/>
      <c r="W16" s="21"/>
      <c r="X16" s="21"/>
      <c r="Y16" s="21"/>
    </row>
    <row r="17" spans="1:25" ht="18" customHeight="1" x14ac:dyDescent="0.2">
      <c r="A17" s="83" t="s">
        <v>1894</v>
      </c>
      <c r="B17" s="28" t="s">
        <v>1872</v>
      </c>
      <c r="C17" s="2">
        <v>30</v>
      </c>
      <c r="D17" s="2" t="s">
        <v>10</v>
      </c>
      <c r="E17" s="84" t="s">
        <v>1557</v>
      </c>
      <c r="G17" s="22" t="s">
        <v>1916</v>
      </c>
      <c r="H17" s="22" t="s">
        <v>1915</v>
      </c>
      <c r="I17" s="75" t="s">
        <v>1914</v>
      </c>
      <c r="M17" s="21" t="s">
        <v>1892</v>
      </c>
      <c r="N17" s="21">
        <v>3</v>
      </c>
      <c r="O17" s="21">
        <v>40</v>
      </c>
      <c r="P17" s="72" t="s">
        <v>1884</v>
      </c>
      <c r="Q17" s="71" t="s">
        <v>1876</v>
      </c>
      <c r="R17" s="74" t="s">
        <v>1886</v>
      </c>
      <c r="S17" s="21" t="s">
        <v>1887</v>
      </c>
      <c r="U17" s="72" t="s">
        <v>1910</v>
      </c>
      <c r="V17" s="71" t="s">
        <v>1901</v>
      </c>
      <c r="W17" s="74" t="s">
        <v>1909</v>
      </c>
      <c r="X17" s="21"/>
      <c r="Y17" s="21"/>
    </row>
    <row r="18" spans="1:25" ht="18" customHeight="1" x14ac:dyDescent="0.2">
      <c r="A18" s="85" t="s">
        <v>1555</v>
      </c>
      <c r="B18" s="27" t="s">
        <v>1875</v>
      </c>
      <c r="C18" s="2">
        <v>210</v>
      </c>
      <c r="D18" s="2" t="s">
        <v>10</v>
      </c>
      <c r="E18" s="84" t="s">
        <v>1558</v>
      </c>
      <c r="G18" s="22" t="s">
        <v>1916</v>
      </c>
      <c r="H18" s="22" t="s">
        <v>1915</v>
      </c>
      <c r="I18" s="75" t="s">
        <v>1914</v>
      </c>
      <c r="W18" s="21"/>
      <c r="X18" s="21"/>
      <c r="Y18" s="21"/>
    </row>
    <row r="19" spans="1:25" ht="18" customHeight="1" x14ac:dyDescent="0.2">
      <c r="A19" s="85" t="s">
        <v>1555</v>
      </c>
      <c r="B19" s="27" t="s">
        <v>1876</v>
      </c>
      <c r="C19" s="2">
        <v>2595</v>
      </c>
      <c r="D19" s="2" t="s">
        <v>10</v>
      </c>
      <c r="E19" s="84" t="s">
        <v>1559</v>
      </c>
      <c r="G19" s="22" t="s">
        <v>1916</v>
      </c>
      <c r="H19" s="22" t="s">
        <v>1915</v>
      </c>
      <c r="I19" s="75" t="s">
        <v>1914</v>
      </c>
      <c r="W19" s="21"/>
      <c r="X19" s="21"/>
      <c r="Y19" s="21"/>
    </row>
    <row r="20" spans="1:25" ht="18" customHeight="1" thickBot="1" x14ac:dyDescent="0.25">
      <c r="A20" s="86" t="s">
        <v>1555</v>
      </c>
      <c r="B20" s="87" t="s">
        <v>1560</v>
      </c>
      <c r="C20" s="88">
        <v>390</v>
      </c>
      <c r="D20" s="88" t="s">
        <v>10</v>
      </c>
      <c r="E20" s="89" t="s">
        <v>1561</v>
      </c>
      <c r="G20" s="22" t="s">
        <v>1916</v>
      </c>
      <c r="H20" s="22" t="s">
        <v>1915</v>
      </c>
      <c r="I20" s="75" t="s">
        <v>1914</v>
      </c>
      <c r="W20" s="21"/>
      <c r="X20" s="21"/>
      <c r="Y20" s="21"/>
    </row>
    <row r="22" spans="1:25" ht="18" customHeight="1" x14ac:dyDescent="0.2">
      <c r="A22" s="14" t="s">
        <v>1608</v>
      </c>
      <c r="B22" s="14" t="s">
        <v>1609</v>
      </c>
      <c r="C22" s="23">
        <v>16</v>
      </c>
      <c r="D22" s="13" t="s">
        <v>32</v>
      </c>
      <c r="E22" s="39" t="s">
        <v>1610</v>
      </c>
      <c r="G22" s="22" t="s">
        <v>1928</v>
      </c>
      <c r="I22" s="22" t="s">
        <v>1931</v>
      </c>
    </row>
    <row r="23" spans="1:25" ht="18" customHeight="1" x14ac:dyDescent="0.2">
      <c r="A23" s="14" t="s">
        <v>1611</v>
      </c>
      <c r="B23" s="14" t="s">
        <v>1867</v>
      </c>
      <c r="C23" s="23">
        <v>2</v>
      </c>
      <c r="D23" s="13" t="s">
        <v>32</v>
      </c>
      <c r="E23" s="39" t="s">
        <v>1612</v>
      </c>
      <c r="G23" s="22" t="s">
        <v>1927</v>
      </c>
      <c r="I23" s="22" t="s">
        <v>1931</v>
      </c>
    </row>
    <row r="24" spans="1:25" ht="18" customHeight="1" x14ac:dyDescent="0.2">
      <c r="A24" s="14" t="s">
        <v>1611</v>
      </c>
      <c r="B24" s="14" t="s">
        <v>1613</v>
      </c>
      <c r="C24" s="13">
        <v>40</v>
      </c>
      <c r="D24" s="13" t="s">
        <v>32</v>
      </c>
      <c r="E24" s="39" t="s">
        <v>1614</v>
      </c>
      <c r="G24" s="22" t="s">
        <v>1927</v>
      </c>
      <c r="I24" s="22" t="s">
        <v>1931</v>
      </c>
    </row>
    <row r="25" spans="1:25" ht="18" customHeight="1" x14ac:dyDescent="0.2">
      <c r="A25" s="14" t="s">
        <v>1611</v>
      </c>
      <c r="B25" s="14" t="s">
        <v>1615</v>
      </c>
      <c r="C25" s="13">
        <v>480</v>
      </c>
      <c r="D25" s="13" t="s">
        <v>32</v>
      </c>
      <c r="E25" s="39" t="s">
        <v>1616</v>
      </c>
      <c r="G25" s="22" t="s">
        <v>1927</v>
      </c>
      <c r="I25" s="22" t="s">
        <v>1931</v>
      </c>
    </row>
    <row r="26" spans="1:25" ht="18" customHeight="1" x14ac:dyDescent="0.2">
      <c r="A26" s="14" t="s">
        <v>1611</v>
      </c>
      <c r="B26" s="14" t="s">
        <v>1617</v>
      </c>
      <c r="C26" s="13">
        <v>108</v>
      </c>
      <c r="D26" s="13" t="s">
        <v>32</v>
      </c>
      <c r="E26" s="39" t="s">
        <v>1618</v>
      </c>
      <c r="G26" s="22" t="s">
        <v>1927</v>
      </c>
      <c r="I26" s="22" t="s">
        <v>1931</v>
      </c>
    </row>
    <row r="27" spans="1:25" ht="18" customHeight="1" x14ac:dyDescent="0.2">
      <c r="A27" s="14" t="s">
        <v>1611</v>
      </c>
      <c r="B27" s="14" t="s">
        <v>1619</v>
      </c>
      <c r="C27" s="13">
        <v>1782</v>
      </c>
      <c r="D27" s="13" t="s">
        <v>32</v>
      </c>
      <c r="E27" s="39" t="s">
        <v>1620</v>
      </c>
      <c r="G27" s="22" t="s">
        <v>1927</v>
      </c>
      <c r="I27" s="22" t="s">
        <v>1931</v>
      </c>
    </row>
    <row r="29" spans="1:25" ht="18" customHeight="1" x14ac:dyDescent="0.3">
      <c r="A29" s="28" t="s">
        <v>1758</v>
      </c>
      <c r="B29" s="28"/>
      <c r="C29" s="28"/>
      <c r="D29" s="28"/>
      <c r="E29" s="24"/>
    </row>
    <row r="31" spans="1:25" ht="18" customHeight="1" x14ac:dyDescent="0.2">
      <c r="A31" s="14" t="s">
        <v>1611</v>
      </c>
      <c r="B31" s="14" t="s">
        <v>1613</v>
      </c>
      <c r="C31" s="23">
        <v>32</v>
      </c>
      <c r="D31" s="13" t="s">
        <v>32</v>
      </c>
      <c r="E31" s="53" t="s">
        <v>1827</v>
      </c>
      <c r="G31" s="22" t="s">
        <v>1930</v>
      </c>
      <c r="I31" s="22" t="s">
        <v>1931</v>
      </c>
    </row>
    <row r="32" spans="1:25" ht="18" customHeight="1" x14ac:dyDescent="0.2">
      <c r="A32" s="14" t="s">
        <v>1611</v>
      </c>
      <c r="B32" s="14" t="s">
        <v>1615</v>
      </c>
      <c r="C32" s="13">
        <v>774</v>
      </c>
      <c r="D32" s="13" t="s">
        <v>32</v>
      </c>
      <c r="E32" s="53" t="s">
        <v>1616</v>
      </c>
      <c r="G32" s="22" t="s">
        <v>1930</v>
      </c>
      <c r="I32" s="22" t="s">
        <v>1931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B893-26A2-43BB-98FC-117180DE6B19}">
  <dimension ref="A1:AE32"/>
  <sheetViews>
    <sheetView workbookViewId="0">
      <selection activeCell="F136" sqref="F136"/>
    </sheetView>
  </sheetViews>
  <sheetFormatPr defaultColWidth="9" defaultRowHeight="18" customHeight="1" x14ac:dyDescent="0.3"/>
  <cols>
    <col min="1" max="2" width="40.625" style="1" customWidth="1"/>
    <col min="3" max="4" width="8.625" style="1" customWidth="1"/>
    <col min="5" max="5" width="27.375" style="22" bestFit="1" customWidth="1"/>
    <col min="6" max="6" width="9" style="22"/>
    <col min="7" max="7" width="35.25" style="22" bestFit="1" customWidth="1"/>
    <col min="8" max="8" width="26.125" style="22" bestFit="1" customWidth="1"/>
    <col min="9" max="15" width="10.625" style="22" customWidth="1"/>
    <col min="16" max="19" width="10.625" style="21" customWidth="1"/>
    <col min="20" max="20" width="14.25" style="21" bestFit="1" customWidth="1"/>
    <col min="21" max="21" width="9" style="22"/>
    <col min="22" max="22" width="37.5" style="22" bestFit="1" customWidth="1"/>
    <col min="23" max="23" width="10.75" style="22" bestFit="1" customWidth="1"/>
    <col min="24" max="27" width="9" style="22"/>
    <col min="28" max="28" width="37.5" style="22" bestFit="1" customWidth="1"/>
    <col min="29" max="29" width="10.75" style="22" bestFit="1" customWidth="1"/>
    <col min="30" max="16384" width="9" style="22"/>
  </cols>
  <sheetData>
    <row r="1" spans="1:31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  <c r="X1" s="21"/>
      <c r="Y1" s="21"/>
      <c r="AD1" s="21"/>
      <c r="AE1" s="21"/>
    </row>
    <row r="2" spans="1:31" ht="18" customHeight="1" x14ac:dyDescent="0.3">
      <c r="A2" s="203"/>
      <c r="B2" s="203"/>
      <c r="C2" s="203"/>
      <c r="D2" s="203"/>
      <c r="E2" s="203"/>
      <c r="I2" s="21"/>
      <c r="J2" s="21"/>
      <c r="K2" s="21"/>
      <c r="L2" s="21"/>
      <c r="M2" s="21"/>
      <c r="N2" s="21"/>
      <c r="O2" s="21"/>
      <c r="W2" s="21"/>
      <c r="X2" s="21"/>
      <c r="Y2" s="21"/>
      <c r="AB2" s="21"/>
      <c r="AC2" s="21"/>
      <c r="AD2" s="21"/>
      <c r="AE2" s="21"/>
    </row>
    <row r="3" spans="1:31" ht="18" customHeight="1" thickBot="1" x14ac:dyDescent="0.35">
      <c r="A3" s="76" t="s">
        <v>1531</v>
      </c>
      <c r="B3" s="76"/>
      <c r="C3" s="76"/>
      <c r="D3" s="77"/>
      <c r="E3" s="78"/>
      <c r="I3" s="21"/>
      <c r="J3" s="21"/>
      <c r="K3" s="21"/>
      <c r="L3" s="21"/>
      <c r="M3" s="21"/>
      <c r="W3" s="21"/>
      <c r="X3" s="21"/>
      <c r="Y3" s="21"/>
      <c r="AB3" s="21"/>
      <c r="AC3" s="21"/>
      <c r="AD3" s="21"/>
      <c r="AE3" s="21"/>
    </row>
    <row r="4" spans="1:31" ht="18" customHeight="1" x14ac:dyDescent="0.2">
      <c r="A4" s="90" t="s">
        <v>1562</v>
      </c>
      <c r="B4" s="91" t="s">
        <v>1563</v>
      </c>
      <c r="C4" s="92">
        <v>36</v>
      </c>
      <c r="D4" s="20" t="s">
        <v>10</v>
      </c>
      <c r="E4" s="93" t="s">
        <v>1564</v>
      </c>
      <c r="G4" s="22" t="s">
        <v>1917</v>
      </c>
      <c r="H4" s="22" t="s">
        <v>1918</v>
      </c>
      <c r="W4" s="21"/>
      <c r="X4" s="21"/>
      <c r="Y4" s="21"/>
    </row>
    <row r="5" spans="1:31" ht="18" customHeight="1" x14ac:dyDescent="0.2">
      <c r="A5" s="85" t="s">
        <v>1562</v>
      </c>
      <c r="B5" s="27" t="s">
        <v>1565</v>
      </c>
      <c r="C5" s="2">
        <v>72</v>
      </c>
      <c r="D5" s="2" t="s">
        <v>10</v>
      </c>
      <c r="E5" s="84" t="s">
        <v>1566</v>
      </c>
      <c r="G5" s="22" t="s">
        <v>1917</v>
      </c>
      <c r="H5" s="22" t="s">
        <v>1918</v>
      </c>
    </row>
    <row r="6" spans="1:31" ht="18" customHeight="1" x14ac:dyDescent="0.2">
      <c r="A6" s="83" t="s">
        <v>1562</v>
      </c>
      <c r="B6" s="28" t="s">
        <v>1567</v>
      </c>
      <c r="C6" s="2">
        <v>24</v>
      </c>
      <c r="D6" s="2" t="s">
        <v>10</v>
      </c>
      <c r="E6" s="84" t="s">
        <v>1568</v>
      </c>
      <c r="G6" s="22" t="s">
        <v>1917</v>
      </c>
      <c r="H6" s="22" t="s">
        <v>1918</v>
      </c>
    </row>
    <row r="7" spans="1:31" ht="18" customHeight="1" x14ac:dyDescent="0.2">
      <c r="A7" s="85" t="s">
        <v>1562</v>
      </c>
      <c r="B7" s="27" t="s">
        <v>1569</v>
      </c>
      <c r="C7" s="2">
        <v>826</v>
      </c>
      <c r="D7" s="2" t="s">
        <v>10</v>
      </c>
      <c r="E7" s="84" t="s">
        <v>1570</v>
      </c>
      <c r="G7" s="22" t="s">
        <v>1917</v>
      </c>
      <c r="H7" s="22" t="s">
        <v>1918</v>
      </c>
    </row>
    <row r="8" spans="1:31" ht="18" customHeight="1" x14ac:dyDescent="0.2">
      <c r="A8" s="85" t="s">
        <v>1562</v>
      </c>
      <c r="B8" s="27" t="s">
        <v>1571</v>
      </c>
      <c r="C8" s="2">
        <v>516</v>
      </c>
      <c r="D8" s="2" t="s">
        <v>10</v>
      </c>
      <c r="E8" s="84" t="s">
        <v>1572</v>
      </c>
      <c r="G8" s="22" t="s">
        <v>1917</v>
      </c>
      <c r="H8" s="22" t="s">
        <v>1918</v>
      </c>
    </row>
    <row r="9" spans="1:31" ht="18" customHeight="1" thickBot="1" x14ac:dyDescent="0.25">
      <c r="A9" s="94" t="s">
        <v>1562</v>
      </c>
      <c r="B9" s="95" t="s">
        <v>1573</v>
      </c>
      <c r="C9" s="88">
        <v>462</v>
      </c>
      <c r="D9" s="88" t="s">
        <v>10</v>
      </c>
      <c r="E9" s="89" t="s">
        <v>1574</v>
      </c>
      <c r="G9" s="22" t="s">
        <v>1917</v>
      </c>
      <c r="H9" s="22" t="s">
        <v>1918</v>
      </c>
    </row>
    <row r="11" spans="1:31" ht="18" customHeight="1" x14ac:dyDescent="0.2">
      <c r="A11" s="40" t="s">
        <v>1575</v>
      </c>
      <c r="B11" s="38" t="s">
        <v>1576</v>
      </c>
      <c r="C11" s="23">
        <f>ROUNDUP(C4/6,0)</f>
        <v>6</v>
      </c>
      <c r="D11" s="8" t="s">
        <v>10</v>
      </c>
      <c r="E11" s="39" t="s">
        <v>1577</v>
      </c>
      <c r="G11" s="22" t="s">
        <v>1953</v>
      </c>
    </row>
    <row r="12" spans="1:31" ht="18" customHeight="1" x14ac:dyDescent="0.2">
      <c r="A12" s="47" t="s">
        <v>1583</v>
      </c>
      <c r="B12" s="48" t="s">
        <v>1584</v>
      </c>
      <c r="C12" s="23">
        <f>ROUNDUP(C4/6,0)</f>
        <v>6</v>
      </c>
      <c r="D12" s="9" t="s">
        <v>32</v>
      </c>
      <c r="E12" s="45" t="s">
        <v>1585</v>
      </c>
      <c r="G12" s="22" t="s">
        <v>1953</v>
      </c>
    </row>
    <row r="13" spans="1:31" ht="18" customHeight="1" x14ac:dyDescent="0.2">
      <c r="A13" s="14" t="s">
        <v>1594</v>
      </c>
      <c r="B13" s="14" t="s">
        <v>1595</v>
      </c>
      <c r="C13" s="43">
        <f>ROUNDUP(C4/12,0)</f>
        <v>3</v>
      </c>
      <c r="D13" s="13" t="s">
        <v>32</v>
      </c>
      <c r="E13" s="39" t="s">
        <v>1932</v>
      </c>
      <c r="G13" s="22" t="s">
        <v>1954</v>
      </c>
    </row>
    <row r="14" spans="1:31" ht="18" customHeight="1" x14ac:dyDescent="0.2">
      <c r="A14" s="40" t="s">
        <v>1575</v>
      </c>
      <c r="B14" s="38" t="s">
        <v>1578</v>
      </c>
      <c r="C14" s="23">
        <f>ROUNDUP(C5/6,0)</f>
        <v>12</v>
      </c>
      <c r="D14" s="8" t="s">
        <v>10</v>
      </c>
      <c r="E14" s="39" t="s">
        <v>1934</v>
      </c>
      <c r="G14" s="22" t="s">
        <v>1953</v>
      </c>
    </row>
    <row r="15" spans="1:31" ht="18" customHeight="1" x14ac:dyDescent="0.2">
      <c r="A15" s="14" t="s">
        <v>1583</v>
      </c>
      <c r="B15" s="14" t="s">
        <v>1586</v>
      </c>
      <c r="C15" s="23">
        <f>ROUNDUP(C5/6,0)</f>
        <v>12</v>
      </c>
      <c r="D15" s="13" t="s">
        <v>32</v>
      </c>
      <c r="E15" s="39" t="s">
        <v>1935</v>
      </c>
      <c r="G15" s="22" t="s">
        <v>1953</v>
      </c>
    </row>
    <row r="16" spans="1:31" ht="18" customHeight="1" x14ac:dyDescent="0.2">
      <c r="A16" s="14" t="s">
        <v>1594</v>
      </c>
      <c r="B16" s="14" t="s">
        <v>1596</v>
      </c>
      <c r="C16" s="8">
        <f>ROUNDUP(C5/12,0)</f>
        <v>6</v>
      </c>
      <c r="D16" s="13" t="s">
        <v>32</v>
      </c>
      <c r="E16" s="39" t="s">
        <v>1936</v>
      </c>
      <c r="G16" s="22" t="s">
        <v>1954</v>
      </c>
    </row>
    <row r="17" spans="1:7" ht="18" customHeight="1" x14ac:dyDescent="0.2">
      <c r="A17" s="26" t="s">
        <v>1575</v>
      </c>
      <c r="B17" s="26" t="s">
        <v>1579</v>
      </c>
      <c r="C17" s="96">
        <f>ROUNDUP(C6/6,0)</f>
        <v>4</v>
      </c>
      <c r="D17" s="8" t="s">
        <v>10</v>
      </c>
      <c r="E17" s="39" t="s">
        <v>1938</v>
      </c>
      <c r="G17" s="22" t="s">
        <v>1953</v>
      </c>
    </row>
    <row r="18" spans="1:7" ht="18" customHeight="1" x14ac:dyDescent="0.2">
      <c r="A18" s="14" t="s">
        <v>1583</v>
      </c>
      <c r="B18" s="14" t="s">
        <v>1587</v>
      </c>
      <c r="C18" s="96">
        <f>ROUNDUP(C6/6,0)</f>
        <v>4</v>
      </c>
      <c r="D18" s="13" t="s">
        <v>32</v>
      </c>
      <c r="E18" s="39" t="s">
        <v>1939</v>
      </c>
      <c r="G18" s="22" t="s">
        <v>1953</v>
      </c>
    </row>
    <row r="19" spans="1:7" ht="18" customHeight="1" x14ac:dyDescent="0.2">
      <c r="A19" s="14" t="s">
        <v>1594</v>
      </c>
      <c r="B19" s="14" t="s">
        <v>1597</v>
      </c>
      <c r="C19" s="96">
        <f>ROUNDUP(C6/12,0)</f>
        <v>2</v>
      </c>
      <c r="D19" s="13" t="s">
        <v>32</v>
      </c>
      <c r="E19" s="39" t="s">
        <v>1940</v>
      </c>
      <c r="G19" s="22" t="s">
        <v>1954</v>
      </c>
    </row>
    <row r="20" spans="1:7" ht="18" customHeight="1" x14ac:dyDescent="0.2">
      <c r="A20" s="40" t="s">
        <v>1575</v>
      </c>
      <c r="B20" s="38" t="s">
        <v>1580</v>
      </c>
      <c r="C20" s="23">
        <f>ROUNDUP(C7/6,0)</f>
        <v>138</v>
      </c>
      <c r="D20" s="8" t="s">
        <v>10</v>
      </c>
      <c r="E20" s="39" t="s">
        <v>1942</v>
      </c>
      <c r="G20" s="22" t="s">
        <v>1953</v>
      </c>
    </row>
    <row r="21" spans="1:7" ht="18" customHeight="1" x14ac:dyDescent="0.2">
      <c r="A21" s="14" t="s">
        <v>1583</v>
      </c>
      <c r="B21" s="14" t="s">
        <v>1588</v>
      </c>
      <c r="C21" s="23">
        <f>ROUNDUP(C7/6,0)</f>
        <v>138</v>
      </c>
      <c r="D21" s="13" t="s">
        <v>32</v>
      </c>
      <c r="E21" s="39" t="s">
        <v>1943</v>
      </c>
      <c r="G21" s="22" t="s">
        <v>1953</v>
      </c>
    </row>
    <row r="22" spans="1:7" ht="18" customHeight="1" x14ac:dyDescent="0.2">
      <c r="A22" s="14" t="s">
        <v>1594</v>
      </c>
      <c r="B22" s="14" t="s">
        <v>1598</v>
      </c>
      <c r="C22" s="23">
        <f>ROUNDUP(C7/12,0)</f>
        <v>69</v>
      </c>
      <c r="D22" s="13" t="s">
        <v>32</v>
      </c>
      <c r="E22" s="39" t="s">
        <v>1944</v>
      </c>
      <c r="G22" s="22" t="s">
        <v>1954</v>
      </c>
    </row>
    <row r="23" spans="1:7" ht="18" customHeight="1" x14ac:dyDescent="0.2">
      <c r="A23" s="40" t="s">
        <v>1575</v>
      </c>
      <c r="B23" s="38" t="s">
        <v>1581</v>
      </c>
      <c r="C23" s="23">
        <f>ROUNDUP(C8/6,0)</f>
        <v>86</v>
      </c>
      <c r="D23" s="8" t="s">
        <v>10</v>
      </c>
      <c r="E23" s="39" t="s">
        <v>1946</v>
      </c>
      <c r="G23" s="22" t="s">
        <v>1953</v>
      </c>
    </row>
    <row r="24" spans="1:7" ht="18" customHeight="1" x14ac:dyDescent="0.2">
      <c r="A24" s="14" t="s">
        <v>1583</v>
      </c>
      <c r="B24" s="14" t="s">
        <v>1589</v>
      </c>
      <c r="C24" s="23">
        <f>ROUNDUP(C8/6,0)</f>
        <v>86</v>
      </c>
      <c r="D24" s="13" t="s">
        <v>32</v>
      </c>
      <c r="E24" s="39" t="s">
        <v>1947</v>
      </c>
      <c r="G24" s="22" t="s">
        <v>1953</v>
      </c>
    </row>
    <row r="25" spans="1:7" ht="18" customHeight="1" x14ac:dyDescent="0.2">
      <c r="A25" s="14" t="s">
        <v>1594</v>
      </c>
      <c r="B25" s="14" t="s">
        <v>1599</v>
      </c>
      <c r="C25" s="23">
        <f>ROUNDUP(C8/12,0)</f>
        <v>43</v>
      </c>
      <c r="D25" s="13" t="s">
        <v>32</v>
      </c>
      <c r="E25" s="39" t="s">
        <v>1948</v>
      </c>
      <c r="G25" s="22" t="s">
        <v>1954</v>
      </c>
    </row>
    <row r="26" spans="1:7" ht="18" customHeight="1" x14ac:dyDescent="0.2">
      <c r="A26" s="40" t="s">
        <v>1575</v>
      </c>
      <c r="B26" s="38" t="s">
        <v>1582</v>
      </c>
      <c r="C26" s="23">
        <f>ROUNDUP(C9/6,0)</f>
        <v>77</v>
      </c>
      <c r="D26" s="8" t="s">
        <v>10</v>
      </c>
      <c r="E26" s="39" t="s">
        <v>1949</v>
      </c>
      <c r="G26" s="22" t="s">
        <v>1953</v>
      </c>
    </row>
    <row r="27" spans="1:7" ht="18" customHeight="1" x14ac:dyDescent="0.2">
      <c r="A27" s="42" t="s">
        <v>1583</v>
      </c>
      <c r="B27" s="42" t="s">
        <v>1590</v>
      </c>
      <c r="C27" s="23">
        <f>ROUNDUP(C9/6,0)</f>
        <v>77</v>
      </c>
      <c r="D27" s="44" t="s">
        <v>32</v>
      </c>
      <c r="E27" s="45" t="s">
        <v>1950</v>
      </c>
      <c r="G27" s="22" t="s">
        <v>1953</v>
      </c>
    </row>
    <row r="28" spans="1:7" ht="18" customHeight="1" x14ac:dyDescent="0.2">
      <c r="A28" s="14" t="s">
        <v>1594</v>
      </c>
      <c r="B28" s="14" t="s">
        <v>1600</v>
      </c>
      <c r="C28" s="23">
        <f>ROUNDUP(C9/12,0)</f>
        <v>39</v>
      </c>
      <c r="D28" s="13" t="s">
        <v>32</v>
      </c>
      <c r="E28" s="39" t="s">
        <v>1951</v>
      </c>
      <c r="G28" s="22" t="s">
        <v>1954</v>
      </c>
    </row>
    <row r="29" spans="1:7" ht="18" customHeight="1" x14ac:dyDescent="0.3">
      <c r="A29" s="49" t="s">
        <v>1591</v>
      </c>
      <c r="B29" s="49" t="s">
        <v>1592</v>
      </c>
      <c r="C29" s="50">
        <v>15</v>
      </c>
      <c r="D29" s="51" t="s">
        <v>1593</v>
      </c>
      <c r="E29" s="52"/>
      <c r="G29" s="22" t="s">
        <v>1955</v>
      </c>
    </row>
    <row r="30" spans="1:7" ht="18" customHeight="1" x14ac:dyDescent="0.2">
      <c r="A30" s="14" t="s">
        <v>1594</v>
      </c>
      <c r="B30" s="14" t="s">
        <v>1952</v>
      </c>
      <c r="C30" s="8">
        <f>ROUNDUP(SUM(C4:C9,C11:C12,C14:C15,C17:C18,C20:C21,C23:C24,C26:C27)*10%,0)</f>
        <v>259</v>
      </c>
      <c r="D30" s="13" t="s">
        <v>10</v>
      </c>
      <c r="E30" s="53" t="s">
        <v>1601</v>
      </c>
      <c r="G30" s="22" t="s">
        <v>1956</v>
      </c>
    </row>
    <row r="31" spans="1:7" ht="18" customHeight="1" x14ac:dyDescent="0.2">
      <c r="A31" s="42" t="s">
        <v>1602</v>
      </c>
      <c r="B31" s="42" t="s">
        <v>1603</v>
      </c>
      <c r="C31" s="43">
        <f>ROUNDUP(SUM(C4:C9,C11:C12,C14:C15,C17:C18,C20:C21,C23:C24,C26:C27)*2%,0)</f>
        <v>52</v>
      </c>
      <c r="D31" s="44" t="s">
        <v>32</v>
      </c>
      <c r="E31" s="45" t="s">
        <v>1604</v>
      </c>
      <c r="G31" s="22" t="s">
        <v>1957</v>
      </c>
    </row>
    <row r="32" spans="1:7" ht="18" customHeight="1" x14ac:dyDescent="0.2">
      <c r="A32" s="14" t="s">
        <v>1605</v>
      </c>
      <c r="B32" s="14" t="s">
        <v>1606</v>
      </c>
      <c r="C32" s="23">
        <f>ROUNDUP(SUM(C4:C9,C11:C12,C14:C15,C17:C18,C20:C21,C23:C24,C26:C27)*8%,0)</f>
        <v>207</v>
      </c>
      <c r="D32" s="13" t="s">
        <v>32</v>
      </c>
      <c r="E32" s="39" t="s">
        <v>1607</v>
      </c>
      <c r="G32" s="22" t="s">
        <v>1958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5D25-14F0-4432-9F23-33881F894642}">
  <dimension ref="A1:AE69"/>
  <sheetViews>
    <sheetView topLeftCell="A51" workbookViewId="0">
      <selection activeCell="F136" sqref="F136"/>
    </sheetView>
  </sheetViews>
  <sheetFormatPr defaultColWidth="9" defaultRowHeight="18" customHeight="1" x14ac:dyDescent="0.3"/>
  <cols>
    <col min="1" max="2" width="40.625" style="1" customWidth="1"/>
    <col min="3" max="4" width="8.625" style="1" customWidth="1"/>
    <col min="5" max="5" width="27.375" style="22" bestFit="1" customWidth="1"/>
    <col min="6" max="6" width="9" style="22"/>
    <col min="7" max="7" width="35.25" style="22" bestFit="1" customWidth="1"/>
    <col min="8" max="8" width="26.125" style="22" bestFit="1" customWidth="1"/>
    <col min="9" max="15" width="10.625" style="22" customWidth="1"/>
    <col min="16" max="19" width="10.625" style="21" customWidth="1"/>
    <col min="20" max="20" width="14.25" style="21" bestFit="1" customWidth="1"/>
    <col min="21" max="21" width="9" style="22"/>
    <col min="22" max="22" width="37.5" style="22" bestFit="1" customWidth="1"/>
    <col min="23" max="23" width="10.75" style="22" bestFit="1" customWidth="1"/>
    <col min="24" max="27" width="9" style="22"/>
    <col min="28" max="28" width="37.5" style="22" bestFit="1" customWidth="1"/>
    <col min="29" max="29" width="10.75" style="22" bestFit="1" customWidth="1"/>
    <col min="30" max="16384" width="9" style="22"/>
  </cols>
  <sheetData>
    <row r="1" spans="1:31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  <c r="X1" s="21"/>
      <c r="Y1" s="21"/>
      <c r="AD1" s="21"/>
      <c r="AE1" s="21"/>
    </row>
    <row r="2" spans="1:31" ht="18" customHeight="1" x14ac:dyDescent="0.3">
      <c r="A2" s="203"/>
      <c r="B2" s="203"/>
      <c r="C2" s="203"/>
      <c r="D2" s="203"/>
      <c r="E2" s="203"/>
      <c r="I2" s="21"/>
      <c r="J2" s="21"/>
      <c r="K2" s="21"/>
      <c r="L2" s="21"/>
      <c r="M2" s="21"/>
      <c r="N2" s="21"/>
      <c r="O2" s="21"/>
      <c r="W2" s="21"/>
      <c r="X2" s="21"/>
      <c r="Y2" s="21"/>
      <c r="AB2" s="21"/>
      <c r="AC2" s="21"/>
      <c r="AD2" s="21"/>
      <c r="AE2" s="21"/>
    </row>
    <row r="3" spans="1:31" ht="18" customHeight="1" thickBot="1" x14ac:dyDescent="0.35">
      <c r="A3" s="76" t="s">
        <v>1624</v>
      </c>
      <c r="B3" s="76"/>
      <c r="C3" s="76"/>
      <c r="D3" s="76"/>
      <c r="E3" s="78"/>
    </row>
    <row r="4" spans="1:31" ht="18" customHeight="1" x14ac:dyDescent="0.2">
      <c r="A4" s="105" t="s">
        <v>1625</v>
      </c>
      <c r="B4" s="106" t="s">
        <v>1626</v>
      </c>
      <c r="C4" s="92">
        <v>4</v>
      </c>
      <c r="D4" s="107" t="s">
        <v>32</v>
      </c>
      <c r="E4" s="93" t="s">
        <v>1627</v>
      </c>
      <c r="G4" s="22" t="s">
        <v>1919</v>
      </c>
    </row>
    <row r="5" spans="1:31" ht="18" customHeight="1" x14ac:dyDescent="0.2">
      <c r="A5" s="108" t="s">
        <v>1625</v>
      </c>
      <c r="B5" s="24" t="s">
        <v>1628</v>
      </c>
      <c r="C5" s="58">
        <v>5</v>
      </c>
      <c r="D5" s="58" t="s">
        <v>32</v>
      </c>
      <c r="E5" s="84" t="s">
        <v>1629</v>
      </c>
      <c r="G5" s="22" t="s">
        <v>1919</v>
      </c>
    </row>
    <row r="6" spans="1:31" ht="18" customHeight="1" x14ac:dyDescent="0.2">
      <c r="A6" s="109" t="s">
        <v>1625</v>
      </c>
      <c r="B6" s="6" t="s">
        <v>1630</v>
      </c>
      <c r="C6" s="41">
        <v>9</v>
      </c>
      <c r="D6" s="41" t="s">
        <v>32</v>
      </c>
      <c r="E6" s="84" t="s">
        <v>1631</v>
      </c>
      <c r="G6" s="22" t="s">
        <v>1919</v>
      </c>
    </row>
    <row r="7" spans="1:31" ht="18" customHeight="1" x14ac:dyDescent="0.2">
      <c r="A7" s="109" t="s">
        <v>1625</v>
      </c>
      <c r="B7" s="6" t="s">
        <v>1632</v>
      </c>
      <c r="C7" s="41">
        <v>10</v>
      </c>
      <c r="D7" s="41" t="s">
        <v>32</v>
      </c>
      <c r="E7" s="84" t="s">
        <v>1633</v>
      </c>
      <c r="G7" s="22" t="s">
        <v>1919</v>
      </c>
    </row>
    <row r="8" spans="1:31" ht="18" customHeight="1" x14ac:dyDescent="0.2">
      <c r="A8" s="109" t="s">
        <v>1625</v>
      </c>
      <c r="B8" s="6" t="s">
        <v>1634</v>
      </c>
      <c r="C8" s="41">
        <v>14</v>
      </c>
      <c r="D8" s="41" t="s">
        <v>32</v>
      </c>
      <c r="E8" s="84" t="s">
        <v>1635</v>
      </c>
      <c r="G8" s="22" t="s">
        <v>1919</v>
      </c>
    </row>
    <row r="9" spans="1:31" ht="18" customHeight="1" x14ac:dyDescent="0.2">
      <c r="A9" s="109" t="s">
        <v>1625</v>
      </c>
      <c r="B9" s="6" t="s">
        <v>1636</v>
      </c>
      <c r="C9" s="41">
        <v>11</v>
      </c>
      <c r="D9" s="41" t="s">
        <v>32</v>
      </c>
      <c r="E9" s="84" t="s">
        <v>1637</v>
      </c>
      <c r="G9" s="22" t="s">
        <v>1919</v>
      </c>
    </row>
    <row r="10" spans="1:31" ht="18" customHeight="1" x14ac:dyDescent="0.2">
      <c r="A10" s="109" t="s">
        <v>1625</v>
      </c>
      <c r="B10" s="6" t="s">
        <v>1638</v>
      </c>
      <c r="C10" s="41">
        <v>4</v>
      </c>
      <c r="D10" s="41" t="s">
        <v>32</v>
      </c>
      <c r="E10" s="84" t="s">
        <v>1639</v>
      </c>
      <c r="G10" s="22" t="s">
        <v>1919</v>
      </c>
    </row>
    <row r="11" spans="1:31" ht="18" customHeight="1" x14ac:dyDescent="0.2">
      <c r="A11" s="109" t="s">
        <v>1625</v>
      </c>
      <c r="B11" s="6" t="s">
        <v>1640</v>
      </c>
      <c r="C11" s="41">
        <v>20</v>
      </c>
      <c r="D11" s="41" t="s">
        <v>32</v>
      </c>
      <c r="E11" s="84" t="s">
        <v>1641</v>
      </c>
      <c r="G11" s="22" t="s">
        <v>1919</v>
      </c>
    </row>
    <row r="12" spans="1:31" ht="18" customHeight="1" x14ac:dyDescent="0.3">
      <c r="A12" s="110"/>
      <c r="E12" s="111"/>
    </row>
    <row r="13" spans="1:31" ht="18" customHeight="1" x14ac:dyDescent="0.2">
      <c r="A13" s="109" t="s">
        <v>1642</v>
      </c>
      <c r="B13" s="6" t="s">
        <v>1643</v>
      </c>
      <c r="C13" s="41">
        <v>2</v>
      </c>
      <c r="D13" s="41" t="s">
        <v>32</v>
      </c>
      <c r="E13" s="112" t="s">
        <v>1644</v>
      </c>
      <c r="G13" s="22" t="s">
        <v>1919</v>
      </c>
      <c r="H13" s="22" t="s">
        <v>1858</v>
      </c>
    </row>
    <row r="14" spans="1:31" ht="18" customHeight="1" x14ac:dyDescent="0.2">
      <c r="A14" s="109" t="s">
        <v>1642</v>
      </c>
      <c r="B14" s="6" t="s">
        <v>1645</v>
      </c>
      <c r="C14" s="41">
        <v>4</v>
      </c>
      <c r="D14" s="41" t="s">
        <v>32</v>
      </c>
      <c r="E14" s="112" t="s">
        <v>1646</v>
      </c>
      <c r="G14" s="22" t="s">
        <v>1919</v>
      </c>
    </row>
    <row r="15" spans="1:31" ht="18" customHeight="1" x14ac:dyDescent="0.2">
      <c r="A15" s="108" t="s">
        <v>1642</v>
      </c>
      <c r="B15" s="24" t="s">
        <v>1647</v>
      </c>
      <c r="C15" s="58">
        <v>2</v>
      </c>
      <c r="D15" s="58" t="s">
        <v>32</v>
      </c>
      <c r="E15" s="112" t="s">
        <v>1648</v>
      </c>
      <c r="G15" s="22" t="s">
        <v>1919</v>
      </c>
    </row>
    <row r="16" spans="1:31" ht="18" customHeight="1" x14ac:dyDescent="0.2">
      <c r="A16" s="108" t="s">
        <v>1642</v>
      </c>
      <c r="B16" s="24" t="s">
        <v>1649</v>
      </c>
      <c r="C16" s="58">
        <v>4</v>
      </c>
      <c r="D16" s="58" t="s">
        <v>32</v>
      </c>
      <c r="E16" s="112" t="s">
        <v>1650</v>
      </c>
      <c r="G16" s="22" t="s">
        <v>1919</v>
      </c>
    </row>
    <row r="17" spans="1:7" ht="18" customHeight="1" x14ac:dyDescent="0.3">
      <c r="A17" s="110"/>
      <c r="E17" s="111"/>
    </row>
    <row r="18" spans="1:7" ht="18" customHeight="1" x14ac:dyDescent="0.2">
      <c r="A18" s="109" t="s">
        <v>1651</v>
      </c>
      <c r="B18" s="6" t="s">
        <v>1652</v>
      </c>
      <c r="C18" s="41">
        <v>1</v>
      </c>
      <c r="D18" s="41" t="s">
        <v>32</v>
      </c>
      <c r="E18" s="112" t="s">
        <v>1653</v>
      </c>
      <c r="G18" s="22" t="s">
        <v>1919</v>
      </c>
    </row>
    <row r="19" spans="1:7" ht="18" customHeight="1" x14ac:dyDescent="0.2">
      <c r="A19" s="108" t="s">
        <v>1651</v>
      </c>
      <c r="B19" s="24" t="s">
        <v>1654</v>
      </c>
      <c r="C19" s="58">
        <v>4</v>
      </c>
      <c r="D19" s="58" t="s">
        <v>32</v>
      </c>
      <c r="E19" s="112" t="s">
        <v>1655</v>
      </c>
      <c r="G19" s="22" t="s">
        <v>1919</v>
      </c>
    </row>
    <row r="20" spans="1:7" ht="18" customHeight="1" x14ac:dyDescent="0.2">
      <c r="A20" s="109" t="s">
        <v>1651</v>
      </c>
      <c r="B20" s="6" t="s">
        <v>1656</v>
      </c>
      <c r="C20" s="41">
        <v>2</v>
      </c>
      <c r="D20" s="41" t="s">
        <v>32</v>
      </c>
      <c r="E20" s="112" t="s">
        <v>1657</v>
      </c>
      <c r="G20" s="22" t="s">
        <v>1919</v>
      </c>
    </row>
    <row r="21" spans="1:7" ht="18" customHeight="1" x14ac:dyDescent="0.2">
      <c r="A21" s="108" t="s">
        <v>1651</v>
      </c>
      <c r="B21" s="24" t="s">
        <v>1658</v>
      </c>
      <c r="C21" s="58">
        <v>1</v>
      </c>
      <c r="D21" s="58" t="s">
        <v>32</v>
      </c>
      <c r="E21" s="112" t="s">
        <v>1659</v>
      </c>
      <c r="G21" s="22" t="s">
        <v>1919</v>
      </c>
    </row>
    <row r="22" spans="1:7" ht="18" customHeight="1" x14ac:dyDescent="0.2">
      <c r="A22" s="108" t="s">
        <v>1651</v>
      </c>
      <c r="B22" s="24" t="s">
        <v>1660</v>
      </c>
      <c r="C22" s="58">
        <v>2</v>
      </c>
      <c r="D22" s="58" t="s">
        <v>32</v>
      </c>
      <c r="E22" s="112" t="s">
        <v>1661</v>
      </c>
      <c r="G22" s="22" t="s">
        <v>1919</v>
      </c>
    </row>
    <row r="23" spans="1:7" ht="18" customHeight="1" x14ac:dyDescent="0.2">
      <c r="A23" s="108" t="s">
        <v>1662</v>
      </c>
      <c r="B23" s="24" t="s">
        <v>1663</v>
      </c>
      <c r="C23" s="58">
        <v>1</v>
      </c>
      <c r="D23" s="58" t="s">
        <v>32</v>
      </c>
      <c r="E23" s="112" t="s">
        <v>1664</v>
      </c>
      <c r="G23" s="22" t="s">
        <v>1919</v>
      </c>
    </row>
    <row r="24" spans="1:7" ht="18" customHeight="1" x14ac:dyDescent="0.2">
      <c r="A24" s="109" t="s">
        <v>1651</v>
      </c>
      <c r="B24" s="6" t="s">
        <v>1665</v>
      </c>
      <c r="C24" s="41">
        <v>5</v>
      </c>
      <c r="D24" s="41" t="s">
        <v>32</v>
      </c>
      <c r="E24" s="112" t="s">
        <v>1666</v>
      </c>
      <c r="G24" s="22" t="s">
        <v>1919</v>
      </c>
    </row>
    <row r="25" spans="1:7" ht="18" customHeight="1" x14ac:dyDescent="0.2">
      <c r="A25" s="109" t="s">
        <v>1651</v>
      </c>
      <c r="B25" s="6" t="s">
        <v>1667</v>
      </c>
      <c r="C25" s="41">
        <v>4</v>
      </c>
      <c r="D25" s="41" t="s">
        <v>32</v>
      </c>
      <c r="E25" s="112" t="s">
        <v>1668</v>
      </c>
      <c r="G25" s="22" t="s">
        <v>1919</v>
      </c>
    </row>
    <row r="26" spans="1:7" ht="18" customHeight="1" x14ac:dyDescent="0.2">
      <c r="A26" s="109" t="s">
        <v>1651</v>
      </c>
      <c r="B26" s="6" t="s">
        <v>1669</v>
      </c>
      <c r="C26" s="41">
        <v>3</v>
      </c>
      <c r="D26" s="41" t="s">
        <v>32</v>
      </c>
      <c r="E26" s="112" t="s">
        <v>1670</v>
      </c>
      <c r="G26" s="22" t="s">
        <v>1919</v>
      </c>
    </row>
    <row r="27" spans="1:7" ht="18" customHeight="1" x14ac:dyDescent="0.2">
      <c r="A27" s="108" t="s">
        <v>1651</v>
      </c>
      <c r="B27" s="24" t="s">
        <v>1671</v>
      </c>
      <c r="C27" s="58">
        <v>1</v>
      </c>
      <c r="D27" s="58" t="s">
        <v>32</v>
      </c>
      <c r="E27" s="112" t="s">
        <v>1672</v>
      </c>
      <c r="G27" s="22" t="s">
        <v>1919</v>
      </c>
    </row>
    <row r="28" spans="1:7" ht="18" customHeight="1" x14ac:dyDescent="0.2">
      <c r="A28" s="109" t="s">
        <v>1651</v>
      </c>
      <c r="B28" s="6" t="s">
        <v>1673</v>
      </c>
      <c r="C28" s="41">
        <v>2</v>
      </c>
      <c r="D28" s="41" t="s">
        <v>32</v>
      </c>
      <c r="E28" s="112" t="s">
        <v>1674</v>
      </c>
      <c r="G28" s="22" t="s">
        <v>1919</v>
      </c>
    </row>
    <row r="29" spans="1:7" ht="18" customHeight="1" x14ac:dyDescent="0.2">
      <c r="A29" s="109" t="s">
        <v>1651</v>
      </c>
      <c r="B29" s="6" t="s">
        <v>1675</v>
      </c>
      <c r="C29" s="41">
        <v>4</v>
      </c>
      <c r="D29" s="41" t="s">
        <v>32</v>
      </c>
      <c r="E29" s="112" t="s">
        <v>1676</v>
      </c>
      <c r="G29" s="22" t="s">
        <v>1919</v>
      </c>
    </row>
    <row r="30" spans="1:7" ht="18" customHeight="1" x14ac:dyDescent="0.2">
      <c r="A30" s="109" t="s">
        <v>1651</v>
      </c>
      <c r="B30" s="6" t="s">
        <v>1677</v>
      </c>
      <c r="C30" s="41">
        <v>4</v>
      </c>
      <c r="D30" s="41" t="s">
        <v>32</v>
      </c>
      <c r="E30" s="112" t="s">
        <v>1678</v>
      </c>
      <c r="G30" s="22" t="s">
        <v>1919</v>
      </c>
    </row>
    <row r="31" spans="1:7" ht="18" customHeight="1" x14ac:dyDescent="0.2">
      <c r="A31" s="109" t="s">
        <v>1651</v>
      </c>
      <c r="B31" s="6" t="s">
        <v>1679</v>
      </c>
      <c r="C31" s="41">
        <v>4</v>
      </c>
      <c r="D31" s="41" t="s">
        <v>32</v>
      </c>
      <c r="E31" s="112" t="s">
        <v>1680</v>
      </c>
      <c r="G31" s="22" t="s">
        <v>1919</v>
      </c>
    </row>
    <row r="32" spans="1:7" ht="18" customHeight="1" x14ac:dyDescent="0.2">
      <c r="A32" s="108" t="s">
        <v>1651</v>
      </c>
      <c r="B32" s="24" t="s">
        <v>1681</v>
      </c>
      <c r="C32" s="58">
        <v>2</v>
      </c>
      <c r="D32" s="58" t="s">
        <v>32</v>
      </c>
      <c r="E32" s="112" t="s">
        <v>1682</v>
      </c>
      <c r="G32" s="22" t="s">
        <v>1919</v>
      </c>
    </row>
    <row r="33" spans="1:7" ht="18" customHeight="1" x14ac:dyDescent="0.2">
      <c r="A33" s="108" t="s">
        <v>1651</v>
      </c>
      <c r="B33" s="24" t="s">
        <v>1683</v>
      </c>
      <c r="C33" s="58">
        <v>2</v>
      </c>
      <c r="D33" s="58" t="s">
        <v>32</v>
      </c>
      <c r="E33" s="112" t="s">
        <v>1684</v>
      </c>
      <c r="G33" s="22" t="s">
        <v>1919</v>
      </c>
    </row>
    <row r="34" spans="1:7" ht="18" customHeight="1" x14ac:dyDescent="0.3">
      <c r="A34" s="110"/>
      <c r="E34" s="111"/>
    </row>
    <row r="35" spans="1:7" ht="18" customHeight="1" x14ac:dyDescent="0.2">
      <c r="A35" s="113" t="s">
        <v>1651</v>
      </c>
      <c r="B35" s="31" t="s">
        <v>1685</v>
      </c>
      <c r="C35" s="59">
        <v>1</v>
      </c>
      <c r="D35" s="41" t="s">
        <v>32</v>
      </c>
      <c r="E35" s="112" t="s">
        <v>1686</v>
      </c>
      <c r="G35" s="22" t="s">
        <v>1919</v>
      </c>
    </row>
    <row r="36" spans="1:7" ht="18" customHeight="1" x14ac:dyDescent="0.2">
      <c r="A36" s="113" t="s">
        <v>1651</v>
      </c>
      <c r="B36" s="31" t="s">
        <v>1687</v>
      </c>
      <c r="C36" s="59">
        <v>1</v>
      </c>
      <c r="D36" s="41" t="s">
        <v>32</v>
      </c>
      <c r="E36" s="112" t="s">
        <v>1688</v>
      </c>
      <c r="G36" s="22" t="s">
        <v>1919</v>
      </c>
    </row>
    <row r="37" spans="1:7" ht="18" customHeight="1" x14ac:dyDescent="0.2">
      <c r="A37" s="114" t="s">
        <v>1651</v>
      </c>
      <c r="B37" s="32" t="s">
        <v>1689</v>
      </c>
      <c r="C37" s="60">
        <v>2</v>
      </c>
      <c r="D37" s="58" t="s">
        <v>32</v>
      </c>
      <c r="E37" s="112" t="s">
        <v>1690</v>
      </c>
      <c r="G37" s="22" t="s">
        <v>1919</v>
      </c>
    </row>
    <row r="38" spans="1:7" ht="18" customHeight="1" x14ac:dyDescent="0.2">
      <c r="A38" s="114" t="s">
        <v>1651</v>
      </c>
      <c r="B38" s="32" t="s">
        <v>1691</v>
      </c>
      <c r="C38" s="60">
        <v>1</v>
      </c>
      <c r="D38" s="58" t="s">
        <v>32</v>
      </c>
      <c r="E38" s="112" t="s">
        <v>1692</v>
      </c>
      <c r="G38" s="22" t="s">
        <v>1919</v>
      </c>
    </row>
    <row r="39" spans="1:7" ht="18" customHeight="1" x14ac:dyDescent="0.2">
      <c r="A39" s="113" t="s">
        <v>1651</v>
      </c>
      <c r="B39" s="31" t="s">
        <v>1693</v>
      </c>
      <c r="C39" s="59">
        <v>1</v>
      </c>
      <c r="D39" s="41" t="s">
        <v>32</v>
      </c>
      <c r="E39" s="112" t="s">
        <v>1694</v>
      </c>
      <c r="G39" s="22" t="s">
        <v>1919</v>
      </c>
    </row>
    <row r="40" spans="1:7" ht="18" customHeight="1" x14ac:dyDescent="0.2">
      <c r="A40" s="113" t="s">
        <v>1651</v>
      </c>
      <c r="B40" s="31" t="s">
        <v>1695</v>
      </c>
      <c r="C40" s="59">
        <v>3</v>
      </c>
      <c r="D40" s="41" t="s">
        <v>32</v>
      </c>
      <c r="E40" s="112" t="s">
        <v>1696</v>
      </c>
      <c r="G40" s="22" t="s">
        <v>1919</v>
      </c>
    </row>
    <row r="41" spans="1:7" ht="18" customHeight="1" x14ac:dyDescent="0.2">
      <c r="A41" s="113" t="s">
        <v>1651</v>
      </c>
      <c r="B41" s="31" t="s">
        <v>1697</v>
      </c>
      <c r="C41" s="59">
        <v>2</v>
      </c>
      <c r="D41" s="41" t="s">
        <v>32</v>
      </c>
      <c r="E41" s="112" t="s">
        <v>1698</v>
      </c>
      <c r="G41" s="22" t="s">
        <v>1919</v>
      </c>
    </row>
    <row r="42" spans="1:7" ht="18" customHeight="1" x14ac:dyDescent="0.2">
      <c r="A42" s="113" t="s">
        <v>1651</v>
      </c>
      <c r="B42" s="31" t="s">
        <v>1699</v>
      </c>
      <c r="C42" s="59">
        <v>3</v>
      </c>
      <c r="D42" s="41" t="s">
        <v>32</v>
      </c>
      <c r="E42" s="112" t="s">
        <v>1700</v>
      </c>
      <c r="G42" s="22" t="s">
        <v>1919</v>
      </c>
    </row>
    <row r="43" spans="1:7" ht="18" customHeight="1" x14ac:dyDescent="0.2">
      <c r="A43" s="114" t="s">
        <v>1651</v>
      </c>
      <c r="B43" s="32" t="s">
        <v>1701</v>
      </c>
      <c r="C43" s="60">
        <v>1</v>
      </c>
      <c r="D43" s="58" t="s">
        <v>32</v>
      </c>
      <c r="E43" s="112" t="s">
        <v>1702</v>
      </c>
      <c r="G43" s="22" t="s">
        <v>1919</v>
      </c>
    </row>
    <row r="44" spans="1:7" ht="18" customHeight="1" x14ac:dyDescent="0.2">
      <c r="A44" s="113" t="s">
        <v>1651</v>
      </c>
      <c r="B44" s="31" t="s">
        <v>1703</v>
      </c>
      <c r="C44" s="59">
        <v>1</v>
      </c>
      <c r="D44" s="41" t="s">
        <v>32</v>
      </c>
      <c r="E44" s="112" t="s">
        <v>1704</v>
      </c>
      <c r="G44" s="22" t="s">
        <v>1919</v>
      </c>
    </row>
    <row r="45" spans="1:7" ht="18" customHeight="1" x14ac:dyDescent="0.2">
      <c r="A45" s="113" t="s">
        <v>1651</v>
      </c>
      <c r="B45" s="31" t="s">
        <v>1705</v>
      </c>
      <c r="C45" s="59">
        <v>1</v>
      </c>
      <c r="D45" s="41" t="s">
        <v>32</v>
      </c>
      <c r="E45" s="112" t="s">
        <v>1706</v>
      </c>
      <c r="G45" s="22" t="s">
        <v>1919</v>
      </c>
    </row>
    <row r="46" spans="1:7" ht="18" customHeight="1" x14ac:dyDescent="0.2">
      <c r="A46" s="114" t="s">
        <v>1651</v>
      </c>
      <c r="B46" s="32" t="s">
        <v>1707</v>
      </c>
      <c r="C46" s="60">
        <v>1</v>
      </c>
      <c r="D46" s="58" t="s">
        <v>32</v>
      </c>
      <c r="E46" s="112" t="s">
        <v>1708</v>
      </c>
      <c r="G46" s="22" t="s">
        <v>1919</v>
      </c>
    </row>
    <row r="47" spans="1:7" ht="18" customHeight="1" x14ac:dyDescent="0.2">
      <c r="A47" s="113" t="s">
        <v>1651</v>
      </c>
      <c r="B47" s="31" t="s">
        <v>1709</v>
      </c>
      <c r="C47" s="59">
        <v>2</v>
      </c>
      <c r="D47" s="41" t="s">
        <v>32</v>
      </c>
      <c r="E47" s="112" t="s">
        <v>1710</v>
      </c>
      <c r="G47" s="22" t="s">
        <v>1919</v>
      </c>
    </row>
    <row r="48" spans="1:7" ht="18" customHeight="1" x14ac:dyDescent="0.2">
      <c r="A48" s="113" t="s">
        <v>1651</v>
      </c>
      <c r="B48" s="31" t="s">
        <v>1711</v>
      </c>
      <c r="C48" s="59">
        <v>3</v>
      </c>
      <c r="D48" s="41" t="s">
        <v>32</v>
      </c>
      <c r="E48" s="112" t="s">
        <v>1712</v>
      </c>
      <c r="G48" s="22" t="s">
        <v>1919</v>
      </c>
    </row>
    <row r="49" spans="1:10" ht="18" customHeight="1" x14ac:dyDescent="0.2">
      <c r="A49" s="114" t="s">
        <v>1651</v>
      </c>
      <c r="B49" s="32" t="s">
        <v>1713</v>
      </c>
      <c r="C49" s="60">
        <v>1</v>
      </c>
      <c r="D49" s="58" t="s">
        <v>32</v>
      </c>
      <c r="E49" s="112" t="s">
        <v>1714</v>
      </c>
      <c r="G49" s="22" t="s">
        <v>1919</v>
      </c>
    </row>
    <row r="50" spans="1:10" ht="18" customHeight="1" thickBot="1" x14ac:dyDescent="0.25">
      <c r="A50" s="115" t="s">
        <v>1651</v>
      </c>
      <c r="B50" s="116" t="s">
        <v>1715</v>
      </c>
      <c r="C50" s="117">
        <v>1</v>
      </c>
      <c r="D50" s="118" t="s">
        <v>32</v>
      </c>
      <c r="E50" s="119" t="s">
        <v>1716</v>
      </c>
      <c r="G50" s="22" t="s">
        <v>1919</v>
      </c>
    </row>
    <row r="52" spans="1:10" ht="18" customHeight="1" x14ac:dyDescent="0.2">
      <c r="A52" s="14" t="s">
        <v>1651</v>
      </c>
      <c r="B52" s="14" t="s">
        <v>1717</v>
      </c>
      <c r="C52" s="23">
        <f>SUM(C4:C11,C18:C33,C35:C50)*2</f>
        <v>288</v>
      </c>
      <c r="D52" s="13" t="s">
        <v>32</v>
      </c>
      <c r="E52" s="53" t="s">
        <v>1718</v>
      </c>
      <c r="G52" s="22" t="s">
        <v>1959</v>
      </c>
    </row>
    <row r="54" spans="1:10" ht="18" customHeight="1" x14ac:dyDescent="0.2">
      <c r="A54" s="31" t="s">
        <v>1651</v>
      </c>
      <c r="B54" s="31" t="s">
        <v>1721</v>
      </c>
      <c r="C54" s="62">
        <v>8</v>
      </c>
      <c r="D54" s="13" t="s">
        <v>32</v>
      </c>
      <c r="E54" s="53" t="s">
        <v>1722</v>
      </c>
      <c r="G54" s="22" t="s">
        <v>1859</v>
      </c>
    </row>
    <row r="55" spans="1:10" ht="18" customHeight="1" x14ac:dyDescent="0.2">
      <c r="A55" s="31" t="s">
        <v>1651</v>
      </c>
      <c r="B55" s="31" t="s">
        <v>1723</v>
      </c>
      <c r="C55" s="59">
        <v>8</v>
      </c>
      <c r="D55" s="13" t="s">
        <v>32</v>
      </c>
      <c r="E55" s="53" t="s">
        <v>1724</v>
      </c>
    </row>
    <row r="56" spans="1:10" ht="18" customHeight="1" x14ac:dyDescent="0.2">
      <c r="A56" s="31" t="s">
        <v>1651</v>
      </c>
      <c r="B56" s="31" t="s">
        <v>1725</v>
      </c>
      <c r="C56" s="59">
        <v>8</v>
      </c>
      <c r="D56" s="13" t="s">
        <v>32</v>
      </c>
      <c r="E56" s="53" t="s">
        <v>1726</v>
      </c>
    </row>
    <row r="57" spans="1:10" ht="18" customHeight="1" x14ac:dyDescent="0.2">
      <c r="A57" s="31" t="s">
        <v>1651</v>
      </c>
      <c r="B57" s="31" t="s">
        <v>1727</v>
      </c>
      <c r="C57" s="59">
        <v>8</v>
      </c>
      <c r="D57" s="13" t="s">
        <v>32</v>
      </c>
      <c r="E57" s="53" t="s">
        <v>1728</v>
      </c>
    </row>
    <row r="58" spans="1:10" ht="18" customHeight="1" x14ac:dyDescent="0.2">
      <c r="A58" s="31" t="s">
        <v>1651</v>
      </c>
      <c r="B58" s="31" t="s">
        <v>1729</v>
      </c>
      <c r="C58" s="59">
        <v>6</v>
      </c>
      <c r="D58" s="13" t="s">
        <v>32</v>
      </c>
      <c r="E58" s="53" t="s">
        <v>1730</v>
      </c>
    </row>
    <row r="59" spans="1:10" ht="18" customHeight="1" x14ac:dyDescent="0.2">
      <c r="A59" s="33" t="s">
        <v>1651</v>
      </c>
      <c r="B59" s="33" t="s">
        <v>1731</v>
      </c>
      <c r="C59" s="63">
        <v>6</v>
      </c>
      <c r="D59" s="44" t="s">
        <v>32</v>
      </c>
      <c r="E59" s="61" t="s">
        <v>1732</v>
      </c>
      <c r="I59" s="21" t="s">
        <v>2009</v>
      </c>
      <c r="J59" s="21" t="s">
        <v>2010</v>
      </c>
    </row>
    <row r="60" spans="1:10" ht="18" customHeight="1" x14ac:dyDescent="0.2">
      <c r="A60" s="14" t="s">
        <v>1651</v>
      </c>
      <c r="B60" s="14" t="s">
        <v>1733</v>
      </c>
      <c r="C60" s="23">
        <f>C4*2</f>
        <v>8</v>
      </c>
      <c r="D60" s="13" t="s">
        <v>32</v>
      </c>
      <c r="E60" s="53" t="s">
        <v>1734</v>
      </c>
      <c r="G60" s="22" t="s">
        <v>2008</v>
      </c>
      <c r="I60" s="22">
        <v>1000</v>
      </c>
      <c r="J60" s="22">
        <v>1100</v>
      </c>
    </row>
    <row r="61" spans="1:10" ht="18" customHeight="1" x14ac:dyDescent="0.2">
      <c r="A61" s="14" t="s">
        <v>1651</v>
      </c>
      <c r="B61" s="14" t="s">
        <v>1735</v>
      </c>
      <c r="C61" s="23">
        <f t="shared" ref="C61:C67" si="0">C5*2</f>
        <v>10</v>
      </c>
      <c r="D61" s="13" t="s">
        <v>32</v>
      </c>
      <c r="E61" s="53" t="s">
        <v>1736</v>
      </c>
      <c r="G61" s="22" t="s">
        <v>2008</v>
      </c>
      <c r="I61" s="22">
        <v>900</v>
      </c>
      <c r="J61" s="22">
        <v>1000</v>
      </c>
    </row>
    <row r="62" spans="1:10" ht="18" customHeight="1" x14ac:dyDescent="0.2">
      <c r="A62" s="14" t="s">
        <v>1651</v>
      </c>
      <c r="B62" s="14" t="s">
        <v>1737</v>
      </c>
      <c r="C62" s="23">
        <f t="shared" si="0"/>
        <v>18</v>
      </c>
      <c r="D62" s="13" t="s">
        <v>32</v>
      </c>
      <c r="E62" s="53" t="s">
        <v>1738</v>
      </c>
      <c r="G62" s="22" t="s">
        <v>2008</v>
      </c>
      <c r="I62" s="22">
        <v>800</v>
      </c>
      <c r="J62" s="22">
        <v>900</v>
      </c>
    </row>
    <row r="63" spans="1:10" ht="18" customHeight="1" x14ac:dyDescent="0.2">
      <c r="A63" s="14" t="s">
        <v>1651</v>
      </c>
      <c r="B63" s="14" t="s">
        <v>1739</v>
      </c>
      <c r="C63" s="23">
        <f t="shared" si="0"/>
        <v>20</v>
      </c>
      <c r="D63" s="13" t="s">
        <v>32</v>
      </c>
      <c r="E63" s="53" t="s">
        <v>1740</v>
      </c>
      <c r="G63" s="22" t="s">
        <v>2008</v>
      </c>
      <c r="I63" s="22">
        <v>700</v>
      </c>
      <c r="J63" s="22">
        <v>800</v>
      </c>
    </row>
    <row r="64" spans="1:10" ht="18" customHeight="1" x14ac:dyDescent="0.2">
      <c r="A64" s="14" t="s">
        <v>1651</v>
      </c>
      <c r="B64" s="14" t="s">
        <v>1741</v>
      </c>
      <c r="C64" s="23">
        <f t="shared" si="0"/>
        <v>28</v>
      </c>
      <c r="D64" s="13" t="s">
        <v>32</v>
      </c>
      <c r="E64" s="53" t="s">
        <v>1742</v>
      </c>
      <c r="G64" s="22" t="s">
        <v>2008</v>
      </c>
      <c r="I64" s="22">
        <v>600</v>
      </c>
      <c r="J64" s="22">
        <v>700</v>
      </c>
    </row>
    <row r="65" spans="1:10" ht="18" customHeight="1" x14ac:dyDescent="0.2">
      <c r="A65" s="14" t="s">
        <v>1651</v>
      </c>
      <c r="B65" s="14" t="s">
        <v>1743</v>
      </c>
      <c r="C65" s="23">
        <f t="shared" si="0"/>
        <v>22</v>
      </c>
      <c r="D65" s="13" t="s">
        <v>32</v>
      </c>
      <c r="E65" s="53" t="s">
        <v>1744</v>
      </c>
      <c r="G65" s="22" t="s">
        <v>2008</v>
      </c>
      <c r="I65" s="22">
        <v>500</v>
      </c>
      <c r="J65" s="22">
        <v>600</v>
      </c>
    </row>
    <row r="66" spans="1:10" ht="18" customHeight="1" x14ac:dyDescent="0.2">
      <c r="A66" s="14" t="s">
        <v>1651</v>
      </c>
      <c r="B66" s="14" t="s">
        <v>1745</v>
      </c>
      <c r="C66" s="23">
        <f t="shared" si="0"/>
        <v>8</v>
      </c>
      <c r="D66" s="13" t="s">
        <v>32</v>
      </c>
      <c r="E66" s="53" t="s">
        <v>1746</v>
      </c>
      <c r="G66" s="22" t="s">
        <v>2008</v>
      </c>
      <c r="I66" s="22">
        <v>400</v>
      </c>
      <c r="J66" s="22">
        <v>500</v>
      </c>
    </row>
    <row r="67" spans="1:10" ht="18" customHeight="1" x14ac:dyDescent="0.2">
      <c r="A67" s="14" t="s">
        <v>1651</v>
      </c>
      <c r="B67" s="14" t="s">
        <v>1747</v>
      </c>
      <c r="C67" s="23">
        <f t="shared" si="0"/>
        <v>40</v>
      </c>
      <c r="D67" s="13" t="s">
        <v>32</v>
      </c>
      <c r="E67" s="53" t="s">
        <v>1748</v>
      </c>
      <c r="G67" s="22" t="s">
        <v>2008</v>
      </c>
      <c r="I67" s="22">
        <v>300</v>
      </c>
      <c r="J67" s="22">
        <v>400</v>
      </c>
    </row>
    <row r="68" spans="1:10" ht="18" customHeight="1" x14ac:dyDescent="0.2">
      <c r="A68" s="14" t="s">
        <v>1651</v>
      </c>
      <c r="B68" s="14" t="s">
        <v>1719</v>
      </c>
      <c r="C68" s="23">
        <f>SUM(C60:C67)*2</f>
        <v>308</v>
      </c>
      <c r="D68" s="13" t="s">
        <v>32</v>
      </c>
      <c r="E68" s="53" t="s">
        <v>1720</v>
      </c>
      <c r="G68" s="22" t="s">
        <v>2012</v>
      </c>
      <c r="I68" s="22">
        <v>200</v>
      </c>
      <c r="J68" s="22">
        <v>300</v>
      </c>
    </row>
    <row r="69" spans="1:10" ht="18" customHeight="1" x14ac:dyDescent="0.2">
      <c r="A69" s="14" t="s">
        <v>1605</v>
      </c>
      <c r="B69" s="14" t="s">
        <v>1606</v>
      </c>
      <c r="C69" s="23">
        <f>SUM(C60:C67)*4</f>
        <v>616</v>
      </c>
      <c r="D69" s="13" t="s">
        <v>32</v>
      </c>
      <c r="E69" s="39" t="s">
        <v>1607</v>
      </c>
      <c r="G69" s="22" t="s">
        <v>2011</v>
      </c>
      <c r="I69" s="22">
        <v>150</v>
      </c>
      <c r="J69" s="22">
        <v>200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A65B-F20A-4D1A-ADD9-CDED6A824B08}">
  <dimension ref="A1:AE53"/>
  <sheetViews>
    <sheetView workbookViewId="0">
      <selection activeCell="F136" sqref="F136"/>
    </sheetView>
  </sheetViews>
  <sheetFormatPr defaultColWidth="9" defaultRowHeight="18" customHeight="1" x14ac:dyDescent="0.3"/>
  <cols>
    <col min="1" max="2" width="40.625" style="1" customWidth="1"/>
    <col min="3" max="4" width="8.625" style="1" customWidth="1"/>
    <col min="5" max="5" width="27.375" style="22" bestFit="1" customWidth="1"/>
    <col min="6" max="6" width="9" style="22"/>
    <col min="7" max="7" width="35.25" style="22" bestFit="1" customWidth="1"/>
    <col min="8" max="8" width="26.125" style="22" bestFit="1" customWidth="1"/>
    <col min="9" max="15" width="10.625" style="22" customWidth="1"/>
    <col min="16" max="19" width="10.625" style="21" customWidth="1"/>
    <col min="20" max="20" width="14.25" style="21" bestFit="1" customWidth="1"/>
    <col min="21" max="21" width="9" style="22"/>
    <col min="22" max="22" width="37.5" style="22" bestFit="1" customWidth="1"/>
    <col min="23" max="23" width="10.75" style="22" bestFit="1" customWidth="1"/>
    <col min="24" max="27" width="9" style="22"/>
    <col min="28" max="28" width="37.5" style="22" bestFit="1" customWidth="1"/>
    <col min="29" max="29" width="10.75" style="22" bestFit="1" customWidth="1"/>
    <col min="30" max="16384" width="9" style="22"/>
  </cols>
  <sheetData>
    <row r="1" spans="1:31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  <c r="X1" s="21"/>
      <c r="Y1" s="21"/>
      <c r="AD1" s="21"/>
      <c r="AE1" s="21"/>
    </row>
    <row r="2" spans="1:31" ht="18" customHeight="1" x14ac:dyDescent="0.3">
      <c r="A2" s="203"/>
      <c r="B2" s="203"/>
      <c r="C2" s="203"/>
      <c r="D2" s="203"/>
      <c r="E2" s="203"/>
      <c r="I2" s="21"/>
      <c r="J2" s="21"/>
      <c r="K2" s="21"/>
      <c r="L2" s="21"/>
      <c r="M2" s="21"/>
      <c r="N2" s="21"/>
      <c r="O2" s="21"/>
      <c r="W2" s="21"/>
      <c r="X2" s="21"/>
      <c r="Y2" s="21"/>
      <c r="AB2" s="21"/>
      <c r="AC2" s="21"/>
      <c r="AD2" s="21"/>
      <c r="AE2" s="21"/>
    </row>
    <row r="3" spans="1:31" ht="18" customHeight="1" x14ac:dyDescent="0.3">
      <c r="A3" s="28" t="s">
        <v>1749</v>
      </c>
      <c r="B3" s="28"/>
      <c r="C3" s="28"/>
      <c r="D3" s="28"/>
      <c r="E3" s="24"/>
      <c r="I3" s="21"/>
      <c r="J3" s="21"/>
      <c r="K3" s="21"/>
      <c r="L3" s="21"/>
      <c r="M3" s="21"/>
      <c r="N3" s="21"/>
      <c r="O3" s="21"/>
      <c r="W3" s="21"/>
      <c r="X3" s="21"/>
      <c r="Y3" s="21"/>
      <c r="AB3" s="21"/>
      <c r="AC3" s="21"/>
      <c r="AD3" s="21"/>
      <c r="AE3" s="21"/>
    </row>
    <row r="4" spans="1:31" ht="18" customHeight="1" x14ac:dyDescent="0.2">
      <c r="A4" s="6" t="s">
        <v>1750</v>
      </c>
      <c r="B4" s="6" t="s">
        <v>1751</v>
      </c>
      <c r="C4" s="19">
        <v>5</v>
      </c>
      <c r="D4" s="41" t="s">
        <v>1752</v>
      </c>
      <c r="E4" s="29" t="s">
        <v>1753</v>
      </c>
      <c r="G4" s="22" t="s">
        <v>1920</v>
      </c>
      <c r="H4" s="22" t="s">
        <v>1924</v>
      </c>
      <c r="J4" s="22" t="s">
        <v>1922</v>
      </c>
      <c r="K4" s="21"/>
      <c r="L4" s="21"/>
      <c r="M4" s="21"/>
      <c r="N4" s="21"/>
      <c r="O4" s="21"/>
      <c r="W4" s="21"/>
      <c r="X4" s="21"/>
      <c r="Y4" s="21"/>
      <c r="AB4" s="21"/>
      <c r="AC4" s="21"/>
      <c r="AD4" s="21"/>
      <c r="AE4" s="21"/>
    </row>
    <row r="5" spans="1:31" ht="18" customHeight="1" x14ac:dyDescent="0.2">
      <c r="A5" s="24" t="s">
        <v>1754</v>
      </c>
      <c r="B5" s="24" t="s">
        <v>1751</v>
      </c>
      <c r="C5" s="58">
        <v>5</v>
      </c>
      <c r="D5" s="58" t="s">
        <v>1752</v>
      </c>
      <c r="E5" s="29" t="s">
        <v>1753</v>
      </c>
      <c r="G5" s="22" t="s">
        <v>1920</v>
      </c>
      <c r="H5" s="22" t="s">
        <v>1924</v>
      </c>
      <c r="K5" s="21"/>
      <c r="L5" s="21"/>
      <c r="M5" s="21"/>
      <c r="N5" s="21"/>
      <c r="O5" s="21"/>
      <c r="W5" s="21"/>
      <c r="X5" s="21"/>
      <c r="Y5" s="21"/>
      <c r="AB5" s="21"/>
      <c r="AC5" s="21"/>
      <c r="AD5" s="21"/>
      <c r="AE5" s="21"/>
    </row>
    <row r="6" spans="1:31" ht="18" customHeight="1" x14ac:dyDescent="0.2">
      <c r="A6" s="6" t="s">
        <v>1755</v>
      </c>
      <c r="B6" s="6" t="s">
        <v>1756</v>
      </c>
      <c r="C6" s="19">
        <v>31</v>
      </c>
      <c r="D6" s="41" t="s">
        <v>32</v>
      </c>
      <c r="E6" s="29" t="s">
        <v>1757</v>
      </c>
      <c r="G6" s="22" t="s">
        <v>1923</v>
      </c>
      <c r="H6" s="22" t="s">
        <v>1921</v>
      </c>
      <c r="K6" s="21"/>
      <c r="L6" s="21"/>
      <c r="M6" s="21"/>
      <c r="N6" s="21"/>
      <c r="O6" s="21"/>
      <c r="W6" s="21"/>
      <c r="X6" s="21"/>
      <c r="Y6" s="21"/>
      <c r="AB6" s="21"/>
      <c r="AC6" s="21"/>
      <c r="AD6" s="21"/>
      <c r="AE6" s="21"/>
    </row>
    <row r="7" spans="1:31" ht="18" customHeight="1" x14ac:dyDescent="0.3">
      <c r="I7" s="21"/>
      <c r="J7" s="21"/>
      <c r="K7" s="21"/>
      <c r="L7" s="21"/>
      <c r="M7" s="21"/>
      <c r="N7" s="21"/>
      <c r="O7" s="21"/>
      <c r="W7" s="21"/>
      <c r="X7" s="21"/>
      <c r="Y7" s="21"/>
      <c r="AB7" s="21"/>
      <c r="AC7" s="21"/>
      <c r="AD7" s="21"/>
      <c r="AE7" s="21"/>
    </row>
    <row r="8" spans="1:31" ht="18" customHeight="1" x14ac:dyDescent="0.3">
      <c r="A8" s="28" t="s">
        <v>1758</v>
      </c>
      <c r="B8" s="28"/>
      <c r="C8" s="28"/>
      <c r="D8" s="28"/>
      <c r="E8" s="24"/>
    </row>
    <row r="9" spans="1:31" ht="18" customHeight="1" x14ac:dyDescent="0.2">
      <c r="A9" s="6" t="s">
        <v>1759</v>
      </c>
      <c r="B9" s="6" t="s">
        <v>1760</v>
      </c>
      <c r="C9" s="19">
        <v>2</v>
      </c>
      <c r="D9" s="41" t="s">
        <v>32</v>
      </c>
      <c r="E9" s="29" t="s">
        <v>1761</v>
      </c>
      <c r="G9" s="22" t="s">
        <v>1923</v>
      </c>
      <c r="H9" s="22" t="s">
        <v>1913</v>
      </c>
    </row>
    <row r="10" spans="1:31" ht="18" customHeight="1" x14ac:dyDescent="0.2">
      <c r="A10" s="24" t="s">
        <v>1759</v>
      </c>
      <c r="B10" s="24" t="s">
        <v>1972</v>
      </c>
      <c r="C10" s="58">
        <v>2</v>
      </c>
      <c r="D10" s="58" t="s">
        <v>32</v>
      </c>
      <c r="E10" s="29" t="s">
        <v>1763</v>
      </c>
      <c r="G10" s="22" t="s">
        <v>1923</v>
      </c>
      <c r="H10" s="22" t="s">
        <v>1913</v>
      </c>
    </row>
    <row r="11" spans="1:31" ht="18" customHeight="1" x14ac:dyDescent="0.2">
      <c r="A11" s="6" t="s">
        <v>1759</v>
      </c>
      <c r="B11" s="6" t="s">
        <v>1973</v>
      </c>
      <c r="C11" s="41">
        <v>31</v>
      </c>
      <c r="D11" s="41" t="s">
        <v>32</v>
      </c>
      <c r="E11" s="29" t="s">
        <v>1765</v>
      </c>
      <c r="G11" s="22" t="s">
        <v>1923</v>
      </c>
      <c r="H11" s="22" t="s">
        <v>1913</v>
      </c>
    </row>
    <row r="12" spans="1:31" ht="18" customHeight="1" x14ac:dyDescent="0.2">
      <c r="A12" s="6" t="s">
        <v>1759</v>
      </c>
      <c r="B12" s="6" t="s">
        <v>1976</v>
      </c>
      <c r="C12" s="41">
        <v>16</v>
      </c>
      <c r="D12" s="41" t="s">
        <v>32</v>
      </c>
      <c r="E12" s="29" t="s">
        <v>1767</v>
      </c>
      <c r="G12" s="22" t="s">
        <v>1923</v>
      </c>
      <c r="H12" s="22" t="s">
        <v>1913</v>
      </c>
    </row>
    <row r="14" spans="1:31" ht="18" customHeight="1" x14ac:dyDescent="0.2">
      <c r="A14" s="14" t="s">
        <v>1814</v>
      </c>
      <c r="B14" s="14" t="s">
        <v>1815</v>
      </c>
      <c r="C14" s="23">
        <v>4</v>
      </c>
      <c r="D14" s="13" t="s">
        <v>32</v>
      </c>
      <c r="E14" s="53" t="s">
        <v>1816</v>
      </c>
      <c r="G14" s="22" t="s">
        <v>1968</v>
      </c>
      <c r="J14" s="22" t="s">
        <v>1969</v>
      </c>
      <c r="M14" s="22" t="s">
        <v>1979</v>
      </c>
      <c r="P14" s="22"/>
    </row>
    <row r="15" spans="1:31" ht="18" customHeight="1" x14ac:dyDescent="0.2">
      <c r="A15" s="14" t="s">
        <v>1814</v>
      </c>
      <c r="B15" s="14" t="s">
        <v>1977</v>
      </c>
      <c r="C15" s="13">
        <v>47</v>
      </c>
      <c r="D15" s="13" t="s">
        <v>32</v>
      </c>
      <c r="E15" s="53" t="s">
        <v>1978</v>
      </c>
      <c r="G15" s="22" t="s">
        <v>1968</v>
      </c>
      <c r="J15" s="22" t="s">
        <v>1970</v>
      </c>
      <c r="K15" s="22" t="s">
        <v>1971</v>
      </c>
      <c r="M15" s="22">
        <v>300</v>
      </c>
      <c r="O15" s="22" t="s">
        <v>1980</v>
      </c>
      <c r="P15" s="22"/>
    </row>
    <row r="16" spans="1:31" ht="18" customHeight="1" x14ac:dyDescent="0.3">
      <c r="M16" s="22">
        <v>200</v>
      </c>
      <c r="O16" s="22" t="s">
        <v>1981</v>
      </c>
      <c r="P16" s="22"/>
    </row>
    <row r="17" spans="1:16" ht="18" customHeight="1" x14ac:dyDescent="0.2">
      <c r="A17" s="30" t="s">
        <v>1776</v>
      </c>
      <c r="B17" s="30" t="s">
        <v>1777</v>
      </c>
      <c r="C17" s="56">
        <v>2</v>
      </c>
      <c r="D17" s="64" t="s">
        <v>32</v>
      </c>
      <c r="E17" s="65" t="s">
        <v>1778</v>
      </c>
      <c r="G17" s="22" t="s">
        <v>1923</v>
      </c>
      <c r="H17" s="22" t="s">
        <v>1925</v>
      </c>
      <c r="J17" s="22" t="s">
        <v>1972</v>
      </c>
      <c r="M17" s="22">
        <v>100</v>
      </c>
      <c r="O17" s="22" t="s">
        <v>1982</v>
      </c>
      <c r="P17" s="22"/>
    </row>
    <row r="18" spans="1:16" ht="18" customHeight="1" x14ac:dyDescent="0.2">
      <c r="A18" s="14" t="s">
        <v>1811</v>
      </c>
      <c r="B18" s="14" t="s">
        <v>1812</v>
      </c>
      <c r="C18" s="23">
        <f>C17</f>
        <v>2</v>
      </c>
      <c r="D18" s="13" t="s">
        <v>32</v>
      </c>
      <c r="E18" s="53" t="s">
        <v>1813</v>
      </c>
      <c r="G18" s="22" t="s">
        <v>1960</v>
      </c>
      <c r="J18" s="22" t="s">
        <v>1970</v>
      </c>
      <c r="K18" s="22" t="s">
        <v>1971</v>
      </c>
      <c r="M18" s="22">
        <v>30</v>
      </c>
      <c r="O18" s="22" t="s">
        <v>1817</v>
      </c>
      <c r="P18" s="22"/>
    </row>
    <row r="19" spans="1:16" ht="18" customHeight="1" x14ac:dyDescent="0.2">
      <c r="A19" s="14" t="s">
        <v>1828</v>
      </c>
      <c r="B19" s="14" t="s">
        <v>1829</v>
      </c>
      <c r="C19" s="23">
        <f>C17</f>
        <v>2</v>
      </c>
      <c r="D19" s="13" t="s">
        <v>32</v>
      </c>
      <c r="E19" s="53" t="s">
        <v>1830</v>
      </c>
      <c r="G19" s="22" t="s">
        <v>1960</v>
      </c>
      <c r="M19" s="22">
        <v>20</v>
      </c>
      <c r="O19" s="22" t="s">
        <v>1977</v>
      </c>
      <c r="P19" s="22"/>
    </row>
    <row r="20" spans="1:16" ht="18" customHeight="1" x14ac:dyDescent="0.2">
      <c r="A20" s="14" t="s">
        <v>1779</v>
      </c>
      <c r="B20" s="14" t="s">
        <v>1780</v>
      </c>
      <c r="C20" s="23">
        <f>C17*3</f>
        <v>6</v>
      </c>
      <c r="D20" s="13" t="s">
        <v>32</v>
      </c>
      <c r="E20" s="39" t="s">
        <v>1781</v>
      </c>
      <c r="G20" s="22" t="s">
        <v>1961</v>
      </c>
      <c r="J20" s="22" t="s">
        <v>1973</v>
      </c>
      <c r="M20" s="22">
        <v>10</v>
      </c>
      <c r="O20" s="22" t="s">
        <v>1983</v>
      </c>
      <c r="P20" s="22"/>
    </row>
    <row r="21" spans="1:16" ht="18" customHeight="1" x14ac:dyDescent="0.3">
      <c r="J21" s="22" t="s">
        <v>1974</v>
      </c>
      <c r="K21" s="22" t="s">
        <v>1975</v>
      </c>
      <c r="P21" s="22"/>
    </row>
    <row r="22" spans="1:16" ht="18" customHeight="1" x14ac:dyDescent="0.2">
      <c r="A22" s="6" t="s">
        <v>1768</v>
      </c>
      <c r="B22" s="6" t="s">
        <v>1769</v>
      </c>
      <c r="C22" s="19">
        <v>3</v>
      </c>
      <c r="D22" s="41" t="s">
        <v>32</v>
      </c>
      <c r="E22" s="29" t="s">
        <v>1770</v>
      </c>
      <c r="G22" s="22" t="s">
        <v>1923</v>
      </c>
      <c r="H22" s="22" t="s">
        <v>1925</v>
      </c>
      <c r="P22" s="22"/>
    </row>
    <row r="23" spans="1:16" ht="18" customHeight="1" x14ac:dyDescent="0.2">
      <c r="A23" s="6" t="s">
        <v>1768</v>
      </c>
      <c r="B23" s="6" t="s">
        <v>1771</v>
      </c>
      <c r="C23" s="19">
        <v>3</v>
      </c>
      <c r="D23" s="41" t="s">
        <v>32</v>
      </c>
      <c r="E23" s="29" t="s">
        <v>1772</v>
      </c>
      <c r="G23" s="22" t="s">
        <v>1923</v>
      </c>
      <c r="H23" s="22" t="s">
        <v>1925</v>
      </c>
      <c r="J23" s="22" t="s">
        <v>1976</v>
      </c>
      <c r="P23" s="22"/>
    </row>
    <row r="24" spans="1:16" ht="18" customHeight="1" x14ac:dyDescent="0.3">
      <c r="J24" s="22" t="s">
        <v>1974</v>
      </c>
      <c r="K24" s="22" t="s">
        <v>1975</v>
      </c>
      <c r="P24" s="22"/>
    </row>
    <row r="25" spans="1:16" ht="18" customHeight="1" x14ac:dyDescent="0.2">
      <c r="A25" s="30" t="s">
        <v>1782</v>
      </c>
      <c r="B25" s="30" t="s">
        <v>1783</v>
      </c>
      <c r="C25" s="56">
        <v>17</v>
      </c>
      <c r="D25" s="64" t="s">
        <v>32</v>
      </c>
      <c r="E25" s="65" t="s">
        <v>1784</v>
      </c>
      <c r="G25" s="22" t="s">
        <v>1923</v>
      </c>
      <c r="H25" s="22" t="s">
        <v>1913</v>
      </c>
      <c r="P25" s="22"/>
    </row>
    <row r="26" spans="1:16" ht="18" customHeight="1" x14ac:dyDescent="0.2">
      <c r="A26" s="30" t="s">
        <v>1785</v>
      </c>
      <c r="B26" s="30" t="s">
        <v>1786</v>
      </c>
      <c r="C26" s="56">
        <v>17</v>
      </c>
      <c r="D26" s="64" t="s">
        <v>32</v>
      </c>
      <c r="E26" s="65" t="s">
        <v>1787</v>
      </c>
      <c r="G26" s="22" t="s">
        <v>1923</v>
      </c>
      <c r="H26" s="22" t="s">
        <v>1913</v>
      </c>
      <c r="P26" s="22"/>
    </row>
    <row r="27" spans="1:16" ht="18" customHeight="1" x14ac:dyDescent="0.2">
      <c r="A27" s="14" t="s">
        <v>1773</v>
      </c>
      <c r="B27" s="14" t="s">
        <v>1774</v>
      </c>
      <c r="C27" s="23">
        <f>C26</f>
        <v>17</v>
      </c>
      <c r="D27" s="13" t="s">
        <v>32</v>
      </c>
      <c r="E27" s="53" t="s">
        <v>1775</v>
      </c>
      <c r="G27" s="22" t="s">
        <v>1963</v>
      </c>
    </row>
    <row r="28" spans="1:16" ht="18" customHeight="1" x14ac:dyDescent="0.2">
      <c r="A28" s="14" t="s">
        <v>1788</v>
      </c>
      <c r="B28" s="14" t="s">
        <v>1789</v>
      </c>
      <c r="C28" s="23">
        <f>C26</f>
        <v>17</v>
      </c>
      <c r="D28" s="13" t="s">
        <v>32</v>
      </c>
      <c r="E28" s="53" t="s">
        <v>1790</v>
      </c>
      <c r="G28" s="22" t="s">
        <v>1963</v>
      </c>
    </row>
    <row r="30" spans="1:16" ht="18" customHeight="1" x14ac:dyDescent="0.2">
      <c r="A30" s="6" t="s">
        <v>1791</v>
      </c>
      <c r="B30" s="6" t="s">
        <v>1792</v>
      </c>
      <c r="C30" s="19">
        <v>12</v>
      </c>
      <c r="D30" s="41" t="s">
        <v>32</v>
      </c>
      <c r="E30" s="29" t="s">
        <v>1793</v>
      </c>
      <c r="G30" s="22" t="s">
        <v>1923</v>
      </c>
      <c r="H30" s="22" t="s">
        <v>1913</v>
      </c>
    </row>
    <row r="31" spans="1:16" ht="18" customHeight="1" x14ac:dyDescent="0.2">
      <c r="A31" s="6" t="s">
        <v>1791</v>
      </c>
      <c r="B31" s="6" t="s">
        <v>1794</v>
      </c>
      <c r="C31" s="41">
        <v>2</v>
      </c>
      <c r="D31" s="41" t="s">
        <v>32</v>
      </c>
      <c r="E31" s="29" t="s">
        <v>1795</v>
      </c>
      <c r="G31" s="22" t="s">
        <v>1923</v>
      </c>
      <c r="H31" s="22" t="s">
        <v>1913</v>
      </c>
    </row>
    <row r="32" spans="1:16" ht="18" customHeight="1" x14ac:dyDescent="0.2">
      <c r="A32" s="14" t="s">
        <v>1796</v>
      </c>
      <c r="B32" s="14" t="s">
        <v>1797</v>
      </c>
      <c r="C32" s="23">
        <f>SUM(C30:C31)</f>
        <v>14</v>
      </c>
      <c r="D32" s="13" t="s">
        <v>32</v>
      </c>
      <c r="E32" s="53" t="s">
        <v>1798</v>
      </c>
      <c r="G32" s="22" t="s">
        <v>1962</v>
      </c>
    </row>
    <row r="33" spans="1:14" ht="18" customHeight="1" x14ac:dyDescent="0.2">
      <c r="A33" s="14" t="s">
        <v>1799</v>
      </c>
      <c r="B33" s="14" t="s">
        <v>1800</v>
      </c>
      <c r="C33" s="23">
        <f>SUM(C30:C31)</f>
        <v>14</v>
      </c>
      <c r="D33" s="13" t="s">
        <v>32</v>
      </c>
      <c r="E33" s="53" t="s">
        <v>1801</v>
      </c>
      <c r="G33" s="22" t="s">
        <v>1962</v>
      </c>
    </row>
    <row r="34" spans="1:14" ht="18" customHeight="1" x14ac:dyDescent="0.2">
      <c r="A34" s="14" t="s">
        <v>1802</v>
      </c>
      <c r="B34" s="14" t="s">
        <v>1803</v>
      </c>
      <c r="C34" s="13">
        <f>SUM(C30:C31)</f>
        <v>14</v>
      </c>
      <c r="D34" s="13" t="s">
        <v>32</v>
      </c>
      <c r="E34" s="53" t="s">
        <v>1804</v>
      </c>
      <c r="G34" s="22" t="s">
        <v>1962</v>
      </c>
    </row>
    <row r="35" spans="1:14" ht="18" customHeight="1" x14ac:dyDescent="0.2">
      <c r="A35" s="14" t="s">
        <v>1805</v>
      </c>
      <c r="B35" s="14" t="s">
        <v>1806</v>
      </c>
      <c r="C35" s="13">
        <f>SUM(C30:C31)</f>
        <v>14</v>
      </c>
      <c r="D35" s="13" t="s">
        <v>32</v>
      </c>
      <c r="E35" s="53" t="s">
        <v>1807</v>
      </c>
      <c r="G35" s="22" t="s">
        <v>1962</v>
      </c>
    </row>
    <row r="37" spans="1:14" ht="18" customHeight="1" x14ac:dyDescent="0.2">
      <c r="A37" s="42" t="s">
        <v>1808</v>
      </c>
      <c r="B37" s="42" t="s">
        <v>1809</v>
      </c>
      <c r="C37" s="9">
        <f>SUM(C27+C32)*3</f>
        <v>93</v>
      </c>
      <c r="D37" s="44" t="s">
        <v>32</v>
      </c>
      <c r="E37" s="61" t="s">
        <v>1810</v>
      </c>
      <c r="G37" s="22" t="s">
        <v>1966</v>
      </c>
    </row>
    <row r="38" spans="1:14" ht="18" customHeight="1" x14ac:dyDescent="0.2">
      <c r="A38" s="14" t="s">
        <v>1828</v>
      </c>
      <c r="B38" s="14" t="s">
        <v>1831</v>
      </c>
      <c r="C38" s="8">
        <f>SUM(C27+C32)</f>
        <v>31</v>
      </c>
      <c r="D38" s="13" t="s">
        <v>32</v>
      </c>
      <c r="E38" s="53" t="s">
        <v>1832</v>
      </c>
      <c r="G38" s="22" t="s">
        <v>1967</v>
      </c>
    </row>
    <row r="39" spans="1:14" ht="18" customHeight="1" x14ac:dyDescent="0.2">
      <c r="A39" s="14" t="s">
        <v>1818</v>
      </c>
      <c r="B39" s="14" t="s">
        <v>1821</v>
      </c>
      <c r="C39" s="23">
        <f>ROUNDUP(SUM(C27+C32)*25%,0)</f>
        <v>8</v>
      </c>
      <c r="D39" s="13" t="s">
        <v>32</v>
      </c>
      <c r="E39" s="53" t="s">
        <v>1822</v>
      </c>
      <c r="G39" s="22" t="s">
        <v>1985</v>
      </c>
    </row>
    <row r="41" spans="1:14" ht="18" customHeight="1" x14ac:dyDescent="0.2">
      <c r="A41" s="42" t="s">
        <v>1818</v>
      </c>
      <c r="B41" s="42" t="s">
        <v>1819</v>
      </c>
      <c r="C41" s="43">
        <f>SUM(C4:C5)</f>
        <v>10</v>
      </c>
      <c r="D41" s="44" t="s">
        <v>32</v>
      </c>
      <c r="E41" s="61" t="s">
        <v>1820</v>
      </c>
      <c r="G41" s="22" t="s">
        <v>1984</v>
      </c>
      <c r="L41" s="22" t="s">
        <v>1912</v>
      </c>
    </row>
    <row r="42" spans="1:14" ht="18" customHeight="1" x14ac:dyDescent="0.2">
      <c r="C42" s="11"/>
      <c r="D42" s="11"/>
      <c r="E42" s="67"/>
      <c r="N42" s="21" t="s">
        <v>1877</v>
      </c>
    </row>
    <row r="43" spans="1:14" ht="18" customHeight="1" x14ac:dyDescent="0.2">
      <c r="A43" s="14" t="s">
        <v>1823</v>
      </c>
      <c r="B43" s="14" t="s">
        <v>1824</v>
      </c>
      <c r="C43" s="23">
        <v>80</v>
      </c>
      <c r="D43" s="13" t="s">
        <v>10</v>
      </c>
      <c r="E43" s="53" t="s">
        <v>1825</v>
      </c>
      <c r="G43" s="22" t="s">
        <v>1860</v>
      </c>
      <c r="I43" s="22" t="s">
        <v>1861</v>
      </c>
      <c r="J43" s="22" t="s">
        <v>1862</v>
      </c>
      <c r="L43" s="22" t="s">
        <v>1861</v>
      </c>
      <c r="M43" s="22" t="s">
        <v>1987</v>
      </c>
      <c r="N43" s="21">
        <v>3</v>
      </c>
    </row>
    <row r="44" spans="1:14" ht="18" customHeight="1" x14ac:dyDescent="0.2">
      <c r="A44" s="14" t="s">
        <v>1823</v>
      </c>
      <c r="B44" s="14" t="s">
        <v>1826</v>
      </c>
      <c r="C44" s="13">
        <v>1197</v>
      </c>
      <c r="D44" s="13" t="s">
        <v>10</v>
      </c>
      <c r="E44" s="53" t="s">
        <v>1964</v>
      </c>
      <c r="G44" s="22" t="s">
        <v>1857</v>
      </c>
      <c r="I44" s="22" t="s">
        <v>1863</v>
      </c>
      <c r="J44" s="22" t="s">
        <v>1864</v>
      </c>
      <c r="L44" s="22" t="s">
        <v>1861</v>
      </c>
      <c r="M44" s="22" t="s">
        <v>1988</v>
      </c>
      <c r="N44" s="21">
        <v>2</v>
      </c>
    </row>
    <row r="45" spans="1:14" ht="18" customHeight="1" x14ac:dyDescent="0.3">
      <c r="I45" s="22" t="s">
        <v>1865</v>
      </c>
      <c r="J45" s="22" t="s">
        <v>1866</v>
      </c>
      <c r="L45" s="22" t="s">
        <v>1861</v>
      </c>
      <c r="M45" s="22" t="s">
        <v>1988</v>
      </c>
      <c r="N45" s="21">
        <v>2</v>
      </c>
    </row>
    <row r="46" spans="1:14" ht="18" customHeight="1" x14ac:dyDescent="0.2">
      <c r="A46" s="14" t="s">
        <v>1611</v>
      </c>
      <c r="B46" s="14" t="s">
        <v>1613</v>
      </c>
      <c r="C46" s="23">
        <v>32</v>
      </c>
      <c r="D46" s="13" t="s">
        <v>32</v>
      </c>
      <c r="E46" s="53" t="s">
        <v>1827</v>
      </c>
      <c r="G46" s="22" t="s">
        <v>1986</v>
      </c>
      <c r="L46" s="22" t="s">
        <v>1929</v>
      </c>
      <c r="M46" s="22" t="s">
        <v>1987</v>
      </c>
      <c r="N46" s="21">
        <v>5</v>
      </c>
    </row>
    <row r="47" spans="1:14" ht="18" customHeight="1" x14ac:dyDescent="0.2">
      <c r="A47" s="14" t="s">
        <v>1611</v>
      </c>
      <c r="B47" s="14" t="s">
        <v>1615</v>
      </c>
      <c r="C47" s="13">
        <v>774</v>
      </c>
      <c r="D47" s="13" t="s">
        <v>32</v>
      </c>
      <c r="E47" s="53" t="s">
        <v>1965</v>
      </c>
      <c r="G47" s="22" t="s">
        <v>1986</v>
      </c>
    </row>
    <row r="48" spans="1:14" ht="18" customHeight="1" x14ac:dyDescent="0.3">
      <c r="L48" s="22" t="s">
        <v>1989</v>
      </c>
      <c r="M48" s="22" t="s">
        <v>1990</v>
      </c>
      <c r="N48" s="22">
        <f>4*39</f>
        <v>156</v>
      </c>
    </row>
    <row r="49" spans="12:14" ht="18" customHeight="1" x14ac:dyDescent="0.3">
      <c r="L49" s="22" t="s">
        <v>1991</v>
      </c>
      <c r="M49" s="22" t="s">
        <v>1992</v>
      </c>
      <c r="N49" s="22">
        <f>3*39</f>
        <v>117</v>
      </c>
    </row>
    <row r="50" spans="12:14" ht="18" customHeight="1" x14ac:dyDescent="0.3">
      <c r="L50" s="22" t="s">
        <v>1993</v>
      </c>
      <c r="M50" s="22" t="s">
        <v>1994</v>
      </c>
      <c r="N50" s="22">
        <f>5*21</f>
        <v>105</v>
      </c>
    </row>
    <row r="52" spans="12:14" ht="18" customHeight="1" x14ac:dyDescent="0.3">
      <c r="L52" s="22" t="s">
        <v>1988</v>
      </c>
      <c r="M52" s="22" t="s">
        <v>1995</v>
      </c>
    </row>
    <row r="53" spans="12:14" ht="18" customHeight="1" x14ac:dyDescent="0.3">
      <c r="L53" s="22" t="s">
        <v>1987</v>
      </c>
      <c r="M53" s="22" t="s">
        <v>1996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3CD5-DC72-422F-84F5-F9488D9B9158}">
  <dimension ref="A1:AE22"/>
  <sheetViews>
    <sheetView workbookViewId="0">
      <selection activeCell="F136" sqref="F136"/>
    </sheetView>
  </sheetViews>
  <sheetFormatPr defaultColWidth="9" defaultRowHeight="12" x14ac:dyDescent="0.3"/>
  <cols>
    <col min="1" max="2" width="40.625" style="1" customWidth="1"/>
    <col min="3" max="4" width="8.625" style="1" customWidth="1"/>
    <col min="5" max="5" width="27.375" style="22" bestFit="1" customWidth="1"/>
    <col min="6" max="6" width="9" style="22"/>
    <col min="7" max="7" width="35.25" style="22" bestFit="1" customWidth="1"/>
    <col min="8" max="8" width="26.125" style="22" bestFit="1" customWidth="1"/>
    <col min="9" max="15" width="10.625" style="22" customWidth="1"/>
    <col min="16" max="19" width="10.625" style="21" customWidth="1"/>
    <col min="20" max="20" width="14.25" style="21" bestFit="1" customWidth="1"/>
    <col min="21" max="21" width="9" style="22"/>
    <col min="22" max="22" width="37.5" style="22" bestFit="1" customWidth="1"/>
    <col min="23" max="23" width="10.75" style="22" bestFit="1" customWidth="1"/>
    <col min="24" max="27" width="9" style="22"/>
    <col min="28" max="28" width="37.5" style="22" bestFit="1" customWidth="1"/>
    <col min="29" max="29" width="10.75" style="22" bestFit="1" customWidth="1"/>
    <col min="30" max="16384" width="9" style="22"/>
  </cols>
  <sheetData>
    <row r="1" spans="1:31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  <c r="X1" s="21"/>
      <c r="Y1" s="21"/>
      <c r="AD1" s="21"/>
      <c r="AE1" s="21"/>
    </row>
    <row r="2" spans="1:31" ht="18" customHeight="1" x14ac:dyDescent="0.3">
      <c r="A2" s="203"/>
      <c r="B2" s="203"/>
      <c r="C2" s="203"/>
      <c r="D2" s="203"/>
      <c r="E2" s="203"/>
      <c r="I2" s="21"/>
      <c r="J2" s="21"/>
      <c r="K2" s="21"/>
      <c r="L2" s="21"/>
      <c r="M2" s="21"/>
      <c r="N2" s="21"/>
      <c r="O2" s="21"/>
      <c r="W2" s="21"/>
      <c r="X2" s="21"/>
      <c r="Y2" s="21"/>
      <c r="AB2" s="21"/>
      <c r="AC2" s="21"/>
      <c r="AD2" s="21"/>
      <c r="AE2" s="21"/>
    </row>
    <row r="3" spans="1:31" ht="18" customHeight="1" x14ac:dyDescent="0.3">
      <c r="A3" s="28" t="s">
        <v>1749</v>
      </c>
      <c r="B3" s="28"/>
      <c r="C3" s="28"/>
      <c r="D3" s="28"/>
      <c r="E3" s="24"/>
    </row>
    <row r="4" spans="1:31" ht="18" customHeight="1" x14ac:dyDescent="0.2">
      <c r="A4" s="6" t="s">
        <v>1750</v>
      </c>
      <c r="B4" s="6" t="s">
        <v>1751</v>
      </c>
      <c r="C4" s="19">
        <v>5</v>
      </c>
      <c r="D4" s="41" t="s">
        <v>1752</v>
      </c>
      <c r="E4" s="29" t="s">
        <v>1753</v>
      </c>
      <c r="G4" s="22" t="s">
        <v>1920</v>
      </c>
      <c r="H4" s="22" t="s">
        <v>1924</v>
      </c>
      <c r="J4" s="22" t="s">
        <v>1922</v>
      </c>
    </row>
    <row r="5" spans="1:31" ht="18" customHeight="1" x14ac:dyDescent="0.2">
      <c r="A5" s="24" t="s">
        <v>1754</v>
      </c>
      <c r="B5" s="24" t="s">
        <v>1751</v>
      </c>
      <c r="C5" s="58">
        <v>5</v>
      </c>
      <c r="D5" s="58" t="s">
        <v>1752</v>
      </c>
      <c r="E5" s="29" t="s">
        <v>1753</v>
      </c>
      <c r="G5" s="22" t="s">
        <v>1920</v>
      </c>
      <c r="H5" s="22" t="s">
        <v>1924</v>
      </c>
    </row>
    <row r="6" spans="1:31" ht="18" customHeight="1" x14ac:dyDescent="0.2">
      <c r="A6" s="6" t="s">
        <v>1755</v>
      </c>
      <c r="B6" s="6" t="s">
        <v>1756</v>
      </c>
      <c r="C6" s="19">
        <v>31</v>
      </c>
      <c r="D6" s="41" t="s">
        <v>32</v>
      </c>
      <c r="E6" s="29" t="s">
        <v>1757</v>
      </c>
      <c r="G6" s="22" t="s">
        <v>1923</v>
      </c>
      <c r="H6" s="22" t="s">
        <v>1921</v>
      </c>
    </row>
    <row r="8" spans="1:31" ht="18" customHeight="1" x14ac:dyDescent="0.3">
      <c r="A8" s="68" t="s">
        <v>1997</v>
      </c>
      <c r="B8" s="68"/>
      <c r="C8" s="68"/>
      <c r="D8" s="68"/>
      <c r="E8" s="69"/>
    </row>
    <row r="9" spans="1:31" ht="18" customHeight="1" x14ac:dyDescent="0.2">
      <c r="A9" s="42" t="s">
        <v>1759</v>
      </c>
      <c r="B9" s="42" t="s">
        <v>1833</v>
      </c>
      <c r="C9" s="43">
        <f>C6*2</f>
        <v>62</v>
      </c>
      <c r="D9" s="44" t="s">
        <v>32</v>
      </c>
      <c r="E9" s="61" t="s">
        <v>1998</v>
      </c>
      <c r="G9" s="22" t="s">
        <v>2003</v>
      </c>
      <c r="L9" s="21"/>
      <c r="M9" s="21"/>
    </row>
    <row r="10" spans="1:31" ht="18" customHeight="1" x14ac:dyDescent="0.2">
      <c r="A10" s="14" t="s">
        <v>1834</v>
      </c>
      <c r="B10" s="14" t="s">
        <v>1835</v>
      </c>
      <c r="C10" s="8">
        <f>C6</f>
        <v>31</v>
      </c>
      <c r="D10" s="13" t="s">
        <v>32</v>
      </c>
      <c r="E10" s="53" t="s">
        <v>1836</v>
      </c>
      <c r="G10" s="22" t="s">
        <v>2004</v>
      </c>
    </row>
    <row r="11" spans="1:31" ht="18" customHeight="1" x14ac:dyDescent="0.2">
      <c r="A11" s="14" t="s">
        <v>1834</v>
      </c>
      <c r="B11" s="14" t="s">
        <v>1837</v>
      </c>
      <c r="C11" s="13">
        <f>C6</f>
        <v>31</v>
      </c>
      <c r="D11" s="13" t="s">
        <v>32</v>
      </c>
      <c r="E11" s="53" t="s">
        <v>1838</v>
      </c>
      <c r="G11" s="22" t="s">
        <v>2004</v>
      </c>
    </row>
    <row r="12" spans="1:31" ht="18" customHeight="1" x14ac:dyDescent="0.2">
      <c r="A12" s="14" t="s">
        <v>1834</v>
      </c>
      <c r="B12" s="14" t="s">
        <v>1839</v>
      </c>
      <c r="C12" s="13">
        <f>C6</f>
        <v>31</v>
      </c>
      <c r="D12" s="13" t="s">
        <v>32</v>
      </c>
      <c r="E12" s="53" t="s">
        <v>1840</v>
      </c>
      <c r="G12" s="22" t="s">
        <v>2004</v>
      </c>
    </row>
    <row r="13" spans="1:31" ht="18" customHeight="1" x14ac:dyDescent="0.2">
      <c r="A13" s="14" t="s">
        <v>1841</v>
      </c>
      <c r="B13" s="14" t="s">
        <v>1842</v>
      </c>
      <c r="C13" s="13">
        <f>C6</f>
        <v>31</v>
      </c>
      <c r="D13" s="13" t="s">
        <v>32</v>
      </c>
      <c r="E13" s="53" t="s">
        <v>1843</v>
      </c>
      <c r="G13" s="22" t="s">
        <v>2004</v>
      </c>
    </row>
    <row r="14" spans="1:31" ht="18" customHeight="1" x14ac:dyDescent="0.2">
      <c r="A14" s="14" t="s">
        <v>1844</v>
      </c>
      <c r="B14" s="14" t="s">
        <v>1845</v>
      </c>
      <c r="C14" s="13">
        <f>C6</f>
        <v>31</v>
      </c>
      <c r="D14" s="13" t="s">
        <v>32</v>
      </c>
      <c r="E14" s="53" t="s">
        <v>1846</v>
      </c>
      <c r="G14" s="22" t="s">
        <v>2004</v>
      </c>
    </row>
    <row r="15" spans="1:31" ht="18" customHeight="1" x14ac:dyDescent="0.2">
      <c r="A15" s="42" t="s">
        <v>1847</v>
      </c>
      <c r="B15" s="42" t="s">
        <v>1848</v>
      </c>
      <c r="C15" s="44">
        <f>C6</f>
        <v>31</v>
      </c>
      <c r="D15" s="44" t="s">
        <v>32</v>
      </c>
      <c r="E15" s="61" t="s">
        <v>1849</v>
      </c>
      <c r="G15" s="22" t="s">
        <v>2004</v>
      </c>
    </row>
    <row r="16" spans="1:31" ht="18" customHeight="1" x14ac:dyDescent="0.2">
      <c r="A16" s="42" t="s">
        <v>1828</v>
      </c>
      <c r="B16" s="42" t="s">
        <v>1850</v>
      </c>
      <c r="C16" s="43">
        <f>C6*3</f>
        <v>93</v>
      </c>
      <c r="D16" s="44" t="s">
        <v>32</v>
      </c>
      <c r="E16" s="61" t="s">
        <v>1830</v>
      </c>
      <c r="G16" s="22" t="s">
        <v>2005</v>
      </c>
    </row>
    <row r="17" spans="1:7" ht="18" customHeight="1" x14ac:dyDescent="0.2">
      <c r="A17" s="14" t="s">
        <v>1828</v>
      </c>
      <c r="B17" s="14" t="s">
        <v>1829</v>
      </c>
      <c r="C17" s="8">
        <f>C6</f>
        <v>31</v>
      </c>
      <c r="D17" s="13" t="s">
        <v>32</v>
      </c>
      <c r="E17" s="53" t="s">
        <v>1999</v>
      </c>
      <c r="G17" s="22" t="s">
        <v>2004</v>
      </c>
    </row>
    <row r="18" spans="1:7" ht="18" customHeight="1" x14ac:dyDescent="0.2">
      <c r="A18" s="42" t="s">
        <v>1818</v>
      </c>
      <c r="B18" s="42" t="s">
        <v>1821</v>
      </c>
      <c r="C18" s="44">
        <f>C6</f>
        <v>31</v>
      </c>
      <c r="D18" s="44" t="s">
        <v>32</v>
      </c>
      <c r="E18" s="61" t="s">
        <v>1822</v>
      </c>
      <c r="G18" s="22" t="s">
        <v>2004</v>
      </c>
    </row>
    <row r="19" spans="1:7" ht="18" customHeight="1" x14ac:dyDescent="0.2">
      <c r="A19" s="42" t="s">
        <v>1823</v>
      </c>
      <c r="B19" s="42" t="s">
        <v>1851</v>
      </c>
      <c r="C19" s="43">
        <f>C6*60</f>
        <v>1860</v>
      </c>
      <c r="D19" s="44" t="s">
        <v>10</v>
      </c>
      <c r="E19" s="61" t="s">
        <v>2000</v>
      </c>
      <c r="G19" s="22" t="s">
        <v>2006</v>
      </c>
    </row>
    <row r="20" spans="1:7" ht="18" customHeight="1" x14ac:dyDescent="0.2">
      <c r="A20" s="42" t="s">
        <v>1611</v>
      </c>
      <c r="B20" s="42" t="s">
        <v>1619</v>
      </c>
      <c r="C20" s="43">
        <f>C6*48</f>
        <v>1488</v>
      </c>
      <c r="D20" s="44" t="s">
        <v>32</v>
      </c>
      <c r="E20" s="61" t="s">
        <v>2001</v>
      </c>
      <c r="G20" s="22" t="s">
        <v>2007</v>
      </c>
    </row>
    <row r="21" spans="1:7" ht="18" customHeight="1" x14ac:dyDescent="0.2">
      <c r="A21" s="14" t="s">
        <v>1799</v>
      </c>
      <c r="B21" s="14" t="s">
        <v>2002</v>
      </c>
      <c r="C21" s="8">
        <f>C6</f>
        <v>31</v>
      </c>
      <c r="D21" s="13" t="s">
        <v>32</v>
      </c>
      <c r="E21" s="53" t="s">
        <v>1801</v>
      </c>
      <c r="G21" s="22" t="s">
        <v>2004</v>
      </c>
    </row>
    <row r="22" spans="1:7" ht="18" customHeight="1" x14ac:dyDescent="0.2">
      <c r="A22" s="14" t="s">
        <v>1802</v>
      </c>
      <c r="B22" s="14" t="s">
        <v>1806</v>
      </c>
      <c r="C22" s="8">
        <f>C6</f>
        <v>31</v>
      </c>
      <c r="D22" s="13" t="s">
        <v>32</v>
      </c>
      <c r="E22" s="53" t="s">
        <v>1804</v>
      </c>
      <c r="G22" s="22" t="s">
        <v>2004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A8AD-9174-44C9-8676-18FA33E4817A}">
  <sheetPr>
    <tabColor rgb="FFFFFF00"/>
  </sheetPr>
  <dimension ref="A1:G178"/>
  <sheetViews>
    <sheetView zoomScale="85" zoomScaleNormal="85" workbookViewId="0">
      <selection activeCell="F136" sqref="F136"/>
    </sheetView>
  </sheetViews>
  <sheetFormatPr defaultColWidth="9" defaultRowHeight="18" customHeight="1" x14ac:dyDescent="0.3"/>
  <cols>
    <col min="1" max="2" width="40.625" style="1" customWidth="1"/>
    <col min="3" max="4" width="8.625" style="1" customWidth="1"/>
    <col min="5" max="5" width="27.375" style="22" bestFit="1" customWidth="1"/>
    <col min="6" max="16384" width="9" style="22"/>
  </cols>
  <sheetData>
    <row r="1" spans="1:7" ht="18" customHeight="1" x14ac:dyDescent="0.3">
      <c r="A1" s="203" t="s">
        <v>0</v>
      </c>
      <c r="B1" s="203" t="s">
        <v>1</v>
      </c>
      <c r="C1" s="203" t="s">
        <v>3</v>
      </c>
      <c r="D1" s="203" t="s">
        <v>1530</v>
      </c>
      <c r="E1" s="204" t="s">
        <v>7</v>
      </c>
    </row>
    <row r="2" spans="1:7" ht="18" customHeight="1" x14ac:dyDescent="0.3">
      <c r="A2" s="203"/>
      <c r="B2" s="203"/>
      <c r="C2" s="203"/>
      <c r="D2" s="203"/>
      <c r="E2" s="203"/>
    </row>
    <row r="3" spans="1:7" ht="18" customHeight="1" x14ac:dyDescent="0.3">
      <c r="A3" s="28" t="s">
        <v>1531</v>
      </c>
      <c r="B3" s="28"/>
      <c r="C3" s="28"/>
      <c r="D3" s="37"/>
      <c r="E3" s="24"/>
    </row>
    <row r="4" spans="1:7" ht="18" customHeight="1" x14ac:dyDescent="0.2">
      <c r="A4" s="54" t="s">
        <v>1532</v>
      </c>
      <c r="B4" s="55" t="s">
        <v>1533</v>
      </c>
      <c r="C4" s="56">
        <v>30</v>
      </c>
      <c r="D4" s="56" t="s">
        <v>1534</v>
      </c>
      <c r="E4" s="57" t="s">
        <v>1535</v>
      </c>
      <c r="G4" s="22" t="s">
        <v>2024</v>
      </c>
    </row>
    <row r="5" spans="1:7" ht="18" customHeight="1" x14ac:dyDescent="0.2">
      <c r="A5" s="28" t="s">
        <v>1532</v>
      </c>
      <c r="B5" s="28" t="s">
        <v>1536</v>
      </c>
      <c r="C5" s="2">
        <v>210</v>
      </c>
      <c r="D5" s="2" t="s">
        <v>10</v>
      </c>
      <c r="E5" s="25" t="s">
        <v>1537</v>
      </c>
    </row>
    <row r="6" spans="1:7" ht="18" customHeight="1" x14ac:dyDescent="0.2">
      <c r="A6" s="36" t="s">
        <v>1532</v>
      </c>
      <c r="B6" s="27" t="s">
        <v>1884</v>
      </c>
      <c r="C6" s="2">
        <v>485</v>
      </c>
      <c r="D6" s="2" t="s">
        <v>10</v>
      </c>
      <c r="E6" s="25" t="s">
        <v>1538</v>
      </c>
    </row>
    <row r="7" spans="1:7" ht="18" customHeight="1" x14ac:dyDescent="0.2">
      <c r="A7" s="36" t="s">
        <v>1532</v>
      </c>
      <c r="B7" s="27" t="s">
        <v>1885</v>
      </c>
      <c r="C7" s="2">
        <v>1095</v>
      </c>
      <c r="D7" s="2" t="s">
        <v>10</v>
      </c>
      <c r="E7" s="25" t="s">
        <v>1539</v>
      </c>
    </row>
    <row r="8" spans="1:7" ht="18" customHeight="1" x14ac:dyDescent="0.2">
      <c r="A8" s="36" t="s">
        <v>1532</v>
      </c>
      <c r="B8" s="27" t="s">
        <v>1540</v>
      </c>
      <c r="C8" s="2">
        <v>390</v>
      </c>
      <c r="D8" s="2" t="s">
        <v>10</v>
      </c>
      <c r="E8" s="25" t="s">
        <v>1541</v>
      </c>
    </row>
    <row r="9" spans="1:7" ht="18" customHeight="1" x14ac:dyDescent="0.2">
      <c r="A9" s="36" t="s">
        <v>1895</v>
      </c>
      <c r="B9" s="27" t="s">
        <v>1879</v>
      </c>
      <c r="C9" s="2">
        <v>1040</v>
      </c>
      <c r="D9" s="2" t="s">
        <v>10</v>
      </c>
      <c r="E9" s="25" t="s">
        <v>1544</v>
      </c>
    </row>
    <row r="10" spans="1:7" ht="18" customHeight="1" x14ac:dyDescent="0.2">
      <c r="A10" s="28" t="s">
        <v>1542</v>
      </c>
      <c r="B10" s="28" t="s">
        <v>1545</v>
      </c>
      <c r="C10" s="2">
        <v>170</v>
      </c>
      <c r="D10" s="2" t="s">
        <v>10</v>
      </c>
      <c r="E10" s="25" t="s">
        <v>1546</v>
      </c>
    </row>
    <row r="11" spans="1:7" ht="18" customHeight="1" x14ac:dyDescent="0.2">
      <c r="A11" s="36" t="s">
        <v>1542</v>
      </c>
      <c r="B11" s="27" t="s">
        <v>1547</v>
      </c>
      <c r="C11" s="2">
        <v>605</v>
      </c>
      <c r="D11" s="2" t="s">
        <v>10</v>
      </c>
      <c r="E11" s="25" t="s">
        <v>1548</v>
      </c>
    </row>
    <row r="12" spans="1:7" ht="18" customHeight="1" x14ac:dyDescent="0.2">
      <c r="A12" s="36" t="s">
        <v>1542</v>
      </c>
      <c r="B12" s="27" t="s">
        <v>1883</v>
      </c>
      <c r="C12" s="2">
        <v>545</v>
      </c>
      <c r="D12" s="2" t="s">
        <v>10</v>
      </c>
      <c r="E12" s="25" t="s">
        <v>1549</v>
      </c>
    </row>
    <row r="13" spans="1:7" ht="18" customHeight="1" x14ac:dyDescent="0.2">
      <c r="A13" s="36" t="s">
        <v>1542</v>
      </c>
      <c r="B13" s="27" t="s">
        <v>1886</v>
      </c>
      <c r="C13" s="2">
        <v>555</v>
      </c>
      <c r="D13" s="2" t="s">
        <v>10</v>
      </c>
      <c r="E13" s="25" t="s">
        <v>1550</v>
      </c>
    </row>
    <row r="14" spans="1:7" ht="18" customHeight="1" x14ac:dyDescent="0.2">
      <c r="A14" s="36" t="s">
        <v>1896</v>
      </c>
      <c r="B14" s="27" t="s">
        <v>1543</v>
      </c>
      <c r="C14" s="2">
        <v>60</v>
      </c>
      <c r="D14" s="2" t="s">
        <v>10</v>
      </c>
      <c r="E14" s="25" t="s">
        <v>1552</v>
      </c>
    </row>
    <row r="15" spans="1:7" ht="18" customHeight="1" x14ac:dyDescent="0.2">
      <c r="A15" s="36" t="s">
        <v>1551</v>
      </c>
      <c r="B15" s="27" t="s">
        <v>1874</v>
      </c>
      <c r="C15" s="2">
        <v>790</v>
      </c>
      <c r="D15" s="2" t="s">
        <v>10</v>
      </c>
      <c r="E15" s="25" t="s">
        <v>1553</v>
      </c>
    </row>
    <row r="16" spans="1:7" ht="18" customHeight="1" x14ac:dyDescent="0.2">
      <c r="A16" s="36" t="s">
        <v>1551</v>
      </c>
      <c r="B16" s="27" t="s">
        <v>1882</v>
      </c>
      <c r="C16" s="2">
        <v>30</v>
      </c>
      <c r="D16" s="2" t="s">
        <v>10</v>
      </c>
      <c r="E16" s="25" t="s">
        <v>1554</v>
      </c>
    </row>
    <row r="17" spans="1:5" ht="18" customHeight="1" x14ac:dyDescent="0.2">
      <c r="A17" s="28" t="s">
        <v>1894</v>
      </c>
      <c r="B17" s="28" t="s">
        <v>1872</v>
      </c>
      <c r="C17" s="2">
        <v>30</v>
      </c>
      <c r="D17" s="2" t="s">
        <v>10</v>
      </c>
      <c r="E17" s="25" t="s">
        <v>1557</v>
      </c>
    </row>
    <row r="18" spans="1:5" ht="18" customHeight="1" x14ac:dyDescent="0.2">
      <c r="A18" s="36" t="s">
        <v>1555</v>
      </c>
      <c r="B18" s="27" t="s">
        <v>1875</v>
      </c>
      <c r="C18" s="2">
        <v>210</v>
      </c>
      <c r="D18" s="2" t="s">
        <v>10</v>
      </c>
      <c r="E18" s="25" t="s">
        <v>1558</v>
      </c>
    </row>
    <row r="19" spans="1:5" ht="18" customHeight="1" x14ac:dyDescent="0.2">
      <c r="A19" s="36" t="s">
        <v>1555</v>
      </c>
      <c r="B19" s="27" t="s">
        <v>1876</v>
      </c>
      <c r="C19" s="2">
        <v>2595</v>
      </c>
      <c r="D19" s="2" t="s">
        <v>10</v>
      </c>
      <c r="E19" s="25" t="s">
        <v>1559</v>
      </c>
    </row>
    <row r="20" spans="1:5" ht="18" customHeight="1" x14ac:dyDescent="0.2">
      <c r="A20" s="36" t="s">
        <v>1555</v>
      </c>
      <c r="B20" s="27" t="s">
        <v>1560</v>
      </c>
      <c r="C20" s="2">
        <v>390</v>
      </c>
      <c r="D20" s="2" t="s">
        <v>10</v>
      </c>
      <c r="E20" s="25" t="s">
        <v>1561</v>
      </c>
    </row>
    <row r="21" spans="1:5" ht="18" customHeight="1" x14ac:dyDescent="0.2">
      <c r="A21" s="36" t="s">
        <v>1562</v>
      </c>
      <c r="B21" s="27" t="s">
        <v>1563</v>
      </c>
      <c r="C21" s="19">
        <v>36</v>
      </c>
      <c r="D21" s="2" t="s">
        <v>10</v>
      </c>
      <c r="E21" s="25" t="s">
        <v>1564</v>
      </c>
    </row>
    <row r="22" spans="1:5" ht="18" customHeight="1" x14ac:dyDescent="0.2">
      <c r="A22" s="36" t="s">
        <v>1562</v>
      </c>
      <c r="B22" s="27" t="s">
        <v>1565</v>
      </c>
      <c r="C22" s="2">
        <v>72</v>
      </c>
      <c r="D22" s="2" t="s">
        <v>10</v>
      </c>
      <c r="E22" s="25" t="s">
        <v>1566</v>
      </c>
    </row>
    <row r="23" spans="1:5" ht="18" customHeight="1" x14ac:dyDescent="0.2">
      <c r="A23" s="28" t="s">
        <v>1562</v>
      </c>
      <c r="B23" s="28" t="s">
        <v>1567</v>
      </c>
      <c r="C23" s="2">
        <v>24</v>
      </c>
      <c r="D23" s="2" t="s">
        <v>10</v>
      </c>
      <c r="E23" s="25" t="s">
        <v>1568</v>
      </c>
    </row>
    <row r="24" spans="1:5" ht="18" customHeight="1" x14ac:dyDescent="0.2">
      <c r="A24" s="36" t="s">
        <v>1562</v>
      </c>
      <c r="B24" s="27" t="s">
        <v>1569</v>
      </c>
      <c r="C24" s="2">
        <v>826</v>
      </c>
      <c r="D24" s="2" t="s">
        <v>10</v>
      </c>
      <c r="E24" s="25" t="s">
        <v>1570</v>
      </c>
    </row>
    <row r="25" spans="1:5" ht="18" customHeight="1" x14ac:dyDescent="0.2">
      <c r="A25" s="36" t="s">
        <v>1562</v>
      </c>
      <c r="B25" s="27" t="s">
        <v>1571</v>
      </c>
      <c r="C25" s="2">
        <v>516</v>
      </c>
      <c r="D25" s="2" t="s">
        <v>10</v>
      </c>
      <c r="E25" s="25" t="s">
        <v>1572</v>
      </c>
    </row>
    <row r="26" spans="1:5" ht="18" customHeight="1" x14ac:dyDescent="0.2">
      <c r="A26" s="28" t="s">
        <v>1562</v>
      </c>
      <c r="B26" s="28" t="s">
        <v>1573</v>
      </c>
      <c r="C26" s="2">
        <v>462</v>
      </c>
      <c r="D26" s="2" t="s">
        <v>10</v>
      </c>
      <c r="E26" s="25" t="s">
        <v>1574</v>
      </c>
    </row>
    <row r="27" spans="1:5" ht="18" customHeight="1" x14ac:dyDescent="0.2">
      <c r="A27" s="40" t="s">
        <v>1575</v>
      </c>
      <c r="B27" s="38" t="s">
        <v>1576</v>
      </c>
      <c r="C27" s="23">
        <v>6</v>
      </c>
      <c r="D27" s="8" t="s">
        <v>10</v>
      </c>
      <c r="E27" s="39" t="s">
        <v>1577</v>
      </c>
    </row>
    <row r="28" spans="1:5" ht="18" customHeight="1" x14ac:dyDescent="0.2">
      <c r="A28" s="47" t="s">
        <v>1583</v>
      </c>
      <c r="B28" s="48" t="s">
        <v>1584</v>
      </c>
      <c r="C28" s="23">
        <v>6</v>
      </c>
      <c r="D28" s="9" t="s">
        <v>32</v>
      </c>
      <c r="E28" s="45" t="s">
        <v>1585</v>
      </c>
    </row>
    <row r="29" spans="1:5" ht="18" customHeight="1" x14ac:dyDescent="0.2">
      <c r="A29" s="14" t="s">
        <v>1594</v>
      </c>
      <c r="B29" s="14" t="s">
        <v>1595</v>
      </c>
      <c r="C29" s="43">
        <v>3</v>
      </c>
      <c r="D29" s="13" t="s">
        <v>32</v>
      </c>
      <c r="E29" s="39" t="s">
        <v>1932</v>
      </c>
    </row>
    <row r="30" spans="1:5" ht="18" customHeight="1" x14ac:dyDescent="0.2">
      <c r="A30" s="40" t="s">
        <v>1575</v>
      </c>
      <c r="B30" s="38" t="s">
        <v>1578</v>
      </c>
      <c r="C30" s="23">
        <v>12</v>
      </c>
      <c r="D30" s="8" t="s">
        <v>10</v>
      </c>
      <c r="E30" s="39" t="s">
        <v>1934</v>
      </c>
    </row>
    <row r="31" spans="1:5" ht="18" customHeight="1" x14ac:dyDescent="0.2">
      <c r="A31" s="14" t="s">
        <v>1583</v>
      </c>
      <c r="B31" s="14" t="s">
        <v>1586</v>
      </c>
      <c r="C31" s="23">
        <v>12</v>
      </c>
      <c r="D31" s="13" t="s">
        <v>32</v>
      </c>
      <c r="E31" s="39" t="s">
        <v>1935</v>
      </c>
    </row>
    <row r="32" spans="1:5" ht="18" customHeight="1" x14ac:dyDescent="0.2">
      <c r="A32" s="14" t="s">
        <v>1594</v>
      </c>
      <c r="B32" s="14" t="s">
        <v>1596</v>
      </c>
      <c r="C32" s="8">
        <v>6</v>
      </c>
      <c r="D32" s="13" t="s">
        <v>32</v>
      </c>
      <c r="E32" s="39" t="s">
        <v>1936</v>
      </c>
    </row>
    <row r="33" spans="1:5" ht="18" customHeight="1" x14ac:dyDescent="0.2">
      <c r="A33" s="26" t="s">
        <v>1575</v>
      </c>
      <c r="B33" s="26" t="s">
        <v>1579</v>
      </c>
      <c r="C33" s="96">
        <v>4</v>
      </c>
      <c r="D33" s="8" t="s">
        <v>10</v>
      </c>
      <c r="E33" s="39" t="s">
        <v>1938</v>
      </c>
    </row>
    <row r="34" spans="1:5" ht="18" customHeight="1" x14ac:dyDescent="0.2">
      <c r="A34" s="14" t="s">
        <v>1583</v>
      </c>
      <c r="B34" s="14" t="s">
        <v>1587</v>
      </c>
      <c r="C34" s="96">
        <v>4</v>
      </c>
      <c r="D34" s="13" t="s">
        <v>32</v>
      </c>
      <c r="E34" s="39" t="s">
        <v>1939</v>
      </c>
    </row>
    <row r="35" spans="1:5" ht="18" customHeight="1" x14ac:dyDescent="0.2">
      <c r="A35" s="14" t="s">
        <v>1594</v>
      </c>
      <c r="B35" s="14" t="s">
        <v>1597</v>
      </c>
      <c r="C35" s="96">
        <v>2</v>
      </c>
      <c r="D35" s="13" t="s">
        <v>32</v>
      </c>
      <c r="E35" s="39" t="s">
        <v>1940</v>
      </c>
    </row>
    <row r="36" spans="1:5" ht="18" customHeight="1" x14ac:dyDescent="0.2">
      <c r="A36" s="40" t="s">
        <v>1575</v>
      </c>
      <c r="B36" s="38" t="s">
        <v>1580</v>
      </c>
      <c r="C36" s="23">
        <v>138</v>
      </c>
      <c r="D36" s="8" t="s">
        <v>10</v>
      </c>
      <c r="E36" s="39" t="s">
        <v>1942</v>
      </c>
    </row>
    <row r="37" spans="1:5" ht="18" customHeight="1" x14ac:dyDescent="0.2">
      <c r="A37" s="14" t="s">
        <v>1583</v>
      </c>
      <c r="B37" s="14" t="s">
        <v>1588</v>
      </c>
      <c r="C37" s="23">
        <v>138</v>
      </c>
      <c r="D37" s="13" t="s">
        <v>32</v>
      </c>
      <c r="E37" s="39" t="s">
        <v>1943</v>
      </c>
    </row>
    <row r="38" spans="1:5" ht="18" customHeight="1" x14ac:dyDescent="0.2">
      <c r="A38" s="14" t="s">
        <v>1594</v>
      </c>
      <c r="B38" s="14" t="s">
        <v>1598</v>
      </c>
      <c r="C38" s="23">
        <v>69</v>
      </c>
      <c r="D38" s="13" t="s">
        <v>32</v>
      </c>
      <c r="E38" s="39" t="s">
        <v>1944</v>
      </c>
    </row>
    <row r="39" spans="1:5" ht="18" customHeight="1" x14ac:dyDescent="0.2">
      <c r="A39" s="40" t="s">
        <v>1575</v>
      </c>
      <c r="B39" s="38" t="s">
        <v>1581</v>
      </c>
      <c r="C39" s="23">
        <v>86</v>
      </c>
      <c r="D39" s="8" t="s">
        <v>10</v>
      </c>
      <c r="E39" s="39" t="s">
        <v>1946</v>
      </c>
    </row>
    <row r="40" spans="1:5" ht="18" customHeight="1" x14ac:dyDescent="0.2">
      <c r="A40" s="14" t="s">
        <v>1583</v>
      </c>
      <c r="B40" s="14" t="s">
        <v>1589</v>
      </c>
      <c r="C40" s="23">
        <v>86</v>
      </c>
      <c r="D40" s="13" t="s">
        <v>32</v>
      </c>
      <c r="E40" s="39" t="s">
        <v>1947</v>
      </c>
    </row>
    <row r="41" spans="1:5" ht="18" customHeight="1" x14ac:dyDescent="0.2">
      <c r="A41" s="14" t="s">
        <v>1594</v>
      </c>
      <c r="B41" s="14" t="s">
        <v>1599</v>
      </c>
      <c r="C41" s="23">
        <v>43</v>
      </c>
      <c r="D41" s="13" t="s">
        <v>32</v>
      </c>
      <c r="E41" s="39" t="s">
        <v>1948</v>
      </c>
    </row>
    <row r="42" spans="1:5" ht="18" customHeight="1" x14ac:dyDescent="0.2">
      <c r="A42" s="40" t="s">
        <v>1575</v>
      </c>
      <c r="B42" s="38" t="s">
        <v>1582</v>
      </c>
      <c r="C42" s="23">
        <v>77</v>
      </c>
      <c r="D42" s="8" t="s">
        <v>10</v>
      </c>
      <c r="E42" s="39" t="s">
        <v>1949</v>
      </c>
    </row>
    <row r="43" spans="1:5" ht="18" customHeight="1" x14ac:dyDescent="0.2">
      <c r="A43" s="42" t="s">
        <v>1583</v>
      </c>
      <c r="B43" s="42" t="s">
        <v>1590</v>
      </c>
      <c r="C43" s="23">
        <v>77</v>
      </c>
      <c r="D43" s="44" t="s">
        <v>32</v>
      </c>
      <c r="E43" s="45" t="s">
        <v>1950</v>
      </c>
    </row>
    <row r="44" spans="1:5" ht="18" customHeight="1" x14ac:dyDescent="0.2">
      <c r="A44" s="14" t="s">
        <v>1594</v>
      </c>
      <c r="B44" s="14" t="s">
        <v>1600</v>
      </c>
      <c r="C44" s="23">
        <v>39</v>
      </c>
      <c r="D44" s="13" t="s">
        <v>32</v>
      </c>
      <c r="E44" s="39" t="s">
        <v>1951</v>
      </c>
    </row>
    <row r="45" spans="1:5" ht="18" customHeight="1" x14ac:dyDescent="0.3">
      <c r="A45" s="49" t="s">
        <v>1591</v>
      </c>
      <c r="B45" s="49" t="s">
        <v>1592</v>
      </c>
      <c r="C45" s="50">
        <v>15</v>
      </c>
      <c r="D45" s="51" t="s">
        <v>1593</v>
      </c>
      <c r="E45" s="52"/>
    </row>
    <row r="46" spans="1:5" ht="18" customHeight="1" x14ac:dyDescent="0.2">
      <c r="A46" s="14" t="s">
        <v>1594</v>
      </c>
      <c r="B46" s="14" t="s">
        <v>1952</v>
      </c>
      <c r="C46" s="8">
        <v>259</v>
      </c>
      <c r="D46" s="13" t="s">
        <v>10</v>
      </c>
      <c r="E46" s="53" t="s">
        <v>1601</v>
      </c>
    </row>
    <row r="47" spans="1:5" ht="18" customHeight="1" x14ac:dyDescent="0.2">
      <c r="A47" s="42" t="s">
        <v>1602</v>
      </c>
      <c r="B47" s="42" t="s">
        <v>1603</v>
      </c>
      <c r="C47" s="43">
        <v>52</v>
      </c>
      <c r="D47" s="44" t="s">
        <v>32</v>
      </c>
      <c r="E47" s="45" t="s">
        <v>1604</v>
      </c>
    </row>
    <row r="48" spans="1:5" ht="18" customHeight="1" x14ac:dyDescent="0.2">
      <c r="A48" s="14" t="s">
        <v>1605</v>
      </c>
      <c r="B48" s="14" t="s">
        <v>1606</v>
      </c>
      <c r="C48" s="23">
        <v>207</v>
      </c>
      <c r="D48" s="13" t="s">
        <v>32</v>
      </c>
      <c r="E48" s="39" t="s">
        <v>1607</v>
      </c>
    </row>
    <row r="49" spans="1:7" ht="18" customHeight="1" x14ac:dyDescent="0.2">
      <c r="A49" s="14" t="s">
        <v>1608</v>
      </c>
      <c r="B49" s="14" t="s">
        <v>1609</v>
      </c>
      <c r="C49" s="23">
        <v>16</v>
      </c>
      <c r="D49" s="13" t="s">
        <v>32</v>
      </c>
      <c r="E49" s="39" t="s">
        <v>1610</v>
      </c>
    </row>
    <row r="50" spans="1:7" ht="18" customHeight="1" x14ac:dyDescent="0.2">
      <c r="A50" s="14" t="s">
        <v>1611</v>
      </c>
      <c r="B50" s="14" t="s">
        <v>2013</v>
      </c>
      <c r="C50" s="23">
        <v>2</v>
      </c>
      <c r="D50" s="13" t="s">
        <v>32</v>
      </c>
      <c r="E50" s="39" t="s">
        <v>1612</v>
      </c>
    </row>
    <row r="51" spans="1:7" ht="18" customHeight="1" x14ac:dyDescent="0.2">
      <c r="A51" s="14" t="s">
        <v>1611</v>
      </c>
      <c r="B51" s="14" t="s">
        <v>1613</v>
      </c>
      <c r="C51" s="13">
        <v>40</v>
      </c>
      <c r="D51" s="13" t="s">
        <v>32</v>
      </c>
      <c r="E51" s="39" t="s">
        <v>1827</v>
      </c>
    </row>
    <row r="52" spans="1:7" ht="18" customHeight="1" x14ac:dyDescent="0.2">
      <c r="A52" s="14" t="s">
        <v>1611</v>
      </c>
      <c r="B52" s="14" t="s">
        <v>1615</v>
      </c>
      <c r="C52" s="13">
        <v>480</v>
      </c>
      <c r="D52" s="13" t="s">
        <v>32</v>
      </c>
      <c r="E52" s="39" t="s">
        <v>1965</v>
      </c>
    </row>
    <row r="53" spans="1:7" ht="18" customHeight="1" x14ac:dyDescent="0.2">
      <c r="A53" s="14" t="s">
        <v>1611</v>
      </c>
      <c r="B53" s="14" t="s">
        <v>1617</v>
      </c>
      <c r="C53" s="13">
        <v>108</v>
      </c>
      <c r="D53" s="13" t="s">
        <v>32</v>
      </c>
      <c r="E53" s="39" t="s">
        <v>2014</v>
      </c>
    </row>
    <row r="54" spans="1:7" ht="18" customHeight="1" x14ac:dyDescent="0.2">
      <c r="A54" s="14" t="s">
        <v>1611</v>
      </c>
      <c r="B54" s="14" t="s">
        <v>1619</v>
      </c>
      <c r="C54" s="13">
        <v>1782</v>
      </c>
      <c r="D54" s="13" t="s">
        <v>32</v>
      </c>
      <c r="E54" s="39" t="s">
        <v>2001</v>
      </c>
    </row>
    <row r="55" spans="1:7" ht="18" customHeight="1" x14ac:dyDescent="0.2">
      <c r="A55" s="46" t="s">
        <v>1621</v>
      </c>
      <c r="B55" s="46" t="s">
        <v>1622</v>
      </c>
      <c r="C55" s="66">
        <v>20</v>
      </c>
      <c r="D55" s="13" t="s">
        <v>1623</v>
      </c>
      <c r="E55" s="39"/>
      <c r="G55" s="22" t="s">
        <v>2015</v>
      </c>
    </row>
    <row r="57" spans="1:7" ht="18" customHeight="1" x14ac:dyDescent="0.3">
      <c r="A57" s="28" t="s">
        <v>1624</v>
      </c>
      <c r="B57" s="28"/>
      <c r="C57" s="28"/>
      <c r="D57" s="28"/>
      <c r="E57" s="24"/>
    </row>
    <row r="58" spans="1:7" ht="18" customHeight="1" x14ac:dyDescent="0.2">
      <c r="A58" s="6" t="s">
        <v>1625</v>
      </c>
      <c r="B58" s="6" t="s">
        <v>1626</v>
      </c>
      <c r="C58" s="19">
        <v>4</v>
      </c>
      <c r="D58" s="41" t="s">
        <v>32</v>
      </c>
      <c r="E58" s="25" t="s">
        <v>1627</v>
      </c>
    </row>
    <row r="59" spans="1:7" ht="18" customHeight="1" x14ac:dyDescent="0.2">
      <c r="A59" s="24" t="s">
        <v>1625</v>
      </c>
      <c r="B59" s="24" t="s">
        <v>1628</v>
      </c>
      <c r="C59" s="58">
        <v>5</v>
      </c>
      <c r="D59" s="58" t="s">
        <v>32</v>
      </c>
      <c r="E59" s="25" t="s">
        <v>1629</v>
      </c>
    </row>
    <row r="60" spans="1:7" ht="18" customHeight="1" x14ac:dyDescent="0.2">
      <c r="A60" s="6" t="s">
        <v>1625</v>
      </c>
      <c r="B60" s="6" t="s">
        <v>1630</v>
      </c>
      <c r="C60" s="41">
        <v>9</v>
      </c>
      <c r="D60" s="41" t="s">
        <v>32</v>
      </c>
      <c r="E60" s="25" t="s">
        <v>1631</v>
      </c>
    </row>
    <row r="61" spans="1:7" ht="18" customHeight="1" x14ac:dyDescent="0.2">
      <c r="A61" s="6" t="s">
        <v>1625</v>
      </c>
      <c r="B61" s="6" t="s">
        <v>1632</v>
      </c>
      <c r="C61" s="41">
        <v>10</v>
      </c>
      <c r="D61" s="41" t="s">
        <v>32</v>
      </c>
      <c r="E61" s="25" t="s">
        <v>1633</v>
      </c>
    </row>
    <row r="62" spans="1:7" ht="18" customHeight="1" x14ac:dyDescent="0.2">
      <c r="A62" s="6" t="s">
        <v>1625</v>
      </c>
      <c r="B62" s="6" t="s">
        <v>1634</v>
      </c>
      <c r="C62" s="41">
        <v>14</v>
      </c>
      <c r="D62" s="41" t="s">
        <v>32</v>
      </c>
      <c r="E62" s="25" t="s">
        <v>1635</v>
      </c>
    </row>
    <row r="63" spans="1:7" ht="18" customHeight="1" x14ac:dyDescent="0.2">
      <c r="A63" s="6" t="s">
        <v>1625</v>
      </c>
      <c r="B63" s="6" t="s">
        <v>1636</v>
      </c>
      <c r="C63" s="41">
        <v>11</v>
      </c>
      <c r="D63" s="41" t="s">
        <v>32</v>
      </c>
      <c r="E63" s="25" t="s">
        <v>1637</v>
      </c>
    </row>
    <row r="64" spans="1:7" ht="18" customHeight="1" x14ac:dyDescent="0.2">
      <c r="A64" s="6" t="s">
        <v>1625</v>
      </c>
      <c r="B64" s="6" t="s">
        <v>1638</v>
      </c>
      <c r="C64" s="41">
        <v>4</v>
      </c>
      <c r="D64" s="41" t="s">
        <v>32</v>
      </c>
      <c r="E64" s="25" t="s">
        <v>1639</v>
      </c>
    </row>
    <row r="65" spans="1:5" ht="18" customHeight="1" x14ac:dyDescent="0.2">
      <c r="A65" s="6" t="s">
        <v>1625</v>
      </c>
      <c r="B65" s="6" t="s">
        <v>1640</v>
      </c>
      <c r="C65" s="41">
        <v>20</v>
      </c>
      <c r="D65" s="41" t="s">
        <v>32</v>
      </c>
      <c r="E65" s="25" t="s">
        <v>1641</v>
      </c>
    </row>
    <row r="66" spans="1:5" ht="18" customHeight="1" x14ac:dyDescent="0.2">
      <c r="A66" s="6" t="s">
        <v>1642</v>
      </c>
      <c r="B66" s="6" t="s">
        <v>1643</v>
      </c>
      <c r="C66" s="41">
        <v>2</v>
      </c>
      <c r="D66" s="41" t="s">
        <v>32</v>
      </c>
      <c r="E66" s="29" t="s">
        <v>1644</v>
      </c>
    </row>
    <row r="67" spans="1:5" ht="18" customHeight="1" x14ac:dyDescent="0.2">
      <c r="A67" s="6" t="s">
        <v>1642</v>
      </c>
      <c r="B67" s="6" t="s">
        <v>1645</v>
      </c>
      <c r="C67" s="41">
        <v>4</v>
      </c>
      <c r="D67" s="41" t="s">
        <v>32</v>
      </c>
      <c r="E67" s="29" t="s">
        <v>1646</v>
      </c>
    </row>
    <row r="68" spans="1:5" ht="18" customHeight="1" x14ac:dyDescent="0.2">
      <c r="A68" s="24" t="s">
        <v>1642</v>
      </c>
      <c r="B68" s="24" t="s">
        <v>1647</v>
      </c>
      <c r="C68" s="58">
        <v>2</v>
      </c>
      <c r="D68" s="58" t="s">
        <v>32</v>
      </c>
      <c r="E68" s="29" t="s">
        <v>1648</v>
      </c>
    </row>
    <row r="69" spans="1:5" ht="18" customHeight="1" x14ac:dyDescent="0.2">
      <c r="A69" s="24" t="s">
        <v>1642</v>
      </c>
      <c r="B69" s="24" t="s">
        <v>1649</v>
      </c>
      <c r="C69" s="58">
        <v>4</v>
      </c>
      <c r="D69" s="58" t="s">
        <v>32</v>
      </c>
      <c r="E69" s="29" t="s">
        <v>1650</v>
      </c>
    </row>
    <row r="70" spans="1:5" ht="18" customHeight="1" x14ac:dyDescent="0.2">
      <c r="A70" s="6" t="s">
        <v>1651</v>
      </c>
      <c r="B70" s="6" t="s">
        <v>1652</v>
      </c>
      <c r="C70" s="41">
        <v>1</v>
      </c>
      <c r="D70" s="41" t="s">
        <v>32</v>
      </c>
      <c r="E70" s="29" t="s">
        <v>1653</v>
      </c>
    </row>
    <row r="71" spans="1:5" ht="18" customHeight="1" x14ac:dyDescent="0.2">
      <c r="A71" s="24" t="s">
        <v>1651</v>
      </c>
      <c r="B71" s="24" t="s">
        <v>1654</v>
      </c>
      <c r="C71" s="58">
        <v>4</v>
      </c>
      <c r="D71" s="58" t="s">
        <v>32</v>
      </c>
      <c r="E71" s="29" t="s">
        <v>1655</v>
      </c>
    </row>
    <row r="72" spans="1:5" ht="18" customHeight="1" x14ac:dyDescent="0.2">
      <c r="A72" s="6" t="s">
        <v>1651</v>
      </c>
      <c r="B72" s="6" t="s">
        <v>1656</v>
      </c>
      <c r="C72" s="41">
        <v>2</v>
      </c>
      <c r="D72" s="41" t="s">
        <v>32</v>
      </c>
      <c r="E72" s="29" t="s">
        <v>1657</v>
      </c>
    </row>
    <row r="73" spans="1:5" ht="18" customHeight="1" x14ac:dyDescent="0.2">
      <c r="A73" s="24" t="s">
        <v>1651</v>
      </c>
      <c r="B73" s="24" t="s">
        <v>1658</v>
      </c>
      <c r="C73" s="58">
        <v>1</v>
      </c>
      <c r="D73" s="58" t="s">
        <v>32</v>
      </c>
      <c r="E73" s="29" t="s">
        <v>1659</v>
      </c>
    </row>
    <row r="74" spans="1:5" ht="18" customHeight="1" x14ac:dyDescent="0.2">
      <c r="A74" s="24" t="s">
        <v>1651</v>
      </c>
      <c r="B74" s="24" t="s">
        <v>1660</v>
      </c>
      <c r="C74" s="58">
        <v>2</v>
      </c>
      <c r="D74" s="58" t="s">
        <v>32</v>
      </c>
      <c r="E74" s="29" t="s">
        <v>1661</v>
      </c>
    </row>
    <row r="75" spans="1:5" ht="18" customHeight="1" x14ac:dyDescent="0.2">
      <c r="A75" s="24" t="s">
        <v>1662</v>
      </c>
      <c r="B75" s="24" t="s">
        <v>1663</v>
      </c>
      <c r="C75" s="58">
        <v>1</v>
      </c>
      <c r="D75" s="58" t="s">
        <v>32</v>
      </c>
      <c r="E75" s="29" t="s">
        <v>1664</v>
      </c>
    </row>
    <row r="76" spans="1:5" ht="18" customHeight="1" x14ac:dyDescent="0.2">
      <c r="A76" s="6" t="s">
        <v>1651</v>
      </c>
      <c r="B76" s="6" t="s">
        <v>1665</v>
      </c>
      <c r="C76" s="41">
        <v>5</v>
      </c>
      <c r="D76" s="41" t="s">
        <v>32</v>
      </c>
      <c r="E76" s="29" t="s">
        <v>1666</v>
      </c>
    </row>
    <row r="77" spans="1:5" ht="18" customHeight="1" x14ac:dyDescent="0.2">
      <c r="A77" s="6" t="s">
        <v>1651</v>
      </c>
      <c r="B77" s="6" t="s">
        <v>1667</v>
      </c>
      <c r="C77" s="41">
        <v>4</v>
      </c>
      <c r="D77" s="41" t="s">
        <v>32</v>
      </c>
      <c r="E77" s="29" t="s">
        <v>1668</v>
      </c>
    </row>
    <row r="78" spans="1:5" ht="18" customHeight="1" x14ac:dyDescent="0.2">
      <c r="A78" s="6" t="s">
        <v>1651</v>
      </c>
      <c r="B78" s="6" t="s">
        <v>1669</v>
      </c>
      <c r="C78" s="41">
        <v>3</v>
      </c>
      <c r="D78" s="41" t="s">
        <v>32</v>
      </c>
      <c r="E78" s="29" t="s">
        <v>1670</v>
      </c>
    </row>
    <row r="79" spans="1:5" ht="18" customHeight="1" x14ac:dyDescent="0.2">
      <c r="A79" s="24" t="s">
        <v>1651</v>
      </c>
      <c r="B79" s="24" t="s">
        <v>1671</v>
      </c>
      <c r="C79" s="58">
        <v>1</v>
      </c>
      <c r="D79" s="58" t="s">
        <v>32</v>
      </c>
      <c r="E79" s="29" t="s">
        <v>1672</v>
      </c>
    </row>
    <row r="80" spans="1:5" ht="18" customHeight="1" x14ac:dyDescent="0.2">
      <c r="A80" s="6" t="s">
        <v>1651</v>
      </c>
      <c r="B80" s="6" t="s">
        <v>1673</v>
      </c>
      <c r="C80" s="41">
        <v>2</v>
      </c>
      <c r="D80" s="41" t="s">
        <v>32</v>
      </c>
      <c r="E80" s="29" t="s">
        <v>1674</v>
      </c>
    </row>
    <row r="81" spans="1:5" ht="18" customHeight="1" x14ac:dyDescent="0.2">
      <c r="A81" s="6" t="s">
        <v>1651</v>
      </c>
      <c r="B81" s="6" t="s">
        <v>1675</v>
      </c>
      <c r="C81" s="41">
        <v>4</v>
      </c>
      <c r="D81" s="41" t="s">
        <v>32</v>
      </c>
      <c r="E81" s="29" t="s">
        <v>1676</v>
      </c>
    </row>
    <row r="82" spans="1:5" ht="18" customHeight="1" x14ac:dyDescent="0.2">
      <c r="A82" s="6" t="s">
        <v>1651</v>
      </c>
      <c r="B82" s="6" t="s">
        <v>1677</v>
      </c>
      <c r="C82" s="41">
        <v>4</v>
      </c>
      <c r="D82" s="41" t="s">
        <v>32</v>
      </c>
      <c r="E82" s="29" t="s">
        <v>1678</v>
      </c>
    </row>
    <row r="83" spans="1:5" ht="18" customHeight="1" x14ac:dyDescent="0.2">
      <c r="A83" s="6" t="s">
        <v>1651</v>
      </c>
      <c r="B83" s="6" t="s">
        <v>1679</v>
      </c>
      <c r="C83" s="41">
        <v>4</v>
      </c>
      <c r="D83" s="41" t="s">
        <v>32</v>
      </c>
      <c r="E83" s="29" t="s">
        <v>1680</v>
      </c>
    </row>
    <row r="84" spans="1:5" ht="18" customHeight="1" x14ac:dyDescent="0.2">
      <c r="A84" s="24" t="s">
        <v>1651</v>
      </c>
      <c r="B84" s="24" t="s">
        <v>1681</v>
      </c>
      <c r="C84" s="58">
        <v>2</v>
      </c>
      <c r="D84" s="58" t="s">
        <v>32</v>
      </c>
      <c r="E84" s="29" t="s">
        <v>1682</v>
      </c>
    </row>
    <row r="85" spans="1:5" ht="18" customHeight="1" x14ac:dyDescent="0.2">
      <c r="A85" s="24" t="s">
        <v>1651</v>
      </c>
      <c r="B85" s="24" t="s">
        <v>1683</v>
      </c>
      <c r="C85" s="58">
        <v>2</v>
      </c>
      <c r="D85" s="58" t="s">
        <v>32</v>
      </c>
      <c r="E85" s="29" t="s">
        <v>1684</v>
      </c>
    </row>
    <row r="86" spans="1:5" ht="18" customHeight="1" x14ac:dyDescent="0.2">
      <c r="A86" s="31" t="s">
        <v>1651</v>
      </c>
      <c r="B86" s="31" t="s">
        <v>1685</v>
      </c>
      <c r="C86" s="59">
        <v>1</v>
      </c>
      <c r="D86" s="41" t="s">
        <v>32</v>
      </c>
      <c r="E86" s="29" t="s">
        <v>1686</v>
      </c>
    </row>
    <row r="87" spans="1:5" ht="18" customHeight="1" x14ac:dyDescent="0.2">
      <c r="A87" s="31" t="s">
        <v>1651</v>
      </c>
      <c r="B87" s="31" t="s">
        <v>1687</v>
      </c>
      <c r="C87" s="59">
        <v>1</v>
      </c>
      <c r="D87" s="41" t="s">
        <v>32</v>
      </c>
      <c r="E87" s="29" t="s">
        <v>1688</v>
      </c>
    </row>
    <row r="88" spans="1:5" ht="18" customHeight="1" x14ac:dyDescent="0.2">
      <c r="A88" s="32" t="s">
        <v>1651</v>
      </c>
      <c r="B88" s="32" t="s">
        <v>1689</v>
      </c>
      <c r="C88" s="60">
        <v>2</v>
      </c>
      <c r="D88" s="58" t="s">
        <v>32</v>
      </c>
      <c r="E88" s="29" t="s">
        <v>1690</v>
      </c>
    </row>
    <row r="89" spans="1:5" ht="18" customHeight="1" x14ac:dyDescent="0.2">
      <c r="A89" s="32" t="s">
        <v>1651</v>
      </c>
      <c r="B89" s="32" t="s">
        <v>1691</v>
      </c>
      <c r="C89" s="60">
        <v>1</v>
      </c>
      <c r="D89" s="58" t="s">
        <v>32</v>
      </c>
      <c r="E89" s="29" t="s">
        <v>1692</v>
      </c>
    </row>
    <row r="90" spans="1:5" ht="18" customHeight="1" x14ac:dyDescent="0.2">
      <c r="A90" s="31" t="s">
        <v>1651</v>
      </c>
      <c r="B90" s="31" t="s">
        <v>1693</v>
      </c>
      <c r="C90" s="59">
        <v>1</v>
      </c>
      <c r="D90" s="41" t="s">
        <v>32</v>
      </c>
      <c r="E90" s="29" t="s">
        <v>1694</v>
      </c>
    </row>
    <row r="91" spans="1:5" ht="18" customHeight="1" x14ac:dyDescent="0.2">
      <c r="A91" s="31" t="s">
        <v>1651</v>
      </c>
      <c r="B91" s="31" t="s">
        <v>1695</v>
      </c>
      <c r="C91" s="59">
        <v>3</v>
      </c>
      <c r="D91" s="41" t="s">
        <v>32</v>
      </c>
      <c r="E91" s="29" t="s">
        <v>1696</v>
      </c>
    </row>
    <row r="92" spans="1:5" ht="18" customHeight="1" x14ac:dyDescent="0.2">
      <c r="A92" s="31" t="s">
        <v>1651</v>
      </c>
      <c r="B92" s="31" t="s">
        <v>1697</v>
      </c>
      <c r="C92" s="59">
        <v>2</v>
      </c>
      <c r="D92" s="41" t="s">
        <v>32</v>
      </c>
      <c r="E92" s="29" t="s">
        <v>1698</v>
      </c>
    </row>
    <row r="93" spans="1:5" ht="18" customHeight="1" x14ac:dyDescent="0.2">
      <c r="A93" s="31" t="s">
        <v>1651</v>
      </c>
      <c r="B93" s="31" t="s">
        <v>1699</v>
      </c>
      <c r="C93" s="59">
        <v>3</v>
      </c>
      <c r="D93" s="41" t="s">
        <v>32</v>
      </c>
      <c r="E93" s="29" t="s">
        <v>1700</v>
      </c>
    </row>
    <row r="94" spans="1:5" ht="18" customHeight="1" x14ac:dyDescent="0.2">
      <c r="A94" s="32" t="s">
        <v>1651</v>
      </c>
      <c r="B94" s="32" t="s">
        <v>1701</v>
      </c>
      <c r="C94" s="60">
        <v>1</v>
      </c>
      <c r="D94" s="58" t="s">
        <v>32</v>
      </c>
      <c r="E94" s="29" t="s">
        <v>1702</v>
      </c>
    </row>
    <row r="95" spans="1:5" ht="18" customHeight="1" x14ac:dyDescent="0.2">
      <c r="A95" s="31" t="s">
        <v>1651</v>
      </c>
      <c r="B95" s="31" t="s">
        <v>1703</v>
      </c>
      <c r="C95" s="59">
        <v>1</v>
      </c>
      <c r="D95" s="41" t="s">
        <v>32</v>
      </c>
      <c r="E95" s="29" t="s">
        <v>1704</v>
      </c>
    </row>
    <row r="96" spans="1:5" ht="18" customHeight="1" x14ac:dyDescent="0.2">
      <c r="A96" s="31" t="s">
        <v>1651</v>
      </c>
      <c r="B96" s="31" t="s">
        <v>1705</v>
      </c>
      <c r="C96" s="59">
        <v>1</v>
      </c>
      <c r="D96" s="41" t="s">
        <v>32</v>
      </c>
      <c r="E96" s="29" t="s">
        <v>1706</v>
      </c>
    </row>
    <row r="97" spans="1:5" ht="18" customHeight="1" x14ac:dyDescent="0.2">
      <c r="A97" s="32" t="s">
        <v>1651</v>
      </c>
      <c r="B97" s="32" t="s">
        <v>1707</v>
      </c>
      <c r="C97" s="60">
        <v>1</v>
      </c>
      <c r="D97" s="58" t="s">
        <v>32</v>
      </c>
      <c r="E97" s="29" t="s">
        <v>1708</v>
      </c>
    </row>
    <row r="98" spans="1:5" ht="18" customHeight="1" x14ac:dyDescent="0.2">
      <c r="A98" s="31" t="s">
        <v>1651</v>
      </c>
      <c r="B98" s="31" t="s">
        <v>1709</v>
      </c>
      <c r="C98" s="59">
        <v>2</v>
      </c>
      <c r="D98" s="41" t="s">
        <v>32</v>
      </c>
      <c r="E98" s="29" t="s">
        <v>1710</v>
      </c>
    </row>
    <row r="99" spans="1:5" ht="18" customHeight="1" x14ac:dyDescent="0.2">
      <c r="A99" s="31" t="s">
        <v>1651</v>
      </c>
      <c r="B99" s="31" t="s">
        <v>1711</v>
      </c>
      <c r="C99" s="59">
        <v>3</v>
      </c>
      <c r="D99" s="41" t="s">
        <v>32</v>
      </c>
      <c r="E99" s="29" t="s">
        <v>1712</v>
      </c>
    </row>
    <row r="100" spans="1:5" ht="18" customHeight="1" x14ac:dyDescent="0.2">
      <c r="A100" s="32" t="s">
        <v>1651</v>
      </c>
      <c r="B100" s="32" t="s">
        <v>1713</v>
      </c>
      <c r="C100" s="60">
        <v>1</v>
      </c>
      <c r="D100" s="58" t="s">
        <v>32</v>
      </c>
      <c r="E100" s="29" t="s">
        <v>1714</v>
      </c>
    </row>
    <row r="101" spans="1:5" ht="18" customHeight="1" x14ac:dyDescent="0.2">
      <c r="A101" s="32" t="s">
        <v>1651</v>
      </c>
      <c r="B101" s="32" t="s">
        <v>1715</v>
      </c>
      <c r="C101" s="60">
        <v>1</v>
      </c>
      <c r="D101" s="58" t="s">
        <v>32</v>
      </c>
      <c r="E101" s="29" t="s">
        <v>1716</v>
      </c>
    </row>
    <row r="102" spans="1:5" ht="18" customHeight="1" x14ac:dyDescent="0.2">
      <c r="A102" s="14" t="s">
        <v>1651</v>
      </c>
      <c r="B102" s="14" t="s">
        <v>1717</v>
      </c>
      <c r="C102" s="23">
        <v>288</v>
      </c>
      <c r="D102" s="13" t="s">
        <v>32</v>
      </c>
      <c r="E102" s="53" t="s">
        <v>1718</v>
      </c>
    </row>
    <row r="103" spans="1:5" ht="18" customHeight="1" x14ac:dyDescent="0.2">
      <c r="A103" s="31" t="s">
        <v>1651</v>
      </c>
      <c r="B103" s="31" t="s">
        <v>1721</v>
      </c>
      <c r="C103" s="62">
        <v>8</v>
      </c>
      <c r="D103" s="13" t="s">
        <v>32</v>
      </c>
      <c r="E103" s="53" t="s">
        <v>1722</v>
      </c>
    </row>
    <row r="104" spans="1:5" ht="18" customHeight="1" x14ac:dyDescent="0.2">
      <c r="A104" s="31" t="s">
        <v>1651</v>
      </c>
      <c r="B104" s="31" t="s">
        <v>1723</v>
      </c>
      <c r="C104" s="59">
        <v>8</v>
      </c>
      <c r="D104" s="13" t="s">
        <v>32</v>
      </c>
      <c r="E104" s="53" t="s">
        <v>1724</v>
      </c>
    </row>
    <row r="105" spans="1:5" ht="18" customHeight="1" x14ac:dyDescent="0.2">
      <c r="A105" s="31" t="s">
        <v>1651</v>
      </c>
      <c r="B105" s="31" t="s">
        <v>1725</v>
      </c>
      <c r="C105" s="59">
        <v>8</v>
      </c>
      <c r="D105" s="13" t="s">
        <v>32</v>
      </c>
      <c r="E105" s="53" t="s">
        <v>1726</v>
      </c>
    </row>
    <row r="106" spans="1:5" ht="18" customHeight="1" x14ac:dyDescent="0.2">
      <c r="A106" s="31" t="s">
        <v>1651</v>
      </c>
      <c r="B106" s="31" t="s">
        <v>1727</v>
      </c>
      <c r="C106" s="59">
        <v>8</v>
      </c>
      <c r="D106" s="13" t="s">
        <v>32</v>
      </c>
      <c r="E106" s="53" t="s">
        <v>1728</v>
      </c>
    </row>
    <row r="107" spans="1:5" ht="18" customHeight="1" x14ac:dyDescent="0.2">
      <c r="A107" s="31" t="s">
        <v>1651</v>
      </c>
      <c r="B107" s="31" t="s">
        <v>1729</v>
      </c>
      <c r="C107" s="59">
        <v>6</v>
      </c>
      <c r="D107" s="13" t="s">
        <v>32</v>
      </c>
      <c r="E107" s="53" t="s">
        <v>1730</v>
      </c>
    </row>
    <row r="108" spans="1:5" ht="18" customHeight="1" x14ac:dyDescent="0.2">
      <c r="A108" s="33" t="s">
        <v>1651</v>
      </c>
      <c r="B108" s="33" t="s">
        <v>2016</v>
      </c>
      <c r="C108" s="63">
        <v>6</v>
      </c>
      <c r="D108" s="44" t="s">
        <v>32</v>
      </c>
      <c r="E108" s="61" t="s">
        <v>2017</v>
      </c>
    </row>
    <row r="109" spans="1:5" ht="18" customHeight="1" x14ac:dyDescent="0.2">
      <c r="A109" s="14" t="s">
        <v>1651</v>
      </c>
      <c r="B109" s="14" t="s">
        <v>2018</v>
      </c>
      <c r="C109" s="23">
        <v>8</v>
      </c>
      <c r="D109" s="13" t="s">
        <v>32</v>
      </c>
      <c r="E109" s="53" t="s">
        <v>2019</v>
      </c>
    </row>
    <row r="110" spans="1:5" ht="18" customHeight="1" x14ac:dyDescent="0.2">
      <c r="A110" s="14" t="s">
        <v>1651</v>
      </c>
      <c r="B110" s="14" t="s">
        <v>2020</v>
      </c>
      <c r="C110" s="23">
        <v>10</v>
      </c>
      <c r="D110" s="13" t="s">
        <v>32</v>
      </c>
      <c r="E110" s="53" t="s">
        <v>2021</v>
      </c>
    </row>
    <row r="111" spans="1:5" ht="18" customHeight="1" x14ac:dyDescent="0.2">
      <c r="A111" s="14" t="s">
        <v>1651</v>
      </c>
      <c r="B111" s="14" t="s">
        <v>1737</v>
      </c>
      <c r="C111" s="23">
        <v>18</v>
      </c>
      <c r="D111" s="13" t="s">
        <v>32</v>
      </c>
      <c r="E111" s="53" t="s">
        <v>1738</v>
      </c>
    </row>
    <row r="112" spans="1:5" ht="18" customHeight="1" x14ac:dyDescent="0.2">
      <c r="A112" s="14" t="s">
        <v>1651</v>
      </c>
      <c r="B112" s="14" t="s">
        <v>1739</v>
      </c>
      <c r="C112" s="23">
        <v>20</v>
      </c>
      <c r="D112" s="13" t="s">
        <v>32</v>
      </c>
      <c r="E112" s="53" t="s">
        <v>1740</v>
      </c>
    </row>
    <row r="113" spans="1:7" ht="18" customHeight="1" x14ac:dyDescent="0.2">
      <c r="A113" s="14" t="s">
        <v>1651</v>
      </c>
      <c r="B113" s="14" t="s">
        <v>1741</v>
      </c>
      <c r="C113" s="23">
        <v>28</v>
      </c>
      <c r="D113" s="13" t="s">
        <v>32</v>
      </c>
      <c r="E113" s="53" t="s">
        <v>1742</v>
      </c>
    </row>
    <row r="114" spans="1:7" ht="18" customHeight="1" x14ac:dyDescent="0.2">
      <c r="A114" s="14" t="s">
        <v>1651</v>
      </c>
      <c r="B114" s="14" t="s">
        <v>1743</v>
      </c>
      <c r="C114" s="23">
        <v>22</v>
      </c>
      <c r="D114" s="13" t="s">
        <v>32</v>
      </c>
      <c r="E114" s="53" t="s">
        <v>1744</v>
      </c>
    </row>
    <row r="115" spans="1:7" ht="18" customHeight="1" x14ac:dyDescent="0.2">
      <c r="A115" s="14" t="s">
        <v>1651</v>
      </c>
      <c r="B115" s="14" t="s">
        <v>1745</v>
      </c>
      <c r="C115" s="23">
        <v>8</v>
      </c>
      <c r="D115" s="13" t="s">
        <v>32</v>
      </c>
      <c r="E115" s="53" t="s">
        <v>1746</v>
      </c>
    </row>
    <row r="116" spans="1:7" ht="18" customHeight="1" x14ac:dyDescent="0.2">
      <c r="A116" s="14" t="s">
        <v>1651</v>
      </c>
      <c r="B116" s="14" t="s">
        <v>2022</v>
      </c>
      <c r="C116" s="23">
        <v>40</v>
      </c>
      <c r="D116" s="13" t="s">
        <v>32</v>
      </c>
      <c r="E116" s="53" t="s">
        <v>2023</v>
      </c>
    </row>
    <row r="117" spans="1:7" ht="18" customHeight="1" x14ac:dyDescent="0.2">
      <c r="A117" s="14" t="s">
        <v>1651</v>
      </c>
      <c r="B117" s="14" t="s">
        <v>1719</v>
      </c>
      <c r="C117" s="23">
        <v>308</v>
      </c>
      <c r="D117" s="13" t="s">
        <v>32</v>
      </c>
      <c r="E117" s="53" t="s">
        <v>1720</v>
      </c>
    </row>
    <row r="118" spans="1:7" ht="18" customHeight="1" x14ac:dyDescent="0.2">
      <c r="A118" s="14" t="s">
        <v>1605</v>
      </c>
      <c r="B118" s="14" t="s">
        <v>1606</v>
      </c>
      <c r="C118" s="23">
        <v>616</v>
      </c>
      <c r="D118" s="13" t="s">
        <v>32</v>
      </c>
      <c r="E118" s="39" t="s">
        <v>1607</v>
      </c>
    </row>
    <row r="119" spans="1:7" ht="18" customHeight="1" x14ac:dyDescent="0.2">
      <c r="A119" s="46" t="s">
        <v>1621</v>
      </c>
      <c r="B119" s="46" t="s">
        <v>1622</v>
      </c>
      <c r="C119" s="66">
        <v>20</v>
      </c>
      <c r="D119" s="13" t="s">
        <v>1623</v>
      </c>
      <c r="E119" s="39"/>
      <c r="G119" s="22" t="s">
        <v>2015</v>
      </c>
    </row>
    <row r="121" spans="1:7" ht="18" customHeight="1" x14ac:dyDescent="0.3">
      <c r="A121" s="28" t="s">
        <v>1749</v>
      </c>
      <c r="B121" s="28"/>
      <c r="C121" s="28"/>
      <c r="D121" s="28"/>
      <c r="E121" s="24"/>
    </row>
    <row r="122" spans="1:7" ht="18" customHeight="1" x14ac:dyDescent="0.2">
      <c r="A122" s="6" t="s">
        <v>1750</v>
      </c>
      <c r="B122" s="6" t="s">
        <v>1751</v>
      </c>
      <c r="C122" s="19">
        <v>5</v>
      </c>
      <c r="D122" s="41" t="s">
        <v>1752</v>
      </c>
      <c r="E122" s="29" t="s">
        <v>1753</v>
      </c>
    </row>
    <row r="123" spans="1:7" ht="18" customHeight="1" x14ac:dyDescent="0.2">
      <c r="A123" s="24" t="s">
        <v>1754</v>
      </c>
      <c r="B123" s="24" t="s">
        <v>1751</v>
      </c>
      <c r="C123" s="58">
        <v>5</v>
      </c>
      <c r="D123" s="58" t="s">
        <v>1752</v>
      </c>
      <c r="E123" s="29" t="s">
        <v>1753</v>
      </c>
    </row>
    <row r="124" spans="1:7" ht="18" customHeight="1" x14ac:dyDescent="0.2">
      <c r="A124" s="6" t="s">
        <v>1755</v>
      </c>
      <c r="B124" s="6" t="s">
        <v>1756</v>
      </c>
      <c r="C124" s="19">
        <v>31</v>
      </c>
      <c r="D124" s="41" t="s">
        <v>32</v>
      </c>
      <c r="E124" s="29" t="s">
        <v>1757</v>
      </c>
    </row>
    <row r="126" spans="1:7" ht="18" customHeight="1" x14ac:dyDescent="0.3">
      <c r="A126" s="28" t="s">
        <v>1758</v>
      </c>
      <c r="B126" s="28"/>
      <c r="C126" s="28"/>
      <c r="D126" s="28"/>
      <c r="E126" s="24"/>
    </row>
    <row r="127" spans="1:7" ht="18" customHeight="1" x14ac:dyDescent="0.2">
      <c r="A127" s="6" t="s">
        <v>1759</v>
      </c>
      <c r="B127" s="6" t="s">
        <v>1760</v>
      </c>
      <c r="C127" s="19">
        <v>2</v>
      </c>
      <c r="D127" s="41" t="s">
        <v>32</v>
      </c>
      <c r="E127" s="29" t="s">
        <v>1761</v>
      </c>
    </row>
    <row r="128" spans="1:7" ht="18" customHeight="1" x14ac:dyDescent="0.2">
      <c r="A128" s="24" t="s">
        <v>1759</v>
      </c>
      <c r="B128" s="24" t="s">
        <v>1762</v>
      </c>
      <c r="C128" s="58">
        <v>2</v>
      </c>
      <c r="D128" s="58" t="s">
        <v>32</v>
      </c>
      <c r="E128" s="29" t="s">
        <v>1763</v>
      </c>
    </row>
    <row r="129" spans="1:5" ht="18" customHeight="1" x14ac:dyDescent="0.2">
      <c r="A129" s="6" t="s">
        <v>1759</v>
      </c>
      <c r="B129" s="6" t="s">
        <v>1764</v>
      </c>
      <c r="C129" s="41">
        <v>31</v>
      </c>
      <c r="D129" s="41" t="s">
        <v>32</v>
      </c>
      <c r="E129" s="29" t="s">
        <v>1765</v>
      </c>
    </row>
    <row r="130" spans="1:5" ht="18" customHeight="1" x14ac:dyDescent="0.2">
      <c r="A130" s="6" t="s">
        <v>1759</v>
      </c>
      <c r="B130" s="6" t="s">
        <v>1766</v>
      </c>
      <c r="C130" s="41">
        <v>16</v>
      </c>
      <c r="D130" s="41" t="s">
        <v>32</v>
      </c>
      <c r="E130" s="29" t="s">
        <v>1767</v>
      </c>
    </row>
    <row r="131" spans="1:5" ht="18" customHeight="1" x14ac:dyDescent="0.2">
      <c r="A131" s="14" t="s">
        <v>1814</v>
      </c>
      <c r="B131" s="14" t="s">
        <v>1815</v>
      </c>
      <c r="C131" s="23">
        <v>4</v>
      </c>
      <c r="D131" s="13" t="s">
        <v>32</v>
      </c>
      <c r="E131" s="53" t="s">
        <v>1816</v>
      </c>
    </row>
    <row r="132" spans="1:5" ht="18" customHeight="1" x14ac:dyDescent="0.2">
      <c r="A132" s="14" t="s">
        <v>1814</v>
      </c>
      <c r="B132" s="14" t="s">
        <v>1977</v>
      </c>
      <c r="C132" s="13">
        <v>47</v>
      </c>
      <c r="D132" s="13" t="s">
        <v>32</v>
      </c>
      <c r="E132" s="53" t="s">
        <v>1978</v>
      </c>
    </row>
    <row r="133" spans="1:5" ht="18" customHeight="1" x14ac:dyDescent="0.2">
      <c r="A133" s="30" t="s">
        <v>1776</v>
      </c>
      <c r="B133" s="30" t="s">
        <v>1777</v>
      </c>
      <c r="C133" s="56">
        <v>2</v>
      </c>
      <c r="D133" s="64" t="s">
        <v>32</v>
      </c>
      <c r="E133" s="65" t="s">
        <v>1778</v>
      </c>
    </row>
    <row r="134" spans="1:5" ht="18" customHeight="1" x14ac:dyDescent="0.2">
      <c r="A134" s="14" t="s">
        <v>1811</v>
      </c>
      <c r="B134" s="14" t="s">
        <v>1812</v>
      </c>
      <c r="C134" s="23">
        <f>C133</f>
        <v>2</v>
      </c>
      <c r="D134" s="13" t="s">
        <v>32</v>
      </c>
      <c r="E134" s="53" t="s">
        <v>1813</v>
      </c>
    </row>
    <row r="135" spans="1:5" ht="18" customHeight="1" x14ac:dyDescent="0.2">
      <c r="A135" s="14" t="s">
        <v>1828</v>
      </c>
      <c r="B135" s="14" t="s">
        <v>1829</v>
      </c>
      <c r="C135" s="23">
        <f>C133</f>
        <v>2</v>
      </c>
      <c r="D135" s="13" t="s">
        <v>32</v>
      </c>
      <c r="E135" s="53" t="s">
        <v>1830</v>
      </c>
    </row>
    <row r="136" spans="1:5" ht="18" customHeight="1" x14ac:dyDescent="0.2">
      <c r="A136" s="14" t="s">
        <v>1779</v>
      </c>
      <c r="B136" s="14" t="s">
        <v>1780</v>
      </c>
      <c r="C136" s="23">
        <f>C133*3</f>
        <v>6</v>
      </c>
      <c r="D136" s="13" t="s">
        <v>32</v>
      </c>
      <c r="E136" s="39" t="s">
        <v>1781</v>
      </c>
    </row>
    <row r="137" spans="1:5" ht="18" customHeight="1" x14ac:dyDescent="0.2">
      <c r="A137" s="6" t="s">
        <v>1768</v>
      </c>
      <c r="B137" s="6" t="s">
        <v>1769</v>
      </c>
      <c r="C137" s="19">
        <v>3</v>
      </c>
      <c r="D137" s="41" t="s">
        <v>32</v>
      </c>
      <c r="E137" s="29" t="s">
        <v>1770</v>
      </c>
    </row>
    <row r="138" spans="1:5" ht="18" customHeight="1" x14ac:dyDescent="0.2">
      <c r="A138" s="6" t="s">
        <v>1768</v>
      </c>
      <c r="B138" s="6" t="s">
        <v>1771</v>
      </c>
      <c r="C138" s="19">
        <v>3</v>
      </c>
      <c r="D138" s="41" t="s">
        <v>32</v>
      </c>
      <c r="E138" s="29" t="s">
        <v>1772</v>
      </c>
    </row>
    <row r="139" spans="1:5" ht="18" customHeight="1" x14ac:dyDescent="0.2">
      <c r="A139" s="30" t="s">
        <v>1782</v>
      </c>
      <c r="B139" s="30" t="s">
        <v>1783</v>
      </c>
      <c r="C139" s="56">
        <v>17</v>
      </c>
      <c r="D139" s="64" t="s">
        <v>32</v>
      </c>
      <c r="E139" s="65" t="s">
        <v>1784</v>
      </c>
    </row>
    <row r="140" spans="1:5" ht="18" customHeight="1" x14ac:dyDescent="0.2">
      <c r="A140" s="30" t="s">
        <v>1785</v>
      </c>
      <c r="B140" s="30" t="s">
        <v>1786</v>
      </c>
      <c r="C140" s="56">
        <v>17</v>
      </c>
      <c r="D140" s="64" t="s">
        <v>32</v>
      </c>
      <c r="E140" s="65" t="s">
        <v>1787</v>
      </c>
    </row>
    <row r="141" spans="1:5" ht="18" customHeight="1" x14ac:dyDescent="0.2">
      <c r="A141" s="14" t="s">
        <v>1773</v>
      </c>
      <c r="B141" s="14" t="s">
        <v>1774</v>
      </c>
      <c r="C141" s="23">
        <f>C140</f>
        <v>17</v>
      </c>
      <c r="D141" s="13" t="s">
        <v>32</v>
      </c>
      <c r="E141" s="53" t="s">
        <v>1775</v>
      </c>
    </row>
    <row r="142" spans="1:5" ht="18" customHeight="1" x14ac:dyDescent="0.2">
      <c r="A142" s="14" t="s">
        <v>1788</v>
      </c>
      <c r="B142" s="14" t="s">
        <v>1789</v>
      </c>
      <c r="C142" s="23">
        <f>C140</f>
        <v>17</v>
      </c>
      <c r="D142" s="13" t="s">
        <v>32</v>
      </c>
      <c r="E142" s="53" t="s">
        <v>1790</v>
      </c>
    </row>
    <row r="143" spans="1:5" ht="18" customHeight="1" x14ac:dyDescent="0.2">
      <c r="A143" s="6" t="s">
        <v>1791</v>
      </c>
      <c r="B143" s="6" t="s">
        <v>1792</v>
      </c>
      <c r="C143" s="19">
        <v>12</v>
      </c>
      <c r="D143" s="41" t="s">
        <v>32</v>
      </c>
      <c r="E143" s="29" t="s">
        <v>1793</v>
      </c>
    </row>
    <row r="144" spans="1:5" ht="18" customHeight="1" x14ac:dyDescent="0.2">
      <c r="A144" s="6" t="s">
        <v>1791</v>
      </c>
      <c r="B144" s="6" t="s">
        <v>1794</v>
      </c>
      <c r="C144" s="41">
        <v>2</v>
      </c>
      <c r="D144" s="41" t="s">
        <v>32</v>
      </c>
      <c r="E144" s="29" t="s">
        <v>1795</v>
      </c>
    </row>
    <row r="145" spans="1:7" ht="18" customHeight="1" x14ac:dyDescent="0.2">
      <c r="A145" s="14" t="s">
        <v>1796</v>
      </c>
      <c r="B145" s="14" t="s">
        <v>1797</v>
      </c>
      <c r="C145" s="23">
        <f>SUM(C143:C144)</f>
        <v>14</v>
      </c>
      <c r="D145" s="13" t="s">
        <v>32</v>
      </c>
      <c r="E145" s="53" t="s">
        <v>1798</v>
      </c>
    </row>
    <row r="146" spans="1:7" ht="18" customHeight="1" x14ac:dyDescent="0.2">
      <c r="A146" s="14" t="s">
        <v>1799</v>
      </c>
      <c r="B146" s="14" t="s">
        <v>1800</v>
      </c>
      <c r="C146" s="23">
        <f>SUM(C143:C144)</f>
        <v>14</v>
      </c>
      <c r="D146" s="13" t="s">
        <v>32</v>
      </c>
      <c r="E146" s="53" t="s">
        <v>1801</v>
      </c>
    </row>
    <row r="147" spans="1:7" ht="18" customHeight="1" x14ac:dyDescent="0.2">
      <c r="A147" s="14" t="s">
        <v>1802</v>
      </c>
      <c r="B147" s="14" t="s">
        <v>1803</v>
      </c>
      <c r="C147" s="13">
        <f>SUM(C143:C144)</f>
        <v>14</v>
      </c>
      <c r="D147" s="13" t="s">
        <v>32</v>
      </c>
      <c r="E147" s="53" t="s">
        <v>1804</v>
      </c>
    </row>
    <row r="148" spans="1:7" ht="18" customHeight="1" x14ac:dyDescent="0.2">
      <c r="A148" s="14" t="s">
        <v>1805</v>
      </c>
      <c r="B148" s="14" t="s">
        <v>1806</v>
      </c>
      <c r="C148" s="13">
        <f>SUM(C143:C144)</f>
        <v>14</v>
      </c>
      <c r="D148" s="13" t="s">
        <v>32</v>
      </c>
      <c r="E148" s="53" t="s">
        <v>1807</v>
      </c>
    </row>
    <row r="149" spans="1:7" ht="18" customHeight="1" x14ac:dyDescent="0.2">
      <c r="A149" s="42" t="s">
        <v>1808</v>
      </c>
      <c r="B149" s="42" t="s">
        <v>1809</v>
      </c>
      <c r="C149" s="9">
        <f>SUM(C141+C145)*3</f>
        <v>93</v>
      </c>
      <c r="D149" s="44" t="s">
        <v>32</v>
      </c>
      <c r="E149" s="61" t="s">
        <v>1810</v>
      </c>
    </row>
    <row r="150" spans="1:7" ht="18" customHeight="1" x14ac:dyDescent="0.2">
      <c r="A150" s="14" t="s">
        <v>1828</v>
      </c>
      <c r="B150" s="14" t="s">
        <v>1831</v>
      </c>
      <c r="C150" s="8">
        <f>SUM(C141+C145)</f>
        <v>31</v>
      </c>
      <c r="D150" s="13" t="s">
        <v>32</v>
      </c>
      <c r="E150" s="53" t="s">
        <v>1832</v>
      </c>
    </row>
    <row r="151" spans="1:7" ht="18" customHeight="1" x14ac:dyDescent="0.2">
      <c r="A151" s="14" t="s">
        <v>1818</v>
      </c>
      <c r="B151" s="14" t="s">
        <v>1821</v>
      </c>
      <c r="C151" s="23">
        <f>ROUNDUP(SUM(C141+C145)*25%,0)</f>
        <v>8</v>
      </c>
      <c r="D151" s="13" t="s">
        <v>32</v>
      </c>
      <c r="E151" s="53" t="s">
        <v>1822</v>
      </c>
    </row>
    <row r="152" spans="1:7" ht="18" customHeight="1" x14ac:dyDescent="0.2">
      <c r="A152" s="42" t="s">
        <v>1818</v>
      </c>
      <c r="B152" s="42" t="s">
        <v>1819</v>
      </c>
      <c r="C152" s="43">
        <f>SUM(C122:C123)</f>
        <v>10</v>
      </c>
      <c r="D152" s="44" t="s">
        <v>32</v>
      </c>
      <c r="E152" s="61" t="s">
        <v>1820</v>
      </c>
    </row>
    <row r="153" spans="1:7" ht="18" customHeight="1" x14ac:dyDescent="0.2">
      <c r="A153" s="14" t="s">
        <v>1823</v>
      </c>
      <c r="B153" s="14" t="s">
        <v>1824</v>
      </c>
      <c r="C153" s="23">
        <v>80</v>
      </c>
      <c r="D153" s="13" t="s">
        <v>10</v>
      </c>
      <c r="E153" s="53" t="s">
        <v>1825</v>
      </c>
    </row>
    <row r="154" spans="1:7" ht="18" customHeight="1" x14ac:dyDescent="0.2">
      <c r="A154" s="14" t="s">
        <v>1823</v>
      </c>
      <c r="B154" s="14" t="s">
        <v>1826</v>
      </c>
      <c r="C154" s="13">
        <v>1197</v>
      </c>
      <c r="D154" s="13" t="s">
        <v>10</v>
      </c>
      <c r="E154" s="53" t="s">
        <v>1964</v>
      </c>
    </row>
    <row r="155" spans="1:7" ht="18" customHeight="1" x14ac:dyDescent="0.2">
      <c r="A155" s="14" t="s">
        <v>1611</v>
      </c>
      <c r="B155" s="14" t="s">
        <v>1613</v>
      </c>
      <c r="C155" s="23">
        <v>32</v>
      </c>
      <c r="D155" s="13" t="s">
        <v>32</v>
      </c>
      <c r="E155" s="53" t="s">
        <v>1827</v>
      </c>
    </row>
    <row r="156" spans="1:7" ht="18" customHeight="1" x14ac:dyDescent="0.2">
      <c r="A156" s="14" t="s">
        <v>1611</v>
      </c>
      <c r="B156" s="14" t="s">
        <v>1615</v>
      </c>
      <c r="C156" s="13">
        <v>774</v>
      </c>
      <c r="D156" s="13" t="s">
        <v>32</v>
      </c>
      <c r="E156" s="53" t="s">
        <v>1965</v>
      </c>
    </row>
    <row r="157" spans="1:7" ht="18" customHeight="1" x14ac:dyDescent="0.2">
      <c r="A157" s="46" t="s">
        <v>1621</v>
      </c>
      <c r="B157" s="46" t="s">
        <v>1622</v>
      </c>
      <c r="C157" s="66">
        <v>20</v>
      </c>
      <c r="D157" s="13" t="s">
        <v>1623</v>
      </c>
      <c r="E157" s="39"/>
      <c r="G157" s="22" t="s">
        <v>2015</v>
      </c>
    </row>
    <row r="159" spans="1:7" ht="18" customHeight="1" x14ac:dyDescent="0.3">
      <c r="A159" s="68" t="s">
        <v>1997</v>
      </c>
      <c r="B159" s="68"/>
      <c r="C159" s="68"/>
      <c r="D159" s="68"/>
      <c r="E159" s="69"/>
    </row>
    <row r="160" spans="1:7" ht="18" customHeight="1" x14ac:dyDescent="0.2">
      <c r="A160" s="42" t="s">
        <v>1759</v>
      </c>
      <c r="B160" s="42" t="s">
        <v>1833</v>
      </c>
      <c r="C160" s="43">
        <v>62</v>
      </c>
      <c r="D160" s="44" t="s">
        <v>32</v>
      </c>
      <c r="E160" s="61" t="s">
        <v>1998</v>
      </c>
    </row>
    <row r="161" spans="1:7" ht="18" customHeight="1" x14ac:dyDescent="0.2">
      <c r="A161" s="14" t="s">
        <v>1834</v>
      </c>
      <c r="B161" s="14" t="s">
        <v>1835</v>
      </c>
      <c r="C161" s="8">
        <v>31</v>
      </c>
      <c r="D161" s="13" t="s">
        <v>32</v>
      </c>
      <c r="E161" s="53" t="s">
        <v>1836</v>
      </c>
    </row>
    <row r="162" spans="1:7" ht="18" customHeight="1" x14ac:dyDescent="0.2">
      <c r="A162" s="14" t="s">
        <v>1834</v>
      </c>
      <c r="B162" s="14" t="s">
        <v>1837</v>
      </c>
      <c r="C162" s="13">
        <v>31</v>
      </c>
      <c r="D162" s="13" t="s">
        <v>32</v>
      </c>
      <c r="E162" s="53" t="s">
        <v>1838</v>
      </c>
    </row>
    <row r="163" spans="1:7" ht="18" customHeight="1" x14ac:dyDescent="0.2">
      <c r="A163" s="14" t="s">
        <v>1834</v>
      </c>
      <c r="B163" s="14" t="s">
        <v>1839</v>
      </c>
      <c r="C163" s="13">
        <v>31</v>
      </c>
      <c r="D163" s="13" t="s">
        <v>32</v>
      </c>
      <c r="E163" s="53" t="s">
        <v>1840</v>
      </c>
    </row>
    <row r="164" spans="1:7" ht="18" customHeight="1" x14ac:dyDescent="0.2">
      <c r="A164" s="14" t="s">
        <v>1841</v>
      </c>
      <c r="B164" s="14" t="s">
        <v>1842</v>
      </c>
      <c r="C164" s="13">
        <v>31</v>
      </c>
      <c r="D164" s="13" t="s">
        <v>32</v>
      </c>
      <c r="E164" s="53" t="s">
        <v>1843</v>
      </c>
    </row>
    <row r="165" spans="1:7" ht="18" customHeight="1" x14ac:dyDescent="0.2">
      <c r="A165" s="14" t="s">
        <v>1844</v>
      </c>
      <c r="B165" s="14" t="s">
        <v>1845</v>
      </c>
      <c r="C165" s="13">
        <v>31</v>
      </c>
      <c r="D165" s="13" t="s">
        <v>32</v>
      </c>
      <c r="E165" s="53" t="s">
        <v>1846</v>
      </c>
    </row>
    <row r="166" spans="1:7" ht="18" customHeight="1" x14ac:dyDescent="0.2">
      <c r="A166" s="42" t="s">
        <v>1847</v>
      </c>
      <c r="B166" s="42" t="s">
        <v>1848</v>
      </c>
      <c r="C166" s="44">
        <v>31</v>
      </c>
      <c r="D166" s="44" t="s">
        <v>32</v>
      </c>
      <c r="E166" s="61" t="s">
        <v>1849</v>
      </c>
    </row>
    <row r="167" spans="1:7" ht="18" customHeight="1" x14ac:dyDescent="0.2">
      <c r="A167" s="42" t="s">
        <v>1828</v>
      </c>
      <c r="B167" s="42" t="s">
        <v>1850</v>
      </c>
      <c r="C167" s="43">
        <v>93</v>
      </c>
      <c r="D167" s="44" t="s">
        <v>32</v>
      </c>
      <c r="E167" s="61" t="s">
        <v>1830</v>
      </c>
    </row>
    <row r="168" spans="1:7" ht="18" customHeight="1" x14ac:dyDescent="0.2">
      <c r="A168" s="14" t="s">
        <v>1828</v>
      </c>
      <c r="B168" s="14" t="s">
        <v>1829</v>
      </c>
      <c r="C168" s="8">
        <v>31</v>
      </c>
      <c r="D168" s="13" t="s">
        <v>32</v>
      </c>
      <c r="E168" s="53" t="s">
        <v>1999</v>
      </c>
    </row>
    <row r="169" spans="1:7" ht="18" customHeight="1" x14ac:dyDescent="0.2">
      <c r="A169" s="42" t="s">
        <v>1818</v>
      </c>
      <c r="B169" s="42" t="s">
        <v>1821</v>
      </c>
      <c r="C169" s="44">
        <v>31</v>
      </c>
      <c r="D169" s="44" t="s">
        <v>32</v>
      </c>
      <c r="E169" s="61" t="s">
        <v>1822</v>
      </c>
    </row>
    <row r="170" spans="1:7" ht="18" customHeight="1" x14ac:dyDescent="0.2">
      <c r="A170" s="42" t="s">
        <v>1823</v>
      </c>
      <c r="B170" s="42" t="s">
        <v>1851</v>
      </c>
      <c r="C170" s="43">
        <v>1860</v>
      </c>
      <c r="D170" s="44" t="s">
        <v>10</v>
      </c>
      <c r="E170" s="61" t="s">
        <v>2000</v>
      </c>
    </row>
    <row r="171" spans="1:7" ht="18" customHeight="1" x14ac:dyDescent="0.2">
      <c r="A171" s="42" t="s">
        <v>1611</v>
      </c>
      <c r="B171" s="42" t="s">
        <v>1619</v>
      </c>
      <c r="C171" s="43">
        <v>1488</v>
      </c>
      <c r="D171" s="44" t="s">
        <v>32</v>
      </c>
      <c r="E171" s="61" t="s">
        <v>2001</v>
      </c>
    </row>
    <row r="172" spans="1:7" ht="18" customHeight="1" x14ac:dyDescent="0.2">
      <c r="A172" s="14" t="s">
        <v>1799</v>
      </c>
      <c r="B172" s="14" t="s">
        <v>2002</v>
      </c>
      <c r="C172" s="8">
        <v>31</v>
      </c>
      <c r="D172" s="13" t="s">
        <v>32</v>
      </c>
      <c r="E172" s="53" t="s">
        <v>1801</v>
      </c>
    </row>
    <row r="173" spans="1:7" ht="18" customHeight="1" x14ac:dyDescent="0.2">
      <c r="A173" s="14" t="s">
        <v>1802</v>
      </c>
      <c r="B173" s="14" t="s">
        <v>1806</v>
      </c>
      <c r="C173" s="8">
        <v>31</v>
      </c>
      <c r="D173" s="13" t="s">
        <v>32</v>
      </c>
      <c r="E173" s="53" t="s">
        <v>1804</v>
      </c>
    </row>
    <row r="174" spans="1:7" ht="18" customHeight="1" x14ac:dyDescent="0.2">
      <c r="A174" s="46" t="s">
        <v>1621</v>
      </c>
      <c r="B174" s="46" t="s">
        <v>1622</v>
      </c>
      <c r="C174" s="66">
        <v>20</v>
      </c>
      <c r="D174" s="13" t="s">
        <v>1623</v>
      </c>
      <c r="E174" s="39"/>
      <c r="G174" s="22" t="s">
        <v>2015</v>
      </c>
    </row>
    <row r="176" spans="1:7" ht="18" customHeight="1" x14ac:dyDescent="0.3">
      <c r="A176" s="34" t="s">
        <v>1853</v>
      </c>
      <c r="B176" s="34"/>
      <c r="C176" s="34"/>
      <c r="D176" s="34"/>
    </row>
    <row r="177" spans="1:4" ht="18" customHeight="1" x14ac:dyDescent="0.3">
      <c r="A177" s="35" t="s">
        <v>1854</v>
      </c>
      <c r="B177" s="35" t="s">
        <v>1855</v>
      </c>
      <c r="C177" s="70">
        <v>1</v>
      </c>
      <c r="D177" s="70" t="s">
        <v>1852</v>
      </c>
    </row>
    <row r="178" spans="1:4" ht="18" customHeight="1" x14ac:dyDescent="0.3">
      <c r="A178" s="35" t="s">
        <v>1856</v>
      </c>
      <c r="B178" s="35"/>
      <c r="C178" s="70">
        <v>3</v>
      </c>
      <c r="D178" s="70" t="s">
        <v>1852</v>
      </c>
    </row>
  </sheetData>
  <mergeCells count="5"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266E-6E20-4A0E-B700-4CC15643DB36}">
  <sheetPr>
    <tabColor rgb="FFFFFF00"/>
  </sheetPr>
  <dimension ref="A1:Q609"/>
  <sheetViews>
    <sheetView zoomScale="85" zoomScaleNormal="85" workbookViewId="0">
      <selection activeCell="F136" sqref="F136"/>
    </sheetView>
  </sheetViews>
  <sheetFormatPr defaultColWidth="9" defaultRowHeight="12" x14ac:dyDescent="0.3"/>
  <cols>
    <col min="1" max="1" width="49.5" style="11" bestFit="1" customWidth="1"/>
    <col min="2" max="2" width="14.875" style="11" bestFit="1" customWidth="1"/>
    <col min="3" max="3" width="18.75" style="11" bestFit="1" customWidth="1"/>
    <col min="4" max="4" width="14.375" style="11" bestFit="1" customWidth="1"/>
    <col min="5" max="5" width="37.5" style="11" bestFit="1" customWidth="1"/>
    <col min="6" max="6" width="29.125" style="11" bestFit="1" customWidth="1"/>
    <col min="7" max="7" width="11.375" style="11" bestFit="1" customWidth="1"/>
    <col min="8" max="8" width="9" style="1"/>
    <col min="9" max="9" width="8.625" style="11" customWidth="1"/>
    <col min="10" max="10" width="45.625" style="1" bestFit="1" customWidth="1"/>
    <col min="11" max="11" width="30.625" style="1" customWidth="1"/>
    <col min="12" max="13" width="8.625" style="11" customWidth="1"/>
    <col min="14" max="16" width="14.125" style="1" customWidth="1"/>
    <col min="17" max="17" width="20.625" style="1" customWidth="1"/>
    <col min="18" max="16384" width="9" style="1"/>
  </cols>
  <sheetData>
    <row r="1" spans="1:17" ht="18" customHeight="1" x14ac:dyDescent="0.3">
      <c r="A1" s="11" t="s">
        <v>723</v>
      </c>
      <c r="B1" s="11" t="s">
        <v>719</v>
      </c>
      <c r="C1" s="99" t="s">
        <v>2271</v>
      </c>
      <c r="D1" s="99" t="s">
        <v>2272</v>
      </c>
      <c r="E1" s="12" t="s">
        <v>715</v>
      </c>
      <c r="F1" s="12" t="s">
        <v>716</v>
      </c>
      <c r="I1" s="195" t="s">
        <v>245</v>
      </c>
      <c r="J1" s="195"/>
      <c r="K1" s="195"/>
      <c r="L1" s="195"/>
      <c r="M1" s="195"/>
      <c r="N1" s="195"/>
      <c r="O1" s="195"/>
      <c r="P1" s="195"/>
      <c r="Q1" s="195"/>
    </row>
    <row r="2" spans="1:17" ht="18" customHeight="1" x14ac:dyDescent="0.3">
      <c r="A2" s="11" t="s">
        <v>730</v>
      </c>
      <c r="B2" s="11" t="s">
        <v>720</v>
      </c>
      <c r="C2" s="100" t="s">
        <v>2273</v>
      </c>
      <c r="D2" s="101" t="s">
        <v>2274</v>
      </c>
      <c r="E2" s="12" t="s">
        <v>713</v>
      </c>
      <c r="F2" s="12" t="s">
        <v>714</v>
      </c>
      <c r="I2" s="8" t="s">
        <v>246</v>
      </c>
      <c r="J2" s="8" t="s">
        <v>0</v>
      </c>
      <c r="K2" s="8" t="s">
        <v>1</v>
      </c>
      <c r="L2" s="8" t="s">
        <v>247</v>
      </c>
      <c r="M2" s="8" t="s">
        <v>2</v>
      </c>
      <c r="N2" s="8" t="s">
        <v>4</v>
      </c>
      <c r="O2" s="8" t="s">
        <v>5</v>
      </c>
      <c r="P2" s="8" t="s">
        <v>6</v>
      </c>
      <c r="Q2" s="13" t="s">
        <v>248</v>
      </c>
    </row>
    <row r="3" spans="1:17" ht="18" customHeight="1" x14ac:dyDescent="0.2">
      <c r="A3" s="103" t="s">
        <v>2183</v>
      </c>
      <c r="B3" s="21" t="s">
        <v>2266</v>
      </c>
      <c r="C3" s="21">
        <v>2.5</v>
      </c>
      <c r="D3" s="21">
        <v>3</v>
      </c>
      <c r="E3" s="17" t="s">
        <v>1532</v>
      </c>
      <c r="F3" s="17" t="s">
        <v>2061</v>
      </c>
      <c r="G3" s="11" t="s">
        <v>2025</v>
      </c>
      <c r="I3" s="97" t="s">
        <v>2025</v>
      </c>
      <c r="J3" s="98" t="s">
        <v>1532</v>
      </c>
      <c r="K3" s="98" t="s">
        <v>2026</v>
      </c>
      <c r="L3" s="97">
        <v>1</v>
      </c>
      <c r="M3" s="97" t="s">
        <v>2027</v>
      </c>
      <c r="N3" s="98">
        <v>0</v>
      </c>
      <c r="O3" s="98">
        <v>13967</v>
      </c>
      <c r="P3" s="98">
        <v>419</v>
      </c>
      <c r="Q3" s="97"/>
    </row>
    <row r="4" spans="1:17" ht="18" customHeight="1" x14ac:dyDescent="0.2">
      <c r="A4" s="103" t="s">
        <v>2184</v>
      </c>
      <c r="B4" s="21" t="s">
        <v>2266</v>
      </c>
      <c r="C4" s="21">
        <v>4</v>
      </c>
      <c r="D4" s="21">
        <v>3</v>
      </c>
      <c r="E4" s="17" t="s">
        <v>1532</v>
      </c>
      <c r="F4" s="17" t="s">
        <v>2063</v>
      </c>
      <c r="G4" s="11" t="s">
        <v>2025</v>
      </c>
      <c r="I4" s="97" t="s">
        <v>2028</v>
      </c>
      <c r="J4" s="98" t="s">
        <v>1532</v>
      </c>
      <c r="K4" s="98" t="s">
        <v>2029</v>
      </c>
      <c r="L4" s="97">
        <v>1</v>
      </c>
      <c r="M4" s="97" t="s">
        <v>2027</v>
      </c>
      <c r="N4" s="98">
        <v>0</v>
      </c>
      <c r="O4" s="98">
        <v>13967</v>
      </c>
      <c r="P4" s="98">
        <v>419</v>
      </c>
      <c r="Q4" s="97"/>
    </row>
    <row r="5" spans="1:17" ht="18" customHeight="1" x14ac:dyDescent="0.2">
      <c r="A5" s="103" t="s">
        <v>2185</v>
      </c>
      <c r="B5" s="21" t="s">
        <v>2266</v>
      </c>
      <c r="C5" s="21">
        <v>6</v>
      </c>
      <c r="D5" s="21">
        <v>3</v>
      </c>
      <c r="E5" s="17" t="s">
        <v>1532</v>
      </c>
      <c r="F5" s="17" t="s">
        <v>2029</v>
      </c>
      <c r="G5" s="11" t="s">
        <v>2028</v>
      </c>
      <c r="I5" s="97" t="s">
        <v>254</v>
      </c>
      <c r="J5" s="98" t="s">
        <v>1532</v>
      </c>
      <c r="K5" s="98" t="s">
        <v>2030</v>
      </c>
      <c r="L5" s="97">
        <v>1</v>
      </c>
      <c r="M5" s="97" t="s">
        <v>2027</v>
      </c>
      <c r="N5" s="98">
        <v>0</v>
      </c>
      <c r="O5" s="98">
        <v>13967</v>
      </c>
      <c r="P5" s="98">
        <v>419</v>
      </c>
      <c r="Q5" s="97"/>
    </row>
    <row r="6" spans="1:17" ht="18" customHeight="1" x14ac:dyDescent="0.2">
      <c r="A6" s="103" t="s">
        <v>2186</v>
      </c>
      <c r="B6" s="21" t="s">
        <v>2266</v>
      </c>
      <c r="C6" s="21">
        <v>10</v>
      </c>
      <c r="D6" s="21">
        <v>3</v>
      </c>
      <c r="E6" s="17" t="s">
        <v>1532</v>
      </c>
      <c r="F6" s="17" t="s">
        <v>2030</v>
      </c>
      <c r="G6" s="11" t="s">
        <v>254</v>
      </c>
      <c r="I6" s="97" t="s">
        <v>256</v>
      </c>
      <c r="J6" s="98" t="s">
        <v>1532</v>
      </c>
      <c r="K6" s="98" t="s">
        <v>2031</v>
      </c>
      <c r="L6" s="97">
        <v>1</v>
      </c>
      <c r="M6" s="97" t="s">
        <v>2027</v>
      </c>
      <c r="N6" s="98">
        <v>0</v>
      </c>
      <c r="O6" s="98">
        <v>13967</v>
      </c>
      <c r="P6" s="98">
        <v>419</v>
      </c>
      <c r="Q6" s="98"/>
    </row>
    <row r="7" spans="1:17" ht="18" customHeight="1" x14ac:dyDescent="0.2">
      <c r="A7" s="103" t="s">
        <v>2187</v>
      </c>
      <c r="B7" s="21" t="s">
        <v>2266</v>
      </c>
      <c r="C7" s="21">
        <v>16</v>
      </c>
      <c r="D7" s="21">
        <v>3</v>
      </c>
      <c r="E7" s="17" t="s">
        <v>1532</v>
      </c>
      <c r="F7" s="17" t="s">
        <v>2031</v>
      </c>
      <c r="G7" s="11" t="s">
        <v>256</v>
      </c>
      <c r="I7" s="97" t="s">
        <v>258</v>
      </c>
      <c r="J7" s="98" t="s">
        <v>1532</v>
      </c>
      <c r="K7" s="98" t="s">
        <v>2032</v>
      </c>
      <c r="L7" s="97">
        <v>1</v>
      </c>
      <c r="M7" s="97" t="s">
        <v>2027</v>
      </c>
      <c r="N7" s="98">
        <v>0</v>
      </c>
      <c r="O7" s="98">
        <v>18217</v>
      </c>
      <c r="P7" s="98">
        <v>546</v>
      </c>
      <c r="Q7" s="97"/>
    </row>
    <row r="8" spans="1:17" ht="18" customHeight="1" x14ac:dyDescent="0.2">
      <c r="A8" s="103" t="s">
        <v>2188</v>
      </c>
      <c r="B8" s="21" t="s">
        <v>2266</v>
      </c>
      <c r="C8" s="21">
        <v>25</v>
      </c>
      <c r="D8" s="21">
        <v>3</v>
      </c>
      <c r="E8" s="17" t="s">
        <v>1532</v>
      </c>
      <c r="F8" s="17" t="s">
        <v>2032</v>
      </c>
      <c r="G8" s="11" t="s">
        <v>258</v>
      </c>
      <c r="I8" s="97" t="s">
        <v>260</v>
      </c>
      <c r="J8" s="98" t="s">
        <v>1532</v>
      </c>
      <c r="K8" s="98" t="s">
        <v>2033</v>
      </c>
      <c r="L8" s="97">
        <v>1</v>
      </c>
      <c r="M8" s="97" t="s">
        <v>2027</v>
      </c>
      <c r="N8" s="98">
        <v>0</v>
      </c>
      <c r="O8" s="98">
        <v>21861</v>
      </c>
      <c r="P8" s="98">
        <v>655</v>
      </c>
      <c r="Q8" s="98"/>
    </row>
    <row r="9" spans="1:17" ht="18" customHeight="1" x14ac:dyDescent="0.2">
      <c r="A9" s="103" t="s">
        <v>2189</v>
      </c>
      <c r="B9" s="21" t="s">
        <v>2266</v>
      </c>
      <c r="C9" s="21">
        <v>35</v>
      </c>
      <c r="D9" s="21">
        <v>3</v>
      </c>
      <c r="E9" s="17" t="s">
        <v>1532</v>
      </c>
      <c r="F9" s="17" t="s">
        <v>2033</v>
      </c>
      <c r="G9" s="11" t="s">
        <v>260</v>
      </c>
      <c r="I9" s="97" t="s">
        <v>262</v>
      </c>
      <c r="J9" s="98" t="s">
        <v>1532</v>
      </c>
      <c r="K9" s="98" t="s">
        <v>2034</v>
      </c>
      <c r="L9" s="97">
        <v>1</v>
      </c>
      <c r="M9" s="97" t="s">
        <v>2027</v>
      </c>
      <c r="N9" s="98">
        <v>0</v>
      </c>
      <c r="O9" s="98">
        <v>26112</v>
      </c>
      <c r="P9" s="98">
        <v>783</v>
      </c>
      <c r="Q9" s="98"/>
    </row>
    <row r="10" spans="1:17" ht="18" customHeight="1" x14ac:dyDescent="0.2">
      <c r="A10" s="103" t="s">
        <v>2190</v>
      </c>
      <c r="B10" s="21" t="s">
        <v>2266</v>
      </c>
      <c r="C10" s="21">
        <v>50</v>
      </c>
      <c r="D10" s="21">
        <v>3</v>
      </c>
      <c r="E10" s="17" t="s">
        <v>1532</v>
      </c>
      <c r="F10" s="17" t="s">
        <v>2034</v>
      </c>
      <c r="G10" s="11" t="s">
        <v>262</v>
      </c>
      <c r="I10" s="97" t="s">
        <v>264</v>
      </c>
      <c r="J10" s="98" t="s">
        <v>1532</v>
      </c>
      <c r="K10" s="98" t="s">
        <v>2035</v>
      </c>
      <c r="L10" s="97">
        <v>1</v>
      </c>
      <c r="M10" s="97" t="s">
        <v>2027</v>
      </c>
      <c r="N10" s="98">
        <v>0</v>
      </c>
      <c r="O10" s="98">
        <v>34614</v>
      </c>
      <c r="P10" s="98">
        <v>1038</v>
      </c>
      <c r="Q10" s="98"/>
    </row>
    <row r="11" spans="1:17" ht="18" customHeight="1" x14ac:dyDescent="0.2">
      <c r="A11" s="103" t="s">
        <v>2191</v>
      </c>
      <c r="B11" s="21" t="s">
        <v>2266</v>
      </c>
      <c r="C11" s="21">
        <v>70</v>
      </c>
      <c r="D11" s="21">
        <v>3</v>
      </c>
      <c r="E11" s="17" t="s">
        <v>1532</v>
      </c>
      <c r="F11" s="17" t="s">
        <v>2035</v>
      </c>
      <c r="G11" s="11" t="s">
        <v>264</v>
      </c>
      <c r="I11" s="97" t="s">
        <v>218</v>
      </c>
      <c r="J11" s="98" t="s">
        <v>1532</v>
      </c>
      <c r="K11" s="98" t="s">
        <v>2036</v>
      </c>
      <c r="L11" s="97">
        <v>1</v>
      </c>
      <c r="M11" s="97" t="s">
        <v>2027</v>
      </c>
      <c r="N11" s="98">
        <v>0</v>
      </c>
      <c r="O11" s="98">
        <v>43115</v>
      </c>
      <c r="P11" s="98">
        <v>1293</v>
      </c>
      <c r="Q11" s="97"/>
    </row>
    <row r="12" spans="1:17" ht="18" customHeight="1" x14ac:dyDescent="0.2">
      <c r="A12" s="103" t="s">
        <v>2192</v>
      </c>
      <c r="B12" s="21" t="s">
        <v>2266</v>
      </c>
      <c r="C12" s="21">
        <v>95</v>
      </c>
      <c r="D12" s="21">
        <v>3</v>
      </c>
      <c r="E12" s="17" t="s">
        <v>1532</v>
      </c>
      <c r="F12" s="17" t="s">
        <v>2036</v>
      </c>
      <c r="G12" s="11" t="s">
        <v>218</v>
      </c>
      <c r="I12" s="97" t="s">
        <v>267</v>
      </c>
      <c r="J12" s="98" t="s">
        <v>1532</v>
      </c>
      <c r="K12" s="98" t="s">
        <v>2037</v>
      </c>
      <c r="L12" s="97">
        <v>1</v>
      </c>
      <c r="M12" s="97" t="s">
        <v>2027</v>
      </c>
      <c r="N12" s="98">
        <v>0</v>
      </c>
      <c r="O12" s="98">
        <v>51010</v>
      </c>
      <c r="P12" s="98">
        <v>1530</v>
      </c>
      <c r="Q12" s="97"/>
    </row>
    <row r="13" spans="1:17" ht="18" customHeight="1" x14ac:dyDescent="0.2">
      <c r="A13" s="103" t="s">
        <v>2193</v>
      </c>
      <c r="B13" s="21" t="s">
        <v>2266</v>
      </c>
      <c r="C13" s="21">
        <v>120</v>
      </c>
      <c r="D13" s="21">
        <v>3</v>
      </c>
      <c r="E13" s="17" t="s">
        <v>1532</v>
      </c>
      <c r="F13" s="17" t="s">
        <v>2037</v>
      </c>
      <c r="G13" s="11" t="s">
        <v>267</v>
      </c>
      <c r="I13" s="97" t="s">
        <v>219</v>
      </c>
      <c r="J13" s="98" t="s">
        <v>1532</v>
      </c>
      <c r="K13" s="98" t="s">
        <v>2038</v>
      </c>
      <c r="L13" s="97">
        <v>1</v>
      </c>
      <c r="M13" s="97" t="s">
        <v>2027</v>
      </c>
      <c r="N13" s="98">
        <v>0</v>
      </c>
      <c r="O13" s="98">
        <v>58904</v>
      </c>
      <c r="P13" s="98">
        <v>1767</v>
      </c>
      <c r="Q13" s="98"/>
    </row>
    <row r="14" spans="1:17" ht="18" customHeight="1" x14ac:dyDescent="0.2">
      <c r="A14" s="103" t="s">
        <v>2194</v>
      </c>
      <c r="B14" s="21" t="s">
        <v>2266</v>
      </c>
      <c r="C14" s="21">
        <v>150</v>
      </c>
      <c r="D14" s="21">
        <v>3</v>
      </c>
      <c r="E14" s="17" t="s">
        <v>1532</v>
      </c>
      <c r="F14" s="17" t="s">
        <v>2038</v>
      </c>
      <c r="G14" s="11" t="s">
        <v>219</v>
      </c>
      <c r="I14" s="97" t="s">
        <v>270</v>
      </c>
      <c r="J14" s="98" t="s">
        <v>1532</v>
      </c>
      <c r="K14" s="98" t="s">
        <v>2039</v>
      </c>
      <c r="L14" s="97">
        <v>1</v>
      </c>
      <c r="M14" s="97" t="s">
        <v>2027</v>
      </c>
      <c r="N14" s="98">
        <v>0</v>
      </c>
      <c r="O14" s="98">
        <v>65584</v>
      </c>
      <c r="P14" s="98">
        <v>1967</v>
      </c>
      <c r="Q14" s="98"/>
    </row>
    <row r="15" spans="1:17" ht="18" customHeight="1" x14ac:dyDescent="0.2">
      <c r="A15" s="103" t="s">
        <v>2195</v>
      </c>
      <c r="B15" s="21" t="s">
        <v>2266</v>
      </c>
      <c r="C15" s="21">
        <v>185</v>
      </c>
      <c r="D15" s="21">
        <v>3</v>
      </c>
      <c r="E15" s="17" t="s">
        <v>1532</v>
      </c>
      <c r="F15" s="17" t="s">
        <v>2039</v>
      </c>
      <c r="G15" s="11" t="s">
        <v>270</v>
      </c>
      <c r="I15" s="97" t="s">
        <v>272</v>
      </c>
      <c r="J15" s="98" t="s">
        <v>1532</v>
      </c>
      <c r="K15" s="98" t="s">
        <v>2040</v>
      </c>
      <c r="L15" s="97">
        <v>1</v>
      </c>
      <c r="M15" s="97" t="s">
        <v>2027</v>
      </c>
      <c r="N15" s="98">
        <v>0</v>
      </c>
      <c r="O15" s="98">
        <v>82587</v>
      </c>
      <c r="P15" s="98">
        <v>2477</v>
      </c>
      <c r="Q15" s="98"/>
    </row>
    <row r="16" spans="1:17" ht="18" customHeight="1" x14ac:dyDescent="0.2">
      <c r="A16" s="103" t="s">
        <v>2196</v>
      </c>
      <c r="B16" s="21" t="s">
        <v>2266</v>
      </c>
      <c r="C16" s="21">
        <v>240</v>
      </c>
      <c r="D16" s="21">
        <v>3</v>
      </c>
      <c r="E16" s="17" t="s">
        <v>1532</v>
      </c>
      <c r="F16" s="17" t="s">
        <v>2040</v>
      </c>
      <c r="G16" s="11" t="s">
        <v>272</v>
      </c>
      <c r="I16" s="97" t="s">
        <v>274</v>
      </c>
      <c r="J16" s="98" t="s">
        <v>1532</v>
      </c>
      <c r="K16" s="98" t="s">
        <v>2041</v>
      </c>
      <c r="L16" s="97">
        <v>1</v>
      </c>
      <c r="M16" s="97" t="s">
        <v>2027</v>
      </c>
      <c r="N16" s="98">
        <v>0</v>
      </c>
      <c r="O16" s="98">
        <v>96554</v>
      </c>
      <c r="P16" s="98">
        <v>2896</v>
      </c>
      <c r="Q16" s="97"/>
    </row>
    <row r="17" spans="1:17" ht="18" customHeight="1" x14ac:dyDescent="0.2">
      <c r="A17" s="103" t="s">
        <v>2197</v>
      </c>
      <c r="B17" s="21" t="s">
        <v>2266</v>
      </c>
      <c r="C17" s="21">
        <v>300</v>
      </c>
      <c r="D17" s="21">
        <v>3</v>
      </c>
      <c r="E17" s="17" t="s">
        <v>1532</v>
      </c>
      <c r="F17" s="17" t="s">
        <v>2041</v>
      </c>
      <c r="G17" s="11" t="s">
        <v>274</v>
      </c>
      <c r="I17" s="97" t="s">
        <v>220</v>
      </c>
      <c r="J17" s="98" t="s">
        <v>1532</v>
      </c>
      <c r="K17" s="98" t="s">
        <v>2042</v>
      </c>
      <c r="L17" s="97">
        <v>1</v>
      </c>
      <c r="M17" s="97" t="s">
        <v>2027</v>
      </c>
      <c r="N17" s="98">
        <v>0</v>
      </c>
      <c r="O17" s="98">
        <v>18157</v>
      </c>
      <c r="P17" s="98">
        <v>544</v>
      </c>
      <c r="Q17" s="98"/>
    </row>
    <row r="18" spans="1:17" ht="18" customHeight="1" x14ac:dyDescent="0.2">
      <c r="A18" s="103" t="s">
        <v>2198</v>
      </c>
      <c r="B18" s="21" t="s">
        <v>2266</v>
      </c>
      <c r="C18" s="21">
        <v>4</v>
      </c>
      <c r="D18" s="21">
        <v>4</v>
      </c>
      <c r="E18" s="17" t="s">
        <v>1532</v>
      </c>
      <c r="F18" s="17" t="s">
        <v>2042</v>
      </c>
      <c r="G18" s="11" t="s">
        <v>2302</v>
      </c>
      <c r="I18" s="97" t="s">
        <v>277</v>
      </c>
      <c r="J18" s="98" t="s">
        <v>1532</v>
      </c>
      <c r="K18" s="98" t="s">
        <v>2043</v>
      </c>
      <c r="L18" s="97">
        <v>1</v>
      </c>
      <c r="M18" s="97" t="s">
        <v>2027</v>
      </c>
      <c r="N18" s="98">
        <v>0</v>
      </c>
      <c r="O18" s="98">
        <v>18157</v>
      </c>
      <c r="P18" s="98">
        <v>544</v>
      </c>
      <c r="Q18" s="97"/>
    </row>
    <row r="19" spans="1:17" ht="18" customHeight="1" x14ac:dyDescent="0.2">
      <c r="A19" s="103" t="s">
        <v>1537</v>
      </c>
      <c r="B19" s="21" t="s">
        <v>2266</v>
      </c>
      <c r="C19" s="21">
        <v>6</v>
      </c>
      <c r="D19" s="21">
        <v>4</v>
      </c>
      <c r="E19" s="17" t="s">
        <v>1532</v>
      </c>
      <c r="F19" s="17" t="s">
        <v>2043</v>
      </c>
      <c r="G19" s="11" t="s">
        <v>277</v>
      </c>
      <c r="I19" s="97" t="s">
        <v>279</v>
      </c>
      <c r="J19" s="98" t="s">
        <v>1532</v>
      </c>
      <c r="K19" s="98" t="s">
        <v>2044</v>
      </c>
      <c r="L19" s="97">
        <v>1</v>
      </c>
      <c r="M19" s="97" t="s">
        <v>2027</v>
      </c>
      <c r="N19" s="98">
        <v>0</v>
      </c>
      <c r="O19" s="98">
        <v>18157</v>
      </c>
      <c r="P19" s="98">
        <v>544</v>
      </c>
      <c r="Q19" s="98"/>
    </row>
    <row r="20" spans="1:17" ht="18" customHeight="1" x14ac:dyDescent="0.2">
      <c r="A20" s="103" t="s">
        <v>2199</v>
      </c>
      <c r="B20" s="21" t="s">
        <v>2266</v>
      </c>
      <c r="C20" s="21">
        <v>10</v>
      </c>
      <c r="D20" s="21">
        <v>4</v>
      </c>
      <c r="E20" s="17" t="s">
        <v>1532</v>
      </c>
      <c r="F20" s="17" t="s">
        <v>2044</v>
      </c>
      <c r="G20" s="11" t="s">
        <v>279</v>
      </c>
      <c r="I20" s="97" t="s">
        <v>281</v>
      </c>
      <c r="J20" s="98" t="s">
        <v>1532</v>
      </c>
      <c r="K20" s="98" t="s">
        <v>2045</v>
      </c>
      <c r="L20" s="97">
        <v>1</v>
      </c>
      <c r="M20" s="97" t="s">
        <v>2027</v>
      </c>
      <c r="N20" s="98">
        <v>0</v>
      </c>
      <c r="O20" s="98">
        <v>18157</v>
      </c>
      <c r="P20" s="98">
        <v>544</v>
      </c>
      <c r="Q20" s="97"/>
    </row>
    <row r="21" spans="1:17" ht="18" customHeight="1" x14ac:dyDescent="0.2">
      <c r="A21" s="103" t="s">
        <v>2200</v>
      </c>
      <c r="B21" s="21" t="s">
        <v>2266</v>
      </c>
      <c r="C21" s="21">
        <v>16</v>
      </c>
      <c r="D21" s="21">
        <v>4</v>
      </c>
      <c r="E21" s="17" t="s">
        <v>1532</v>
      </c>
      <c r="F21" s="17" t="s">
        <v>2045</v>
      </c>
      <c r="G21" s="11" t="s">
        <v>281</v>
      </c>
      <c r="I21" s="97" t="s">
        <v>283</v>
      </c>
      <c r="J21" s="98" t="s">
        <v>1532</v>
      </c>
      <c r="K21" s="98" t="s">
        <v>2046</v>
      </c>
      <c r="L21" s="97">
        <v>1</v>
      </c>
      <c r="M21" s="97" t="s">
        <v>2027</v>
      </c>
      <c r="N21" s="98">
        <v>0</v>
      </c>
      <c r="O21" s="98">
        <v>23683</v>
      </c>
      <c r="P21" s="98">
        <v>710</v>
      </c>
      <c r="Q21" s="98"/>
    </row>
    <row r="22" spans="1:17" ht="18" customHeight="1" x14ac:dyDescent="0.2">
      <c r="A22" s="103" t="s">
        <v>1535</v>
      </c>
      <c r="B22" s="21" t="s">
        <v>2266</v>
      </c>
      <c r="C22" s="21">
        <v>25</v>
      </c>
      <c r="D22" s="21">
        <v>4</v>
      </c>
      <c r="E22" s="17" t="s">
        <v>1532</v>
      </c>
      <c r="F22" s="17" t="s">
        <v>2046</v>
      </c>
      <c r="G22" s="11" t="s">
        <v>283</v>
      </c>
      <c r="I22" s="97" t="s">
        <v>285</v>
      </c>
      <c r="J22" s="98" t="s">
        <v>1532</v>
      </c>
      <c r="K22" s="98" t="s">
        <v>2047</v>
      </c>
      <c r="L22" s="97">
        <v>1</v>
      </c>
      <c r="M22" s="97" t="s">
        <v>2027</v>
      </c>
      <c r="N22" s="98">
        <v>0</v>
      </c>
      <c r="O22" s="98">
        <v>28419</v>
      </c>
      <c r="P22" s="98">
        <v>852</v>
      </c>
      <c r="Q22" s="98"/>
    </row>
    <row r="23" spans="1:17" ht="18" customHeight="1" x14ac:dyDescent="0.2">
      <c r="A23" s="103" t="s">
        <v>2201</v>
      </c>
      <c r="B23" s="21" t="s">
        <v>2266</v>
      </c>
      <c r="C23" s="21">
        <v>35</v>
      </c>
      <c r="D23" s="21">
        <v>4</v>
      </c>
      <c r="E23" s="17" t="s">
        <v>1532</v>
      </c>
      <c r="F23" s="17" t="s">
        <v>2047</v>
      </c>
      <c r="G23" s="11" t="s">
        <v>285</v>
      </c>
      <c r="I23" s="97" t="s">
        <v>287</v>
      </c>
      <c r="J23" s="98" t="s">
        <v>1532</v>
      </c>
      <c r="K23" s="98" t="s">
        <v>2048</v>
      </c>
      <c r="L23" s="97">
        <v>1</v>
      </c>
      <c r="M23" s="97" t="s">
        <v>2027</v>
      </c>
      <c r="N23" s="98">
        <v>0</v>
      </c>
      <c r="O23" s="98">
        <v>33946</v>
      </c>
      <c r="P23" s="98">
        <v>1018</v>
      </c>
      <c r="Q23" s="98"/>
    </row>
    <row r="24" spans="1:17" ht="18" customHeight="1" x14ac:dyDescent="0.2">
      <c r="A24" s="103" t="s">
        <v>2202</v>
      </c>
      <c r="B24" s="21" t="s">
        <v>2266</v>
      </c>
      <c r="C24" s="21">
        <v>50</v>
      </c>
      <c r="D24" s="21">
        <v>4</v>
      </c>
      <c r="E24" s="17" t="s">
        <v>1532</v>
      </c>
      <c r="F24" s="17" t="s">
        <v>2048</v>
      </c>
      <c r="G24" s="11" t="s">
        <v>287</v>
      </c>
      <c r="I24" s="97" t="s">
        <v>289</v>
      </c>
      <c r="J24" s="98" t="s">
        <v>1532</v>
      </c>
      <c r="K24" s="98" t="s">
        <v>2049</v>
      </c>
      <c r="L24" s="97">
        <v>1</v>
      </c>
      <c r="M24" s="97" t="s">
        <v>2027</v>
      </c>
      <c r="N24" s="98">
        <v>0</v>
      </c>
      <c r="O24" s="98">
        <v>44998</v>
      </c>
      <c r="P24" s="98">
        <v>1349</v>
      </c>
      <c r="Q24" s="98"/>
    </row>
    <row r="25" spans="1:17" ht="18" customHeight="1" x14ac:dyDescent="0.2">
      <c r="A25" s="103" t="s">
        <v>2203</v>
      </c>
      <c r="B25" s="21" t="s">
        <v>2266</v>
      </c>
      <c r="C25" s="21">
        <v>70</v>
      </c>
      <c r="D25" s="21">
        <v>4</v>
      </c>
      <c r="E25" s="17" t="s">
        <v>1532</v>
      </c>
      <c r="F25" s="17" t="s">
        <v>2049</v>
      </c>
      <c r="G25" s="11" t="s">
        <v>289</v>
      </c>
      <c r="I25" s="97" t="s">
        <v>291</v>
      </c>
      <c r="J25" s="98" t="s">
        <v>1532</v>
      </c>
      <c r="K25" s="98" t="s">
        <v>2050</v>
      </c>
      <c r="L25" s="97">
        <v>1</v>
      </c>
      <c r="M25" s="97" t="s">
        <v>2027</v>
      </c>
      <c r="N25" s="98">
        <v>0</v>
      </c>
      <c r="O25" s="98">
        <v>56050</v>
      </c>
      <c r="P25" s="98">
        <v>1681</v>
      </c>
      <c r="Q25" s="98"/>
    </row>
    <row r="26" spans="1:17" ht="18" customHeight="1" x14ac:dyDescent="0.2">
      <c r="A26" s="103" t="s">
        <v>2204</v>
      </c>
      <c r="B26" s="21" t="s">
        <v>2266</v>
      </c>
      <c r="C26" s="21">
        <v>95</v>
      </c>
      <c r="D26" s="21">
        <v>4</v>
      </c>
      <c r="E26" s="17" t="s">
        <v>1532</v>
      </c>
      <c r="F26" s="17" t="s">
        <v>2050</v>
      </c>
      <c r="G26" s="11" t="s">
        <v>291</v>
      </c>
      <c r="I26" s="97" t="s">
        <v>293</v>
      </c>
      <c r="J26" s="98" t="s">
        <v>1532</v>
      </c>
      <c r="K26" s="98" t="s">
        <v>2051</v>
      </c>
      <c r="L26" s="97">
        <v>1</v>
      </c>
      <c r="M26" s="97" t="s">
        <v>2027</v>
      </c>
      <c r="N26" s="98">
        <v>0</v>
      </c>
      <c r="O26" s="98">
        <v>66313</v>
      </c>
      <c r="P26" s="98">
        <v>1989</v>
      </c>
      <c r="Q26" s="98"/>
    </row>
    <row r="27" spans="1:17" ht="18" customHeight="1" x14ac:dyDescent="0.2">
      <c r="A27" s="103" t="s">
        <v>2205</v>
      </c>
      <c r="B27" s="21" t="s">
        <v>2266</v>
      </c>
      <c r="C27" s="21">
        <v>120</v>
      </c>
      <c r="D27" s="21">
        <v>4</v>
      </c>
      <c r="E27" s="17" t="s">
        <v>1532</v>
      </c>
      <c r="F27" s="17" t="s">
        <v>2051</v>
      </c>
      <c r="G27" s="11" t="s">
        <v>293</v>
      </c>
      <c r="I27" s="97" t="s">
        <v>295</v>
      </c>
      <c r="J27" s="98" t="s">
        <v>1532</v>
      </c>
      <c r="K27" s="98" t="s">
        <v>2052</v>
      </c>
      <c r="L27" s="97">
        <v>1</v>
      </c>
      <c r="M27" s="97" t="s">
        <v>2027</v>
      </c>
      <c r="N27" s="98">
        <v>0</v>
      </c>
      <c r="O27" s="98">
        <v>76575</v>
      </c>
      <c r="P27" s="98">
        <v>2297</v>
      </c>
      <c r="Q27" s="98"/>
    </row>
    <row r="28" spans="1:17" ht="18" customHeight="1" x14ac:dyDescent="0.2">
      <c r="A28" s="103" t="s">
        <v>2206</v>
      </c>
      <c r="B28" s="21" t="s">
        <v>2266</v>
      </c>
      <c r="C28" s="21">
        <v>150</v>
      </c>
      <c r="D28" s="21">
        <v>4</v>
      </c>
      <c r="E28" s="17" t="s">
        <v>1532</v>
      </c>
      <c r="F28" s="17" t="s">
        <v>2052</v>
      </c>
      <c r="G28" s="11" t="s">
        <v>295</v>
      </c>
      <c r="I28" s="97" t="s">
        <v>297</v>
      </c>
      <c r="J28" s="98" t="s">
        <v>1532</v>
      </c>
      <c r="K28" s="98" t="s">
        <v>2053</v>
      </c>
      <c r="L28" s="97">
        <v>1</v>
      </c>
      <c r="M28" s="97" t="s">
        <v>2027</v>
      </c>
      <c r="N28" s="98">
        <v>0</v>
      </c>
      <c r="O28" s="98">
        <v>85259</v>
      </c>
      <c r="P28" s="98">
        <v>2557</v>
      </c>
      <c r="Q28" s="98"/>
    </row>
    <row r="29" spans="1:17" ht="18" customHeight="1" x14ac:dyDescent="0.2">
      <c r="A29" s="103" t="s">
        <v>2207</v>
      </c>
      <c r="B29" s="21" t="s">
        <v>2266</v>
      </c>
      <c r="C29" s="21">
        <v>185</v>
      </c>
      <c r="D29" s="21">
        <v>4</v>
      </c>
      <c r="E29" s="17" t="s">
        <v>1532</v>
      </c>
      <c r="F29" s="17" t="s">
        <v>2053</v>
      </c>
      <c r="G29" s="11" t="s">
        <v>297</v>
      </c>
      <c r="I29" s="97" t="s">
        <v>299</v>
      </c>
      <c r="J29" s="98" t="s">
        <v>1532</v>
      </c>
      <c r="K29" s="98" t="s">
        <v>2054</v>
      </c>
      <c r="L29" s="97">
        <v>1</v>
      </c>
      <c r="M29" s="97" t="s">
        <v>2027</v>
      </c>
      <c r="N29" s="98">
        <v>0</v>
      </c>
      <c r="O29" s="98">
        <v>107364</v>
      </c>
      <c r="P29" s="98">
        <v>3220</v>
      </c>
      <c r="Q29" s="98"/>
    </row>
    <row r="30" spans="1:17" ht="18" customHeight="1" x14ac:dyDescent="0.2">
      <c r="A30" s="103" t="s">
        <v>2208</v>
      </c>
      <c r="B30" s="21" t="s">
        <v>2266</v>
      </c>
      <c r="C30" s="21">
        <v>240</v>
      </c>
      <c r="D30" s="21">
        <v>4</v>
      </c>
      <c r="E30" s="17" t="s">
        <v>1532</v>
      </c>
      <c r="F30" s="17" t="s">
        <v>2054</v>
      </c>
      <c r="G30" s="11" t="s">
        <v>299</v>
      </c>
      <c r="I30" s="97" t="s">
        <v>301</v>
      </c>
      <c r="J30" s="98" t="s">
        <v>1532</v>
      </c>
      <c r="K30" s="98" t="s">
        <v>2055</v>
      </c>
      <c r="L30" s="97">
        <v>1</v>
      </c>
      <c r="M30" s="97" t="s">
        <v>2027</v>
      </c>
      <c r="N30" s="98">
        <v>0</v>
      </c>
      <c r="O30" s="98">
        <v>125521</v>
      </c>
      <c r="P30" s="98">
        <v>3765</v>
      </c>
      <c r="Q30" s="98"/>
    </row>
    <row r="31" spans="1:17" ht="18" customHeight="1" x14ac:dyDescent="0.2">
      <c r="A31" s="103" t="s">
        <v>2209</v>
      </c>
      <c r="B31" s="21" t="s">
        <v>2266</v>
      </c>
      <c r="C31" s="21">
        <v>300</v>
      </c>
      <c r="D31" s="21">
        <v>4</v>
      </c>
      <c r="E31" s="17" t="s">
        <v>1532</v>
      </c>
      <c r="F31" s="17" t="s">
        <v>2055</v>
      </c>
      <c r="G31" s="11" t="s">
        <v>301</v>
      </c>
      <c r="I31" s="97" t="s">
        <v>303</v>
      </c>
      <c r="J31" s="98" t="s">
        <v>2056</v>
      </c>
      <c r="K31" s="98" t="s">
        <v>2057</v>
      </c>
      <c r="L31" s="97">
        <v>1</v>
      </c>
      <c r="M31" s="97" t="s">
        <v>2027</v>
      </c>
      <c r="N31" s="98">
        <v>0</v>
      </c>
      <c r="O31" s="98">
        <v>4250</v>
      </c>
      <c r="P31" s="98">
        <v>127</v>
      </c>
      <c r="Q31" s="98"/>
    </row>
    <row r="32" spans="1:17" ht="18" customHeight="1" x14ac:dyDescent="0.2">
      <c r="A32" s="103" t="s">
        <v>2210</v>
      </c>
      <c r="B32" s="21" t="s">
        <v>2267</v>
      </c>
      <c r="C32" s="21">
        <v>1.5</v>
      </c>
      <c r="D32" s="21">
        <v>2</v>
      </c>
      <c r="E32" s="17" t="s">
        <v>1542</v>
      </c>
      <c r="F32" s="17" t="s">
        <v>2057</v>
      </c>
      <c r="G32" s="11" t="s">
        <v>2303</v>
      </c>
      <c r="I32" s="97" t="s">
        <v>305</v>
      </c>
      <c r="J32" s="98" t="s">
        <v>2058</v>
      </c>
      <c r="K32" s="98" t="s">
        <v>2059</v>
      </c>
      <c r="L32" s="97">
        <v>1</v>
      </c>
      <c r="M32" s="97" t="s">
        <v>2027</v>
      </c>
      <c r="N32" s="98">
        <v>0</v>
      </c>
      <c r="O32" s="98">
        <v>5769</v>
      </c>
      <c r="P32" s="98">
        <v>173</v>
      </c>
      <c r="Q32" s="98"/>
    </row>
    <row r="33" spans="1:17" ht="18" customHeight="1" x14ac:dyDescent="0.2">
      <c r="A33" s="103" t="s">
        <v>2211</v>
      </c>
      <c r="B33" s="21" t="s">
        <v>2267</v>
      </c>
      <c r="C33" s="21">
        <v>1.5</v>
      </c>
      <c r="D33" s="21">
        <v>3</v>
      </c>
      <c r="E33" s="17" t="s">
        <v>1542</v>
      </c>
      <c r="F33" s="17" t="s">
        <v>2059</v>
      </c>
      <c r="G33" s="11" t="s">
        <v>305</v>
      </c>
      <c r="I33" s="97" t="s">
        <v>307</v>
      </c>
      <c r="J33" s="98" t="s">
        <v>2060</v>
      </c>
      <c r="K33" s="98" t="s">
        <v>2061</v>
      </c>
      <c r="L33" s="97">
        <v>1</v>
      </c>
      <c r="M33" s="97" t="s">
        <v>2027</v>
      </c>
      <c r="N33" s="98">
        <v>0</v>
      </c>
      <c r="O33" s="98">
        <v>5769</v>
      </c>
      <c r="P33" s="98">
        <v>173</v>
      </c>
      <c r="Q33" s="98"/>
    </row>
    <row r="34" spans="1:17" ht="18" customHeight="1" x14ac:dyDescent="0.2">
      <c r="A34" s="103" t="s">
        <v>2212</v>
      </c>
      <c r="B34" s="21" t="s">
        <v>2267</v>
      </c>
      <c r="C34" s="21">
        <v>1.5</v>
      </c>
      <c r="D34" s="21">
        <v>4</v>
      </c>
      <c r="E34" s="17" t="s">
        <v>1542</v>
      </c>
      <c r="F34" s="17" t="s">
        <v>2066</v>
      </c>
      <c r="G34" s="11" t="s">
        <v>2304</v>
      </c>
      <c r="I34" s="97" t="s">
        <v>309</v>
      </c>
      <c r="J34" s="98" t="s">
        <v>2062</v>
      </c>
      <c r="K34" s="98" t="s">
        <v>2063</v>
      </c>
      <c r="L34" s="97">
        <v>1</v>
      </c>
      <c r="M34" s="97" t="s">
        <v>2027</v>
      </c>
      <c r="N34" s="98">
        <v>0</v>
      </c>
      <c r="O34" s="98">
        <v>6679</v>
      </c>
      <c r="P34" s="98">
        <v>200</v>
      </c>
      <c r="Q34" s="98"/>
    </row>
    <row r="35" spans="1:17" ht="18" customHeight="1" x14ac:dyDescent="0.2">
      <c r="A35" s="103" t="s">
        <v>2213</v>
      </c>
      <c r="B35" s="21" t="s">
        <v>2267</v>
      </c>
      <c r="C35" s="21">
        <v>1.5</v>
      </c>
      <c r="D35" s="21">
        <v>5</v>
      </c>
      <c r="E35" s="17" t="s">
        <v>1542</v>
      </c>
      <c r="F35" s="17" t="s">
        <v>2068</v>
      </c>
      <c r="G35" s="11" t="s">
        <v>2305</v>
      </c>
      <c r="I35" s="97" t="s">
        <v>311</v>
      </c>
      <c r="J35" s="98" t="s">
        <v>2064</v>
      </c>
      <c r="K35" s="98" t="s">
        <v>2029</v>
      </c>
      <c r="L35" s="97">
        <v>1</v>
      </c>
      <c r="M35" s="97" t="s">
        <v>2027</v>
      </c>
      <c r="N35" s="98">
        <v>0</v>
      </c>
      <c r="O35" s="98">
        <v>7894</v>
      </c>
      <c r="P35" s="98">
        <v>236</v>
      </c>
      <c r="Q35" s="98"/>
    </row>
    <row r="36" spans="1:17" ht="18" customHeight="1" x14ac:dyDescent="0.2">
      <c r="A36" s="103" t="s">
        <v>2214</v>
      </c>
      <c r="B36" s="21" t="s">
        <v>2267</v>
      </c>
      <c r="C36" s="21">
        <v>1.5</v>
      </c>
      <c r="D36" s="21">
        <v>6</v>
      </c>
      <c r="E36" s="17" t="s">
        <v>1542</v>
      </c>
      <c r="F36" s="17" t="s">
        <v>2070</v>
      </c>
      <c r="G36" s="11" t="s">
        <v>2306</v>
      </c>
      <c r="I36" s="97" t="s">
        <v>313</v>
      </c>
      <c r="J36" s="98" t="s">
        <v>2065</v>
      </c>
      <c r="K36" s="98" t="s">
        <v>2066</v>
      </c>
      <c r="L36" s="97">
        <v>1</v>
      </c>
      <c r="M36" s="97" t="s">
        <v>2027</v>
      </c>
      <c r="N36" s="98">
        <v>0</v>
      </c>
      <c r="O36" s="98">
        <v>7894</v>
      </c>
      <c r="P36" s="98">
        <v>236</v>
      </c>
      <c r="Q36" s="98"/>
    </row>
    <row r="37" spans="1:17" ht="18" customHeight="1" x14ac:dyDescent="0.2">
      <c r="A37" s="103" t="s">
        <v>2215</v>
      </c>
      <c r="B37" s="21" t="s">
        <v>2267</v>
      </c>
      <c r="C37" s="21">
        <v>1.5</v>
      </c>
      <c r="D37" s="21">
        <v>7</v>
      </c>
      <c r="E37" s="17" t="s">
        <v>1542</v>
      </c>
      <c r="F37" s="17" t="s">
        <v>2072</v>
      </c>
      <c r="G37" s="11" t="s">
        <v>2307</v>
      </c>
      <c r="I37" s="97" t="s">
        <v>315</v>
      </c>
      <c r="J37" s="98" t="s">
        <v>2067</v>
      </c>
      <c r="K37" s="98" t="s">
        <v>2068</v>
      </c>
      <c r="L37" s="97">
        <v>1</v>
      </c>
      <c r="M37" s="97" t="s">
        <v>2027</v>
      </c>
      <c r="N37" s="98">
        <v>0</v>
      </c>
      <c r="O37" s="98">
        <v>9716</v>
      </c>
      <c r="P37" s="98">
        <v>291</v>
      </c>
      <c r="Q37" s="98"/>
    </row>
    <row r="38" spans="1:17" ht="18" customHeight="1" x14ac:dyDescent="0.2">
      <c r="A38" s="103" t="s">
        <v>2216</v>
      </c>
      <c r="B38" s="21" t="s">
        <v>2267</v>
      </c>
      <c r="C38" s="21">
        <v>1.5</v>
      </c>
      <c r="D38" s="21">
        <v>8</v>
      </c>
      <c r="E38" s="17" t="s">
        <v>1542</v>
      </c>
      <c r="F38" s="17" t="s">
        <v>2074</v>
      </c>
      <c r="G38" s="11" t="s">
        <v>2308</v>
      </c>
      <c r="I38" s="97" t="s">
        <v>317</v>
      </c>
      <c r="J38" s="98" t="s">
        <v>2069</v>
      </c>
      <c r="K38" s="98" t="s">
        <v>2070</v>
      </c>
      <c r="L38" s="97">
        <v>1</v>
      </c>
      <c r="M38" s="97" t="s">
        <v>2027</v>
      </c>
      <c r="N38" s="98">
        <v>0</v>
      </c>
      <c r="O38" s="98">
        <v>10627</v>
      </c>
      <c r="P38" s="98">
        <v>318</v>
      </c>
      <c r="Q38" s="98"/>
    </row>
    <row r="39" spans="1:17" ht="18" customHeight="1" x14ac:dyDescent="0.2">
      <c r="A39" s="103" t="s">
        <v>2217</v>
      </c>
      <c r="B39" s="21" t="s">
        <v>2267</v>
      </c>
      <c r="C39" s="21">
        <v>1.5</v>
      </c>
      <c r="D39" s="21">
        <v>10</v>
      </c>
      <c r="E39" s="17" t="s">
        <v>1542</v>
      </c>
      <c r="F39" s="17" t="s">
        <v>2076</v>
      </c>
      <c r="G39" s="11" t="s">
        <v>323</v>
      </c>
      <c r="I39" s="97" t="s">
        <v>319</v>
      </c>
      <c r="J39" s="98" t="s">
        <v>2071</v>
      </c>
      <c r="K39" s="98" t="s">
        <v>2072</v>
      </c>
      <c r="L39" s="97">
        <v>1</v>
      </c>
      <c r="M39" s="97" t="s">
        <v>2027</v>
      </c>
      <c r="N39" s="98">
        <v>0</v>
      </c>
      <c r="O39" s="98">
        <v>11841</v>
      </c>
      <c r="P39" s="98">
        <v>355</v>
      </c>
      <c r="Q39" s="98"/>
    </row>
    <row r="40" spans="1:17" ht="18" customHeight="1" x14ac:dyDescent="0.2">
      <c r="A40" s="103" t="s">
        <v>1544</v>
      </c>
      <c r="B40" s="21" t="s">
        <v>2267</v>
      </c>
      <c r="C40" s="21">
        <v>1.5</v>
      </c>
      <c r="D40" s="21">
        <v>12</v>
      </c>
      <c r="E40" s="17" t="s">
        <v>1542</v>
      </c>
      <c r="F40" s="17" t="s">
        <v>2078</v>
      </c>
      <c r="G40" s="11" t="s">
        <v>324</v>
      </c>
      <c r="I40" s="97" t="s">
        <v>321</v>
      </c>
      <c r="J40" s="98" t="s">
        <v>2073</v>
      </c>
      <c r="K40" s="98" t="s">
        <v>2074</v>
      </c>
      <c r="L40" s="97">
        <v>1</v>
      </c>
      <c r="M40" s="97" t="s">
        <v>2027</v>
      </c>
      <c r="N40" s="98">
        <v>0</v>
      </c>
      <c r="O40" s="98">
        <v>12752</v>
      </c>
      <c r="P40" s="98">
        <v>382</v>
      </c>
      <c r="Q40" s="98"/>
    </row>
    <row r="41" spans="1:17" ht="18" customHeight="1" x14ac:dyDescent="0.2">
      <c r="A41" s="103" t="s">
        <v>2218</v>
      </c>
      <c r="B41" s="21" t="s">
        <v>2267</v>
      </c>
      <c r="C41" s="21">
        <v>1.5</v>
      </c>
      <c r="D41" s="21">
        <v>15</v>
      </c>
      <c r="E41" s="17" t="s">
        <v>1542</v>
      </c>
      <c r="F41" s="17" t="s">
        <v>2080</v>
      </c>
      <c r="G41" s="11" t="s">
        <v>325</v>
      </c>
      <c r="I41" s="97" t="s">
        <v>323</v>
      </c>
      <c r="J41" s="98" t="s">
        <v>2075</v>
      </c>
      <c r="K41" s="98" t="s">
        <v>2076</v>
      </c>
      <c r="L41" s="97">
        <v>1</v>
      </c>
      <c r="M41" s="97" t="s">
        <v>2027</v>
      </c>
      <c r="N41" s="98">
        <v>0</v>
      </c>
      <c r="O41" s="98">
        <v>14574</v>
      </c>
      <c r="P41" s="98">
        <v>437</v>
      </c>
      <c r="Q41" s="98"/>
    </row>
    <row r="42" spans="1:17" ht="18" customHeight="1" x14ac:dyDescent="0.2">
      <c r="A42" s="103" t="s">
        <v>2219</v>
      </c>
      <c r="B42" s="21" t="s">
        <v>2267</v>
      </c>
      <c r="C42" s="21">
        <v>1.5</v>
      </c>
      <c r="D42" s="21">
        <v>20</v>
      </c>
      <c r="E42" s="17" t="s">
        <v>1542</v>
      </c>
      <c r="F42" s="17" t="s">
        <v>2082</v>
      </c>
      <c r="G42" s="11" t="s">
        <v>326</v>
      </c>
      <c r="I42" s="97" t="s">
        <v>324</v>
      </c>
      <c r="J42" s="98" t="s">
        <v>2077</v>
      </c>
      <c r="K42" s="98" t="s">
        <v>2078</v>
      </c>
      <c r="L42" s="97">
        <v>1</v>
      </c>
      <c r="M42" s="97" t="s">
        <v>2027</v>
      </c>
      <c r="N42" s="98">
        <v>0</v>
      </c>
      <c r="O42" s="98">
        <v>16396</v>
      </c>
      <c r="P42" s="98">
        <v>491</v>
      </c>
      <c r="Q42" s="98"/>
    </row>
    <row r="43" spans="1:17" ht="18" customHeight="1" x14ac:dyDescent="0.2">
      <c r="A43" s="103" t="s">
        <v>2220</v>
      </c>
      <c r="B43" s="21" t="s">
        <v>2267</v>
      </c>
      <c r="C43" s="21">
        <v>1.5</v>
      </c>
      <c r="D43" s="21">
        <v>25</v>
      </c>
      <c r="E43" s="17" t="s">
        <v>1542</v>
      </c>
      <c r="F43" s="17" t="s">
        <v>2084</v>
      </c>
      <c r="G43" s="11" t="s">
        <v>327</v>
      </c>
      <c r="I43" s="97" t="s">
        <v>325</v>
      </c>
      <c r="J43" s="98" t="s">
        <v>2079</v>
      </c>
      <c r="K43" s="98" t="s">
        <v>2080</v>
      </c>
      <c r="L43" s="97">
        <v>1</v>
      </c>
      <c r="M43" s="97" t="s">
        <v>2027</v>
      </c>
      <c r="N43" s="98">
        <v>0</v>
      </c>
      <c r="O43" s="98">
        <v>18825</v>
      </c>
      <c r="P43" s="98">
        <v>564</v>
      </c>
      <c r="Q43" s="98"/>
    </row>
    <row r="44" spans="1:17" ht="18" customHeight="1" x14ac:dyDescent="0.2">
      <c r="A44" s="103" t="s">
        <v>2221</v>
      </c>
      <c r="B44" s="21" t="s">
        <v>2267</v>
      </c>
      <c r="C44" s="21">
        <v>1.5</v>
      </c>
      <c r="D44" s="21">
        <v>30</v>
      </c>
      <c r="E44" s="17" t="s">
        <v>1542</v>
      </c>
      <c r="F44" s="17" t="s">
        <v>2086</v>
      </c>
      <c r="G44" s="11" t="s">
        <v>328</v>
      </c>
      <c r="I44" s="97" t="s">
        <v>326</v>
      </c>
      <c r="J44" s="98" t="s">
        <v>2081</v>
      </c>
      <c r="K44" s="98" t="s">
        <v>2082</v>
      </c>
      <c r="L44" s="97">
        <v>1</v>
      </c>
      <c r="M44" s="97" t="s">
        <v>2027</v>
      </c>
      <c r="N44" s="98">
        <v>0</v>
      </c>
      <c r="O44" s="98">
        <v>22468</v>
      </c>
      <c r="P44" s="98">
        <v>674</v>
      </c>
      <c r="Q44" s="98"/>
    </row>
    <row r="45" spans="1:17" ht="18" customHeight="1" x14ac:dyDescent="0.2">
      <c r="A45" s="103" t="s">
        <v>2222</v>
      </c>
      <c r="B45" s="21" t="s">
        <v>2267</v>
      </c>
      <c r="C45" s="21">
        <v>1.5</v>
      </c>
      <c r="D45" s="21">
        <v>40</v>
      </c>
      <c r="E45" s="17" t="s">
        <v>1542</v>
      </c>
      <c r="F45" s="17" t="s">
        <v>2088</v>
      </c>
      <c r="G45" s="11" t="s">
        <v>329</v>
      </c>
      <c r="I45" s="97" t="s">
        <v>327</v>
      </c>
      <c r="J45" s="98" t="s">
        <v>2083</v>
      </c>
      <c r="K45" s="98" t="s">
        <v>2084</v>
      </c>
      <c r="L45" s="97">
        <v>1</v>
      </c>
      <c r="M45" s="97" t="s">
        <v>2027</v>
      </c>
      <c r="N45" s="98">
        <v>0</v>
      </c>
      <c r="O45" s="98">
        <v>29755</v>
      </c>
      <c r="P45" s="98">
        <v>892</v>
      </c>
      <c r="Q45" s="98"/>
    </row>
    <row r="46" spans="1:17" ht="18" customHeight="1" x14ac:dyDescent="0.2">
      <c r="A46" s="103" t="s">
        <v>2223</v>
      </c>
      <c r="B46" s="21" t="s">
        <v>2267</v>
      </c>
      <c r="C46" s="21">
        <v>1.5</v>
      </c>
      <c r="D46" s="21">
        <v>50</v>
      </c>
      <c r="E46" s="17" t="s">
        <v>1542</v>
      </c>
      <c r="F46" s="17" t="s">
        <v>2090</v>
      </c>
      <c r="G46" s="11" t="s">
        <v>330</v>
      </c>
      <c r="I46" s="97" t="s">
        <v>328</v>
      </c>
      <c r="J46" s="98" t="s">
        <v>2085</v>
      </c>
      <c r="K46" s="98" t="s">
        <v>2086</v>
      </c>
      <c r="L46" s="97">
        <v>1</v>
      </c>
      <c r="M46" s="97" t="s">
        <v>2027</v>
      </c>
      <c r="N46" s="98">
        <v>0</v>
      </c>
      <c r="O46" s="98">
        <v>29755</v>
      </c>
      <c r="P46" s="98">
        <v>892</v>
      </c>
      <c r="Q46" s="98"/>
    </row>
    <row r="47" spans="1:17" ht="18" customHeight="1" x14ac:dyDescent="0.2">
      <c r="A47" s="103" t="s">
        <v>2224</v>
      </c>
      <c r="B47" s="21" t="s">
        <v>2268</v>
      </c>
      <c r="C47" s="21">
        <v>1.5</v>
      </c>
      <c r="D47" s="21">
        <v>2</v>
      </c>
      <c r="E47" s="17" t="s">
        <v>1551</v>
      </c>
      <c r="F47" s="17" t="s">
        <v>2057</v>
      </c>
      <c r="G47" s="11" t="s">
        <v>2309</v>
      </c>
      <c r="I47" s="97" t="s">
        <v>329</v>
      </c>
      <c r="J47" s="98" t="s">
        <v>2087</v>
      </c>
      <c r="K47" s="98" t="s">
        <v>2088</v>
      </c>
      <c r="L47" s="97">
        <v>1</v>
      </c>
      <c r="M47" s="97" t="s">
        <v>2027</v>
      </c>
      <c r="N47" s="98">
        <v>0</v>
      </c>
      <c r="O47" s="98">
        <v>34006</v>
      </c>
      <c r="P47" s="98">
        <v>1020</v>
      </c>
      <c r="Q47" s="98"/>
    </row>
    <row r="48" spans="1:17" ht="18" customHeight="1" x14ac:dyDescent="0.2">
      <c r="A48" s="103" t="s">
        <v>2225</v>
      </c>
      <c r="B48" s="21" t="s">
        <v>2268</v>
      </c>
      <c r="C48" s="21">
        <v>1.5</v>
      </c>
      <c r="D48" s="21">
        <v>3</v>
      </c>
      <c r="E48" s="17" t="s">
        <v>1551</v>
      </c>
      <c r="F48" s="17" t="s">
        <v>2059</v>
      </c>
      <c r="G48" s="11" t="s">
        <v>332</v>
      </c>
      <c r="I48" s="97" t="s">
        <v>330</v>
      </c>
      <c r="J48" s="98" t="s">
        <v>2089</v>
      </c>
      <c r="K48" s="98" t="s">
        <v>2090</v>
      </c>
      <c r="L48" s="97">
        <v>1</v>
      </c>
      <c r="M48" s="97" t="s">
        <v>2027</v>
      </c>
      <c r="N48" s="98">
        <v>0</v>
      </c>
      <c r="O48" s="98">
        <v>34006</v>
      </c>
      <c r="P48" s="98">
        <v>1020</v>
      </c>
      <c r="Q48" s="98"/>
    </row>
    <row r="49" spans="1:17" ht="18" customHeight="1" x14ac:dyDescent="0.2">
      <c r="A49" s="103" t="s">
        <v>2226</v>
      </c>
      <c r="B49" s="21" t="s">
        <v>2268</v>
      </c>
      <c r="C49" s="21">
        <v>1.5</v>
      </c>
      <c r="D49" s="21">
        <v>4</v>
      </c>
      <c r="E49" s="17" t="s">
        <v>1551</v>
      </c>
      <c r="F49" s="17" t="s">
        <v>2066</v>
      </c>
      <c r="G49" s="11" t="s">
        <v>333</v>
      </c>
      <c r="I49" s="97" t="s">
        <v>331</v>
      </c>
      <c r="J49" s="98" t="s">
        <v>1896</v>
      </c>
      <c r="K49" s="98" t="s">
        <v>2057</v>
      </c>
      <c r="L49" s="97">
        <v>1</v>
      </c>
      <c r="M49" s="97" t="s">
        <v>2027</v>
      </c>
      <c r="N49" s="98">
        <v>0</v>
      </c>
      <c r="O49" s="98">
        <v>4250</v>
      </c>
      <c r="P49" s="98">
        <v>127</v>
      </c>
      <c r="Q49" s="98"/>
    </row>
    <row r="50" spans="1:17" ht="18" customHeight="1" x14ac:dyDescent="0.2">
      <c r="A50" s="103" t="s">
        <v>2227</v>
      </c>
      <c r="B50" s="21" t="s">
        <v>2268</v>
      </c>
      <c r="C50" s="21">
        <v>1.5</v>
      </c>
      <c r="D50" s="21">
        <v>5</v>
      </c>
      <c r="E50" s="17" t="s">
        <v>1551</v>
      </c>
      <c r="F50" s="17" t="s">
        <v>2068</v>
      </c>
      <c r="G50" s="11" t="s">
        <v>334</v>
      </c>
      <c r="I50" s="97" t="s">
        <v>332</v>
      </c>
      <c r="J50" s="98" t="s">
        <v>1896</v>
      </c>
      <c r="K50" s="98" t="s">
        <v>2059</v>
      </c>
      <c r="L50" s="97">
        <v>1</v>
      </c>
      <c r="M50" s="97" t="s">
        <v>2027</v>
      </c>
      <c r="N50" s="98">
        <v>0</v>
      </c>
      <c r="O50" s="98">
        <v>5769</v>
      </c>
      <c r="P50" s="98">
        <v>173</v>
      </c>
      <c r="Q50" s="98"/>
    </row>
    <row r="51" spans="1:17" ht="18" customHeight="1" x14ac:dyDescent="0.2">
      <c r="A51" s="103" t="s">
        <v>2228</v>
      </c>
      <c r="B51" s="21" t="s">
        <v>2268</v>
      </c>
      <c r="C51" s="21">
        <v>1.5</v>
      </c>
      <c r="D51" s="21">
        <v>6</v>
      </c>
      <c r="E51" s="17" t="s">
        <v>1551</v>
      </c>
      <c r="F51" s="17" t="s">
        <v>2070</v>
      </c>
      <c r="G51" s="11" t="s">
        <v>335</v>
      </c>
      <c r="I51" s="97" t="s">
        <v>333</v>
      </c>
      <c r="J51" s="98" t="s">
        <v>1551</v>
      </c>
      <c r="K51" s="98" t="s">
        <v>2066</v>
      </c>
      <c r="L51" s="97">
        <v>1</v>
      </c>
      <c r="M51" s="97" t="s">
        <v>2027</v>
      </c>
      <c r="N51" s="98">
        <v>0</v>
      </c>
      <c r="O51" s="98">
        <v>7894</v>
      </c>
      <c r="P51" s="98">
        <v>236</v>
      </c>
      <c r="Q51" s="98"/>
    </row>
    <row r="52" spans="1:17" ht="18" customHeight="1" x14ac:dyDescent="0.2">
      <c r="A52" s="103" t="s">
        <v>2229</v>
      </c>
      <c r="B52" s="21" t="s">
        <v>2268</v>
      </c>
      <c r="C52" s="21">
        <v>1.5</v>
      </c>
      <c r="D52" s="21">
        <v>7</v>
      </c>
      <c r="E52" s="17" t="s">
        <v>1551</v>
      </c>
      <c r="F52" s="17" t="s">
        <v>2072</v>
      </c>
      <c r="G52" s="11" t="s">
        <v>336</v>
      </c>
      <c r="I52" s="97" t="s">
        <v>334</v>
      </c>
      <c r="J52" s="98" t="s">
        <v>1551</v>
      </c>
      <c r="K52" s="98" t="s">
        <v>2068</v>
      </c>
      <c r="L52" s="97">
        <v>1</v>
      </c>
      <c r="M52" s="97" t="s">
        <v>2027</v>
      </c>
      <c r="N52" s="98">
        <v>0</v>
      </c>
      <c r="O52" s="98">
        <v>9716</v>
      </c>
      <c r="P52" s="98">
        <v>291</v>
      </c>
      <c r="Q52" s="98"/>
    </row>
    <row r="53" spans="1:17" ht="18" customHeight="1" x14ac:dyDescent="0.2">
      <c r="A53" s="103" t="s">
        <v>2230</v>
      </c>
      <c r="B53" s="21" t="s">
        <v>2268</v>
      </c>
      <c r="C53" s="21">
        <v>1.5</v>
      </c>
      <c r="D53" s="21">
        <v>8</v>
      </c>
      <c r="E53" s="17" t="s">
        <v>1551</v>
      </c>
      <c r="F53" s="17" t="s">
        <v>2074</v>
      </c>
      <c r="G53" s="11" t="s">
        <v>337</v>
      </c>
      <c r="I53" s="97" t="s">
        <v>335</v>
      </c>
      <c r="J53" s="98" t="s">
        <v>1551</v>
      </c>
      <c r="K53" s="98" t="s">
        <v>2070</v>
      </c>
      <c r="L53" s="97">
        <v>1</v>
      </c>
      <c r="M53" s="97" t="s">
        <v>2027</v>
      </c>
      <c r="N53" s="98">
        <v>0</v>
      </c>
      <c r="O53" s="98">
        <v>10627</v>
      </c>
      <c r="P53" s="98">
        <v>318</v>
      </c>
      <c r="Q53" s="98"/>
    </row>
    <row r="54" spans="1:17" ht="18" customHeight="1" x14ac:dyDescent="0.2">
      <c r="A54" s="103" t="s">
        <v>2231</v>
      </c>
      <c r="B54" s="21" t="s">
        <v>2268</v>
      </c>
      <c r="C54" s="21">
        <v>1.5</v>
      </c>
      <c r="D54" s="21">
        <v>10</v>
      </c>
      <c r="E54" s="17" t="s">
        <v>1551</v>
      </c>
      <c r="F54" s="17" t="s">
        <v>2076</v>
      </c>
      <c r="G54" s="11" t="s">
        <v>338</v>
      </c>
      <c r="I54" s="97" t="s">
        <v>336</v>
      </c>
      <c r="J54" s="98" t="s">
        <v>1551</v>
      </c>
      <c r="K54" s="98" t="s">
        <v>2072</v>
      </c>
      <c r="L54" s="97">
        <v>1</v>
      </c>
      <c r="M54" s="97" t="s">
        <v>2027</v>
      </c>
      <c r="N54" s="98">
        <v>0</v>
      </c>
      <c r="O54" s="98">
        <v>11841</v>
      </c>
      <c r="P54" s="98">
        <v>355</v>
      </c>
      <c r="Q54" s="98"/>
    </row>
    <row r="55" spans="1:17" ht="18" customHeight="1" x14ac:dyDescent="0.2">
      <c r="A55" s="103" t="s">
        <v>2232</v>
      </c>
      <c r="B55" s="21" t="s">
        <v>2268</v>
      </c>
      <c r="C55" s="21">
        <v>1.5</v>
      </c>
      <c r="D55" s="21">
        <v>12</v>
      </c>
      <c r="E55" s="17" t="s">
        <v>1551</v>
      </c>
      <c r="F55" s="17" t="s">
        <v>2078</v>
      </c>
      <c r="G55" s="11" t="s">
        <v>339</v>
      </c>
      <c r="I55" s="97" t="s">
        <v>337</v>
      </c>
      <c r="J55" s="98" t="s">
        <v>1551</v>
      </c>
      <c r="K55" s="98" t="s">
        <v>2074</v>
      </c>
      <c r="L55" s="97">
        <v>1</v>
      </c>
      <c r="M55" s="97" t="s">
        <v>2027</v>
      </c>
      <c r="N55" s="98">
        <v>0</v>
      </c>
      <c r="O55" s="98">
        <v>12752</v>
      </c>
      <c r="P55" s="98">
        <v>382</v>
      </c>
      <c r="Q55" s="98"/>
    </row>
    <row r="56" spans="1:17" ht="18" customHeight="1" x14ac:dyDescent="0.2">
      <c r="A56" s="103" t="s">
        <v>2233</v>
      </c>
      <c r="B56" s="21" t="s">
        <v>2268</v>
      </c>
      <c r="C56" s="21">
        <v>1.5</v>
      </c>
      <c r="D56" s="21">
        <v>15</v>
      </c>
      <c r="E56" s="17" t="s">
        <v>1551</v>
      </c>
      <c r="F56" s="17" t="s">
        <v>2080</v>
      </c>
      <c r="G56" s="11" t="s">
        <v>340</v>
      </c>
      <c r="I56" s="97" t="s">
        <v>338</v>
      </c>
      <c r="J56" s="98" t="s">
        <v>1551</v>
      </c>
      <c r="K56" s="98" t="s">
        <v>2076</v>
      </c>
      <c r="L56" s="97">
        <v>1</v>
      </c>
      <c r="M56" s="97" t="s">
        <v>2027</v>
      </c>
      <c r="N56" s="98">
        <v>0</v>
      </c>
      <c r="O56" s="98">
        <v>14574</v>
      </c>
      <c r="P56" s="98">
        <v>437</v>
      </c>
      <c r="Q56" s="98"/>
    </row>
    <row r="57" spans="1:17" ht="18" customHeight="1" x14ac:dyDescent="0.2">
      <c r="A57" s="103" t="s">
        <v>2234</v>
      </c>
      <c r="B57" s="21" t="s">
        <v>2268</v>
      </c>
      <c r="C57" s="21">
        <v>1.5</v>
      </c>
      <c r="D57" s="21">
        <v>20</v>
      </c>
      <c r="E57" s="17" t="s">
        <v>1551</v>
      </c>
      <c r="F57" s="17" t="s">
        <v>2082</v>
      </c>
      <c r="G57" s="11" t="s">
        <v>341</v>
      </c>
      <c r="I57" s="97" t="s">
        <v>339</v>
      </c>
      <c r="J57" s="98" t="s">
        <v>1551</v>
      </c>
      <c r="K57" s="98" t="s">
        <v>2078</v>
      </c>
      <c r="L57" s="97">
        <v>1</v>
      </c>
      <c r="M57" s="97" t="s">
        <v>2027</v>
      </c>
      <c r="N57" s="98">
        <v>0</v>
      </c>
      <c r="O57" s="98">
        <v>16396</v>
      </c>
      <c r="P57" s="98">
        <v>491</v>
      </c>
      <c r="Q57" s="98"/>
    </row>
    <row r="58" spans="1:17" ht="18" customHeight="1" x14ac:dyDescent="0.2">
      <c r="A58" s="103" t="s">
        <v>2235</v>
      </c>
      <c r="B58" s="21" t="s">
        <v>2268</v>
      </c>
      <c r="C58" s="21">
        <v>1.5</v>
      </c>
      <c r="D58" s="21">
        <v>25</v>
      </c>
      <c r="E58" s="17" t="s">
        <v>1551</v>
      </c>
      <c r="F58" s="17" t="s">
        <v>2084</v>
      </c>
      <c r="G58" s="11" t="s">
        <v>342</v>
      </c>
      <c r="I58" s="97" t="s">
        <v>340</v>
      </c>
      <c r="J58" s="98" t="s">
        <v>1551</v>
      </c>
      <c r="K58" s="98" t="s">
        <v>2080</v>
      </c>
      <c r="L58" s="97">
        <v>1</v>
      </c>
      <c r="M58" s="97" t="s">
        <v>2027</v>
      </c>
      <c r="N58" s="98">
        <v>0</v>
      </c>
      <c r="O58" s="98">
        <v>18825</v>
      </c>
      <c r="P58" s="98">
        <v>564</v>
      </c>
      <c r="Q58" s="98"/>
    </row>
    <row r="59" spans="1:17" ht="18" customHeight="1" x14ac:dyDescent="0.2">
      <c r="A59" s="103" t="s">
        <v>2236</v>
      </c>
      <c r="B59" s="21" t="s">
        <v>2268</v>
      </c>
      <c r="C59" s="21">
        <v>1.5</v>
      </c>
      <c r="D59" s="21">
        <v>30</v>
      </c>
      <c r="E59" s="17" t="s">
        <v>1551</v>
      </c>
      <c r="F59" s="17" t="s">
        <v>2086</v>
      </c>
      <c r="G59" s="11" t="s">
        <v>343</v>
      </c>
      <c r="I59" s="97" t="s">
        <v>341</v>
      </c>
      <c r="J59" s="98" t="s">
        <v>1551</v>
      </c>
      <c r="K59" s="98" t="s">
        <v>2082</v>
      </c>
      <c r="L59" s="97">
        <v>1</v>
      </c>
      <c r="M59" s="97" t="s">
        <v>2027</v>
      </c>
      <c r="N59" s="98">
        <v>0</v>
      </c>
      <c r="O59" s="98">
        <v>22468</v>
      </c>
      <c r="P59" s="98">
        <v>674</v>
      </c>
      <c r="Q59" s="98"/>
    </row>
    <row r="60" spans="1:17" ht="18" customHeight="1" x14ac:dyDescent="0.2">
      <c r="A60" s="103" t="s">
        <v>2237</v>
      </c>
      <c r="B60" s="21" t="s">
        <v>2268</v>
      </c>
      <c r="C60" s="21">
        <v>1.5</v>
      </c>
      <c r="D60" s="21">
        <v>40</v>
      </c>
      <c r="E60" s="17" t="s">
        <v>1551</v>
      </c>
      <c r="F60" s="17" t="s">
        <v>2088</v>
      </c>
      <c r="G60" s="11" t="s">
        <v>344</v>
      </c>
      <c r="I60" s="97" t="s">
        <v>342</v>
      </c>
      <c r="J60" s="98" t="s">
        <v>1551</v>
      </c>
      <c r="K60" s="98" t="s">
        <v>2084</v>
      </c>
      <c r="L60" s="97">
        <v>1</v>
      </c>
      <c r="M60" s="97" t="s">
        <v>2027</v>
      </c>
      <c r="N60" s="98">
        <v>0</v>
      </c>
      <c r="O60" s="98">
        <v>29755</v>
      </c>
      <c r="P60" s="98">
        <v>892</v>
      </c>
      <c r="Q60" s="98"/>
    </row>
    <row r="61" spans="1:17" ht="18" customHeight="1" x14ac:dyDescent="0.2">
      <c r="A61" s="103" t="s">
        <v>2238</v>
      </c>
      <c r="B61" s="21" t="s">
        <v>2268</v>
      </c>
      <c r="C61" s="21">
        <v>1.5</v>
      </c>
      <c r="D61" s="21">
        <v>50</v>
      </c>
      <c r="E61" s="17" t="s">
        <v>1551</v>
      </c>
      <c r="F61" s="17" t="s">
        <v>2090</v>
      </c>
      <c r="G61" s="11" t="s">
        <v>207</v>
      </c>
      <c r="I61" s="97" t="s">
        <v>343</v>
      </c>
      <c r="J61" s="98" t="s">
        <v>1551</v>
      </c>
      <c r="K61" s="98" t="s">
        <v>2086</v>
      </c>
      <c r="L61" s="97">
        <v>1</v>
      </c>
      <c r="M61" s="97" t="s">
        <v>2027</v>
      </c>
      <c r="N61" s="98">
        <v>0</v>
      </c>
      <c r="O61" s="98">
        <v>29755</v>
      </c>
      <c r="P61" s="98">
        <v>892</v>
      </c>
      <c r="Q61" s="98"/>
    </row>
    <row r="62" spans="1:17" ht="18" customHeight="1" x14ac:dyDescent="0.2">
      <c r="A62" s="103" t="s">
        <v>2239</v>
      </c>
      <c r="B62" s="21" t="s">
        <v>2269</v>
      </c>
      <c r="C62" s="104">
        <v>2.5</v>
      </c>
      <c r="D62" s="21"/>
      <c r="E62" s="17" t="s">
        <v>1555</v>
      </c>
      <c r="F62" s="17" t="s">
        <v>1560</v>
      </c>
      <c r="G62" s="11" t="s">
        <v>2310</v>
      </c>
      <c r="I62" s="97" t="s">
        <v>344</v>
      </c>
      <c r="J62" s="98" t="s">
        <v>1551</v>
      </c>
      <c r="K62" s="98" t="s">
        <v>2088</v>
      </c>
      <c r="L62" s="97">
        <v>1</v>
      </c>
      <c r="M62" s="97" t="s">
        <v>2027</v>
      </c>
      <c r="N62" s="98">
        <v>0</v>
      </c>
      <c r="O62" s="98">
        <v>34006</v>
      </c>
      <c r="P62" s="98">
        <v>1020</v>
      </c>
      <c r="Q62" s="98"/>
    </row>
    <row r="63" spans="1:17" ht="18" customHeight="1" x14ac:dyDescent="0.2">
      <c r="A63" s="103" t="s">
        <v>2240</v>
      </c>
      <c r="B63" s="21" t="s">
        <v>2269</v>
      </c>
      <c r="C63" s="104">
        <v>4</v>
      </c>
      <c r="D63" s="21"/>
      <c r="E63" s="17" t="s">
        <v>1555</v>
      </c>
      <c r="F63" s="17" t="s">
        <v>2275</v>
      </c>
      <c r="G63" s="11" t="s">
        <v>2310</v>
      </c>
      <c r="I63" s="97" t="s">
        <v>207</v>
      </c>
      <c r="J63" s="98" t="s">
        <v>1551</v>
      </c>
      <c r="K63" s="98" t="s">
        <v>2090</v>
      </c>
      <c r="L63" s="97">
        <v>1</v>
      </c>
      <c r="M63" s="97" t="s">
        <v>2027</v>
      </c>
      <c r="N63" s="98">
        <v>0</v>
      </c>
      <c r="O63" s="98">
        <v>34006</v>
      </c>
      <c r="P63" s="98">
        <v>1020</v>
      </c>
      <c r="Q63" s="98"/>
    </row>
    <row r="64" spans="1:17" ht="18" customHeight="1" x14ac:dyDescent="0.2">
      <c r="A64" s="103" t="s">
        <v>2241</v>
      </c>
      <c r="B64" s="21" t="s">
        <v>2269</v>
      </c>
      <c r="C64" s="104">
        <v>6</v>
      </c>
      <c r="D64" s="21"/>
      <c r="E64" s="17" t="s">
        <v>1555</v>
      </c>
      <c r="F64" s="17" t="s">
        <v>2276</v>
      </c>
      <c r="G64" s="11" t="s">
        <v>208</v>
      </c>
      <c r="I64" s="97" t="s">
        <v>345</v>
      </c>
      <c r="J64" s="98" t="s">
        <v>1894</v>
      </c>
      <c r="K64" s="98" t="s">
        <v>2091</v>
      </c>
      <c r="L64" s="97">
        <v>1</v>
      </c>
      <c r="M64" s="97" t="s">
        <v>2027</v>
      </c>
      <c r="N64" s="98">
        <v>0</v>
      </c>
      <c r="O64" s="98">
        <v>2735</v>
      </c>
      <c r="P64" s="98">
        <v>82</v>
      </c>
      <c r="Q64" s="98"/>
    </row>
    <row r="65" spans="1:17" ht="18" customHeight="1" x14ac:dyDescent="0.2">
      <c r="A65" s="103" t="s">
        <v>2242</v>
      </c>
      <c r="B65" s="21" t="s">
        <v>2269</v>
      </c>
      <c r="C65" s="104">
        <v>10</v>
      </c>
      <c r="D65" s="21"/>
      <c r="E65" s="17" t="s">
        <v>1555</v>
      </c>
      <c r="F65" s="17" t="s">
        <v>2277</v>
      </c>
      <c r="G65" s="11" t="s">
        <v>346</v>
      </c>
      <c r="I65" s="97" t="s">
        <v>208</v>
      </c>
      <c r="J65" s="98" t="s">
        <v>1894</v>
      </c>
      <c r="K65" s="98" t="s">
        <v>2092</v>
      </c>
      <c r="L65" s="97">
        <v>1</v>
      </c>
      <c r="M65" s="97" t="s">
        <v>2027</v>
      </c>
      <c r="N65" s="98">
        <v>0</v>
      </c>
      <c r="O65" s="98">
        <v>2735</v>
      </c>
      <c r="P65" s="98">
        <v>82</v>
      </c>
      <c r="Q65" s="98"/>
    </row>
    <row r="66" spans="1:17" ht="18" customHeight="1" x14ac:dyDescent="0.2">
      <c r="A66" s="103" t="s">
        <v>1557</v>
      </c>
      <c r="B66" s="21" t="s">
        <v>2269</v>
      </c>
      <c r="C66" s="104">
        <v>16</v>
      </c>
      <c r="D66" s="21"/>
      <c r="E66" s="17" t="s">
        <v>1555</v>
      </c>
      <c r="F66" s="17" t="s">
        <v>1556</v>
      </c>
      <c r="G66" s="11" t="s">
        <v>209</v>
      </c>
      <c r="I66" s="97" t="s">
        <v>346</v>
      </c>
      <c r="J66" s="98" t="s">
        <v>1894</v>
      </c>
      <c r="K66" s="98" t="s">
        <v>2093</v>
      </c>
      <c r="L66" s="97">
        <v>1</v>
      </c>
      <c r="M66" s="97" t="s">
        <v>2027</v>
      </c>
      <c r="N66" s="98">
        <v>0</v>
      </c>
      <c r="O66" s="98">
        <v>2735</v>
      </c>
      <c r="P66" s="98">
        <v>82</v>
      </c>
      <c r="Q66" s="98"/>
    </row>
    <row r="67" spans="1:17" ht="18" customHeight="1" x14ac:dyDescent="0.2">
      <c r="A67" s="103" t="s">
        <v>2243</v>
      </c>
      <c r="B67" s="21" t="s">
        <v>2269</v>
      </c>
      <c r="C67" s="104">
        <v>25</v>
      </c>
      <c r="D67" s="21"/>
      <c r="E67" s="17" t="s">
        <v>1555</v>
      </c>
      <c r="F67" s="17" t="s">
        <v>2278</v>
      </c>
      <c r="G67" s="11" t="s">
        <v>210</v>
      </c>
      <c r="I67" s="97" t="s">
        <v>209</v>
      </c>
      <c r="J67" s="98" t="s">
        <v>1894</v>
      </c>
      <c r="K67" s="98" t="s">
        <v>2094</v>
      </c>
      <c r="L67" s="97">
        <v>1</v>
      </c>
      <c r="M67" s="97" t="s">
        <v>2027</v>
      </c>
      <c r="N67" s="98">
        <v>0</v>
      </c>
      <c r="O67" s="98">
        <v>3829</v>
      </c>
      <c r="P67" s="98">
        <v>114</v>
      </c>
      <c r="Q67" s="98"/>
    </row>
    <row r="68" spans="1:17" ht="18" customHeight="1" x14ac:dyDescent="0.2">
      <c r="A68" s="103" t="s">
        <v>2244</v>
      </c>
      <c r="B68" s="21" t="s">
        <v>2269</v>
      </c>
      <c r="C68" s="104">
        <v>35</v>
      </c>
      <c r="D68" s="21"/>
      <c r="E68" s="17" t="s">
        <v>1555</v>
      </c>
      <c r="F68" s="17" t="s">
        <v>2279</v>
      </c>
      <c r="G68" s="11" t="s">
        <v>211</v>
      </c>
      <c r="I68" s="97" t="s">
        <v>210</v>
      </c>
      <c r="J68" s="98" t="s">
        <v>1894</v>
      </c>
      <c r="K68" s="98" t="s">
        <v>2095</v>
      </c>
      <c r="L68" s="97">
        <v>1</v>
      </c>
      <c r="M68" s="97" t="s">
        <v>2027</v>
      </c>
      <c r="N68" s="98">
        <v>0</v>
      </c>
      <c r="O68" s="98">
        <v>3829</v>
      </c>
      <c r="P68" s="98">
        <v>114</v>
      </c>
      <c r="Q68" s="98"/>
    </row>
    <row r="69" spans="1:17" ht="18" customHeight="1" x14ac:dyDescent="0.2">
      <c r="A69" s="103" t="s">
        <v>2245</v>
      </c>
      <c r="B69" s="21" t="s">
        <v>2269</v>
      </c>
      <c r="C69" s="104">
        <v>50</v>
      </c>
      <c r="D69" s="21"/>
      <c r="E69" s="17" t="s">
        <v>1555</v>
      </c>
      <c r="F69" s="17" t="s">
        <v>2280</v>
      </c>
      <c r="G69" s="11" t="s">
        <v>347</v>
      </c>
      <c r="I69" s="97" t="s">
        <v>211</v>
      </c>
      <c r="J69" s="98" t="s">
        <v>1894</v>
      </c>
      <c r="K69" s="98" t="s">
        <v>2096</v>
      </c>
      <c r="L69" s="97">
        <v>1</v>
      </c>
      <c r="M69" s="97" t="s">
        <v>2027</v>
      </c>
      <c r="N69" s="98">
        <v>0</v>
      </c>
      <c r="O69" s="98">
        <v>3829</v>
      </c>
      <c r="P69" s="98">
        <v>114</v>
      </c>
      <c r="Q69" s="98"/>
    </row>
    <row r="70" spans="1:17" ht="18" customHeight="1" x14ac:dyDescent="0.2">
      <c r="A70" s="103" t="s">
        <v>2246</v>
      </c>
      <c r="B70" s="21" t="s">
        <v>2269</v>
      </c>
      <c r="C70" s="104">
        <v>70</v>
      </c>
      <c r="D70" s="21"/>
      <c r="E70" s="17" t="s">
        <v>1555</v>
      </c>
      <c r="F70" s="17" t="s">
        <v>2281</v>
      </c>
      <c r="G70" s="11" t="s">
        <v>212</v>
      </c>
      <c r="I70" s="97" t="s">
        <v>347</v>
      </c>
      <c r="J70" s="98" t="s">
        <v>1894</v>
      </c>
      <c r="K70" s="98" t="s">
        <v>2097</v>
      </c>
      <c r="L70" s="97">
        <v>1</v>
      </c>
      <c r="M70" s="97" t="s">
        <v>2027</v>
      </c>
      <c r="N70" s="98">
        <v>0</v>
      </c>
      <c r="O70" s="98">
        <v>5197</v>
      </c>
      <c r="P70" s="98">
        <v>155</v>
      </c>
      <c r="Q70" s="98"/>
    </row>
    <row r="71" spans="1:17" ht="18" customHeight="1" x14ac:dyDescent="0.2">
      <c r="A71" s="103" t="s">
        <v>2247</v>
      </c>
      <c r="B71" s="21" t="s">
        <v>2269</v>
      </c>
      <c r="C71" s="104">
        <v>95</v>
      </c>
      <c r="D71" s="21"/>
      <c r="E71" s="17" t="s">
        <v>1555</v>
      </c>
      <c r="F71" s="17" t="s">
        <v>2282</v>
      </c>
      <c r="G71" s="11" t="s">
        <v>213</v>
      </c>
      <c r="I71" s="97" t="s">
        <v>212</v>
      </c>
      <c r="J71" s="98" t="s">
        <v>1894</v>
      </c>
      <c r="K71" s="98" t="s">
        <v>2098</v>
      </c>
      <c r="L71" s="97">
        <v>1</v>
      </c>
      <c r="M71" s="97" t="s">
        <v>2027</v>
      </c>
      <c r="N71" s="98">
        <v>0</v>
      </c>
      <c r="O71" s="98">
        <v>5197</v>
      </c>
      <c r="P71" s="98">
        <v>155</v>
      </c>
      <c r="Q71" s="98"/>
    </row>
    <row r="72" spans="1:17" ht="18" customHeight="1" x14ac:dyDescent="0.2">
      <c r="A72" s="103" t="s">
        <v>2248</v>
      </c>
      <c r="B72" s="21" t="s">
        <v>2269</v>
      </c>
      <c r="C72" s="104">
        <v>120</v>
      </c>
      <c r="D72" s="21"/>
      <c r="E72" s="17" t="s">
        <v>1555</v>
      </c>
      <c r="F72" s="17" t="s">
        <v>2283</v>
      </c>
      <c r="G72" s="11" t="s">
        <v>214</v>
      </c>
      <c r="I72" s="97" t="s">
        <v>213</v>
      </c>
      <c r="J72" s="98" t="s">
        <v>1894</v>
      </c>
      <c r="K72" s="98" t="s">
        <v>2099</v>
      </c>
      <c r="L72" s="97">
        <v>1</v>
      </c>
      <c r="M72" s="97" t="s">
        <v>2027</v>
      </c>
      <c r="N72" s="98">
        <v>0</v>
      </c>
      <c r="O72" s="98">
        <v>5197</v>
      </c>
      <c r="P72" s="98">
        <v>155</v>
      </c>
      <c r="Q72" s="98"/>
    </row>
    <row r="73" spans="1:17" ht="18" customHeight="1" x14ac:dyDescent="0.2">
      <c r="A73" s="103" t="s">
        <v>2249</v>
      </c>
      <c r="B73" s="21" t="s">
        <v>2269</v>
      </c>
      <c r="C73" s="104">
        <v>150</v>
      </c>
      <c r="D73" s="21"/>
      <c r="E73" s="17" t="s">
        <v>1555</v>
      </c>
      <c r="F73" s="17" t="s">
        <v>2284</v>
      </c>
      <c r="G73" s="11" t="s">
        <v>348</v>
      </c>
      <c r="I73" s="97" t="s">
        <v>214</v>
      </c>
      <c r="J73" s="98" t="s">
        <v>1894</v>
      </c>
      <c r="K73" s="98" t="s">
        <v>2100</v>
      </c>
      <c r="L73" s="97">
        <v>1</v>
      </c>
      <c r="M73" s="97" t="s">
        <v>2027</v>
      </c>
      <c r="N73" s="98">
        <v>0</v>
      </c>
      <c r="O73" s="98">
        <v>7112</v>
      </c>
      <c r="P73" s="98">
        <v>213</v>
      </c>
      <c r="Q73" s="98"/>
    </row>
    <row r="74" spans="1:17" ht="18" customHeight="1" x14ac:dyDescent="0.2">
      <c r="A74" s="103" t="s">
        <v>2250</v>
      </c>
      <c r="B74" s="21" t="s">
        <v>2269</v>
      </c>
      <c r="C74" s="104">
        <v>185</v>
      </c>
      <c r="D74" s="21"/>
      <c r="E74" s="17" t="s">
        <v>1555</v>
      </c>
      <c r="F74" s="17" t="s">
        <v>2285</v>
      </c>
      <c r="G74" s="11" t="s">
        <v>215</v>
      </c>
      <c r="I74" s="97" t="s">
        <v>348</v>
      </c>
      <c r="J74" s="98" t="s">
        <v>1894</v>
      </c>
      <c r="K74" s="98" t="s">
        <v>2101</v>
      </c>
      <c r="L74" s="97">
        <v>1</v>
      </c>
      <c r="M74" s="97" t="s">
        <v>2027</v>
      </c>
      <c r="N74" s="98">
        <v>0</v>
      </c>
      <c r="O74" s="98">
        <v>7112</v>
      </c>
      <c r="P74" s="98">
        <v>213</v>
      </c>
      <c r="Q74" s="98"/>
    </row>
    <row r="75" spans="1:17" ht="18" customHeight="1" x14ac:dyDescent="0.2">
      <c r="A75" s="103" t="s">
        <v>2251</v>
      </c>
      <c r="B75" s="21" t="s">
        <v>2269</v>
      </c>
      <c r="C75" s="104">
        <v>240</v>
      </c>
      <c r="D75" s="21"/>
      <c r="E75" s="17" t="s">
        <v>1555</v>
      </c>
      <c r="F75" s="17" t="s">
        <v>2286</v>
      </c>
      <c r="G75" s="11" t="s">
        <v>349</v>
      </c>
      <c r="I75" s="97" t="s">
        <v>215</v>
      </c>
      <c r="J75" s="98" t="s">
        <v>1894</v>
      </c>
      <c r="K75" s="98" t="s">
        <v>2102</v>
      </c>
      <c r="L75" s="97">
        <v>1</v>
      </c>
      <c r="M75" s="97" t="s">
        <v>2027</v>
      </c>
      <c r="N75" s="98">
        <v>0</v>
      </c>
      <c r="O75" s="98">
        <v>8753</v>
      </c>
      <c r="P75" s="98">
        <v>262</v>
      </c>
      <c r="Q75" s="98"/>
    </row>
    <row r="76" spans="1:17" ht="18" customHeight="1" x14ac:dyDescent="0.2">
      <c r="A76" s="103" t="s">
        <v>2252</v>
      </c>
      <c r="B76" s="21" t="s">
        <v>2269</v>
      </c>
      <c r="C76" s="104">
        <v>300</v>
      </c>
      <c r="D76" s="21"/>
      <c r="E76" s="17" t="s">
        <v>1555</v>
      </c>
      <c r="F76" s="17" t="s">
        <v>2287</v>
      </c>
      <c r="G76" s="11" t="s">
        <v>350</v>
      </c>
      <c r="I76" s="97" t="s">
        <v>349</v>
      </c>
      <c r="J76" s="98" t="s">
        <v>1894</v>
      </c>
      <c r="K76" s="98" t="s">
        <v>2103</v>
      </c>
      <c r="L76" s="97">
        <v>1</v>
      </c>
      <c r="M76" s="97" t="s">
        <v>2027</v>
      </c>
      <c r="N76" s="98">
        <v>0</v>
      </c>
      <c r="O76" s="98">
        <v>8753</v>
      </c>
      <c r="P76" s="98">
        <v>262</v>
      </c>
      <c r="Q76" s="98"/>
    </row>
    <row r="77" spans="1:17" ht="18" customHeight="1" x14ac:dyDescent="0.2">
      <c r="A77" s="103" t="s">
        <v>2253</v>
      </c>
      <c r="B77" s="21" t="s">
        <v>2269</v>
      </c>
      <c r="C77" s="104">
        <v>400</v>
      </c>
      <c r="D77" s="21"/>
      <c r="E77" s="17" t="s">
        <v>1555</v>
      </c>
      <c r="F77" s="17" t="s">
        <v>2288</v>
      </c>
      <c r="G77" s="11" t="s">
        <v>216</v>
      </c>
      <c r="I77" s="97" t="s">
        <v>350</v>
      </c>
      <c r="J77" s="98" t="s">
        <v>1894</v>
      </c>
      <c r="K77" s="98" t="s">
        <v>2104</v>
      </c>
      <c r="L77" s="97">
        <v>1</v>
      </c>
      <c r="M77" s="97" t="s">
        <v>2027</v>
      </c>
      <c r="N77" s="98">
        <v>0</v>
      </c>
      <c r="O77" s="98">
        <v>9573</v>
      </c>
      <c r="P77" s="98">
        <v>287</v>
      </c>
      <c r="Q77" s="98"/>
    </row>
    <row r="78" spans="1:17" ht="18" customHeight="1" x14ac:dyDescent="0.2">
      <c r="A78" s="103" t="s">
        <v>2000</v>
      </c>
      <c r="B78" s="21" t="s">
        <v>2270</v>
      </c>
      <c r="C78" s="104">
        <v>1.5</v>
      </c>
      <c r="D78" s="21"/>
      <c r="E78" s="17" t="s">
        <v>2289</v>
      </c>
      <c r="F78" s="17" t="s">
        <v>1851</v>
      </c>
      <c r="G78" s="11" t="s">
        <v>2311</v>
      </c>
      <c r="I78" s="97" t="s">
        <v>216</v>
      </c>
      <c r="J78" s="98" t="s">
        <v>1894</v>
      </c>
      <c r="K78" s="98" t="s">
        <v>2105</v>
      </c>
      <c r="L78" s="97">
        <v>1</v>
      </c>
      <c r="M78" s="97" t="s">
        <v>2027</v>
      </c>
      <c r="N78" s="98">
        <v>0</v>
      </c>
      <c r="O78" s="98">
        <v>9573</v>
      </c>
      <c r="P78" s="98">
        <v>287</v>
      </c>
      <c r="Q78" s="98"/>
    </row>
    <row r="79" spans="1:17" ht="18" customHeight="1" x14ac:dyDescent="0.2">
      <c r="A79" s="103" t="s">
        <v>2254</v>
      </c>
      <c r="B79" s="21" t="s">
        <v>2270</v>
      </c>
      <c r="C79" s="104">
        <v>2.5</v>
      </c>
      <c r="D79" s="21"/>
      <c r="E79" s="17" t="s">
        <v>2289</v>
      </c>
      <c r="F79" s="17" t="s">
        <v>2290</v>
      </c>
      <c r="G79" s="11" t="s">
        <v>2311</v>
      </c>
      <c r="I79" s="97" t="s">
        <v>351</v>
      </c>
      <c r="J79" s="98" t="s">
        <v>2106</v>
      </c>
      <c r="K79" s="98" t="s">
        <v>2091</v>
      </c>
      <c r="L79" s="97">
        <v>1</v>
      </c>
      <c r="M79" s="97" t="s">
        <v>2027</v>
      </c>
      <c r="N79" s="98">
        <v>0</v>
      </c>
      <c r="O79" s="98">
        <v>2735</v>
      </c>
      <c r="P79" s="98">
        <v>82</v>
      </c>
      <c r="Q79" s="98"/>
    </row>
    <row r="80" spans="1:17" ht="18" customHeight="1" x14ac:dyDescent="0.2">
      <c r="A80" s="103" t="s">
        <v>1964</v>
      </c>
      <c r="B80" s="21" t="s">
        <v>2270</v>
      </c>
      <c r="C80" s="104">
        <v>4</v>
      </c>
      <c r="D80" s="21"/>
      <c r="E80" s="17" t="s">
        <v>2289</v>
      </c>
      <c r="F80" s="17" t="s">
        <v>1826</v>
      </c>
      <c r="G80" s="11" t="s">
        <v>2311</v>
      </c>
      <c r="I80" s="97" t="s">
        <v>352</v>
      </c>
      <c r="J80" s="98" t="s">
        <v>2106</v>
      </c>
      <c r="K80" s="98" t="s">
        <v>2092</v>
      </c>
      <c r="L80" s="97">
        <v>1</v>
      </c>
      <c r="M80" s="97" t="s">
        <v>2027</v>
      </c>
      <c r="N80" s="98">
        <v>0</v>
      </c>
      <c r="O80" s="98">
        <v>2735</v>
      </c>
      <c r="P80" s="98">
        <v>82</v>
      </c>
      <c r="Q80" s="98"/>
    </row>
    <row r="81" spans="1:17" ht="18" customHeight="1" x14ac:dyDescent="0.2">
      <c r="A81" s="103" t="s">
        <v>1825</v>
      </c>
      <c r="B81" s="21" t="s">
        <v>2270</v>
      </c>
      <c r="C81" s="104">
        <v>6</v>
      </c>
      <c r="D81" s="21"/>
      <c r="E81" s="17" t="s">
        <v>2289</v>
      </c>
      <c r="F81" s="17" t="s">
        <v>1824</v>
      </c>
      <c r="G81" s="11" t="s">
        <v>352</v>
      </c>
      <c r="I81" s="97" t="s">
        <v>353</v>
      </c>
      <c r="J81" s="98" t="s">
        <v>2106</v>
      </c>
      <c r="K81" s="98" t="s">
        <v>2093</v>
      </c>
      <c r="L81" s="97">
        <v>1</v>
      </c>
      <c r="M81" s="97" t="s">
        <v>2027</v>
      </c>
      <c r="N81" s="98">
        <v>0</v>
      </c>
      <c r="O81" s="98">
        <v>6291</v>
      </c>
      <c r="P81" s="98">
        <v>188</v>
      </c>
      <c r="Q81" s="98"/>
    </row>
    <row r="82" spans="1:17" ht="18" customHeight="1" x14ac:dyDescent="0.2">
      <c r="A82" s="103" t="s">
        <v>2255</v>
      </c>
      <c r="B82" s="21" t="s">
        <v>2270</v>
      </c>
      <c r="C82" s="104">
        <v>10</v>
      </c>
      <c r="D82" s="21"/>
      <c r="E82" s="17" t="s">
        <v>2289</v>
      </c>
      <c r="F82" s="17" t="s">
        <v>2291</v>
      </c>
      <c r="G82" s="11" t="s">
        <v>353</v>
      </c>
      <c r="I82" s="97" t="s">
        <v>354</v>
      </c>
      <c r="J82" s="98" t="s">
        <v>2106</v>
      </c>
      <c r="K82" s="98" t="s">
        <v>2094</v>
      </c>
      <c r="L82" s="97">
        <v>1</v>
      </c>
      <c r="M82" s="97" t="s">
        <v>2027</v>
      </c>
      <c r="N82" s="98">
        <v>0</v>
      </c>
      <c r="O82" s="98">
        <v>6291</v>
      </c>
      <c r="P82" s="98">
        <v>188</v>
      </c>
      <c r="Q82" s="98"/>
    </row>
    <row r="83" spans="1:17" ht="18" customHeight="1" x14ac:dyDescent="0.2">
      <c r="A83" s="103" t="s">
        <v>2256</v>
      </c>
      <c r="B83" s="21" t="s">
        <v>2270</v>
      </c>
      <c r="C83" s="104">
        <v>16</v>
      </c>
      <c r="D83" s="21"/>
      <c r="E83" s="17" t="s">
        <v>2289</v>
      </c>
      <c r="F83" s="17" t="s">
        <v>2292</v>
      </c>
      <c r="G83" s="11" t="s">
        <v>354</v>
      </c>
      <c r="I83" s="97" t="s">
        <v>355</v>
      </c>
      <c r="J83" s="98" t="s">
        <v>2106</v>
      </c>
      <c r="K83" s="98" t="s">
        <v>2095</v>
      </c>
      <c r="L83" s="97">
        <v>1</v>
      </c>
      <c r="M83" s="97" t="s">
        <v>2027</v>
      </c>
      <c r="N83" s="98">
        <v>0</v>
      </c>
      <c r="O83" s="98">
        <v>8479</v>
      </c>
      <c r="P83" s="98">
        <v>254</v>
      </c>
      <c r="Q83" s="98"/>
    </row>
    <row r="84" spans="1:17" ht="18" customHeight="1" x14ac:dyDescent="0.2">
      <c r="A84" s="103" t="s">
        <v>2257</v>
      </c>
      <c r="B84" s="21" t="s">
        <v>2270</v>
      </c>
      <c r="C84" s="104">
        <v>25</v>
      </c>
      <c r="D84" s="21"/>
      <c r="E84" s="17" t="s">
        <v>2289</v>
      </c>
      <c r="F84" s="17" t="s">
        <v>2293</v>
      </c>
      <c r="G84" s="11" t="s">
        <v>355</v>
      </c>
      <c r="I84" s="97" t="s">
        <v>356</v>
      </c>
      <c r="J84" s="98" t="s">
        <v>2106</v>
      </c>
      <c r="K84" s="98" t="s">
        <v>2096</v>
      </c>
      <c r="L84" s="97">
        <v>1</v>
      </c>
      <c r="M84" s="97" t="s">
        <v>2027</v>
      </c>
      <c r="N84" s="98">
        <v>0</v>
      </c>
      <c r="O84" s="98">
        <v>8479</v>
      </c>
      <c r="P84" s="98">
        <v>254</v>
      </c>
      <c r="Q84" s="98"/>
    </row>
    <row r="85" spans="1:17" ht="18" customHeight="1" x14ac:dyDescent="0.2">
      <c r="A85" s="103" t="s">
        <v>2258</v>
      </c>
      <c r="B85" s="21" t="s">
        <v>2270</v>
      </c>
      <c r="C85" s="104">
        <v>35</v>
      </c>
      <c r="D85" s="21"/>
      <c r="E85" s="17" t="s">
        <v>2289</v>
      </c>
      <c r="F85" s="17" t="s">
        <v>2294</v>
      </c>
      <c r="G85" s="11" t="s">
        <v>356</v>
      </c>
      <c r="I85" s="97" t="s">
        <v>357</v>
      </c>
      <c r="J85" s="98" t="s">
        <v>2106</v>
      </c>
      <c r="K85" s="98" t="s">
        <v>2097</v>
      </c>
      <c r="L85" s="97">
        <v>1</v>
      </c>
      <c r="M85" s="97" t="s">
        <v>2027</v>
      </c>
      <c r="N85" s="98">
        <v>0</v>
      </c>
      <c r="O85" s="98">
        <v>11762</v>
      </c>
      <c r="P85" s="98">
        <v>352</v>
      </c>
      <c r="Q85" s="98"/>
    </row>
    <row r="86" spans="1:17" ht="18" customHeight="1" x14ac:dyDescent="0.2">
      <c r="A86" s="103" t="s">
        <v>2259</v>
      </c>
      <c r="B86" s="21" t="s">
        <v>2270</v>
      </c>
      <c r="C86" s="104">
        <v>50</v>
      </c>
      <c r="D86" s="21"/>
      <c r="E86" s="17" t="s">
        <v>2289</v>
      </c>
      <c r="F86" s="17" t="s">
        <v>2295</v>
      </c>
      <c r="G86" s="11" t="s">
        <v>357</v>
      </c>
      <c r="I86" s="97" t="s">
        <v>358</v>
      </c>
      <c r="J86" s="98" t="s">
        <v>2106</v>
      </c>
      <c r="K86" s="98" t="s">
        <v>2098</v>
      </c>
      <c r="L86" s="97">
        <v>1</v>
      </c>
      <c r="M86" s="97" t="s">
        <v>2027</v>
      </c>
      <c r="N86" s="98">
        <v>0</v>
      </c>
      <c r="O86" s="98">
        <v>16685</v>
      </c>
      <c r="P86" s="98">
        <v>500</v>
      </c>
      <c r="Q86" s="98"/>
    </row>
    <row r="87" spans="1:17" ht="18" customHeight="1" x14ac:dyDescent="0.2">
      <c r="A87" s="103" t="s">
        <v>2260</v>
      </c>
      <c r="B87" s="21" t="s">
        <v>2270</v>
      </c>
      <c r="C87" s="104">
        <v>70</v>
      </c>
      <c r="D87" s="21"/>
      <c r="E87" s="17" t="s">
        <v>2289</v>
      </c>
      <c r="F87" s="17" t="s">
        <v>2296</v>
      </c>
      <c r="G87" s="11" t="s">
        <v>358</v>
      </c>
      <c r="I87" s="97" t="s">
        <v>359</v>
      </c>
      <c r="J87" s="98" t="s">
        <v>2106</v>
      </c>
      <c r="K87" s="98" t="s">
        <v>2099</v>
      </c>
      <c r="L87" s="97">
        <v>1</v>
      </c>
      <c r="M87" s="97" t="s">
        <v>2027</v>
      </c>
      <c r="N87" s="98">
        <v>0</v>
      </c>
      <c r="O87" s="98">
        <v>17506</v>
      </c>
      <c r="P87" s="98">
        <v>525</v>
      </c>
      <c r="Q87" s="98"/>
    </row>
    <row r="88" spans="1:17" ht="18" customHeight="1" x14ac:dyDescent="0.2">
      <c r="A88" s="103" t="s">
        <v>2261</v>
      </c>
      <c r="B88" s="21" t="s">
        <v>2270</v>
      </c>
      <c r="C88" s="104">
        <v>95</v>
      </c>
      <c r="D88" s="21"/>
      <c r="E88" s="17" t="s">
        <v>2289</v>
      </c>
      <c r="F88" s="17" t="s">
        <v>2297</v>
      </c>
      <c r="G88" s="11" t="s">
        <v>359</v>
      </c>
      <c r="I88" s="97" t="s">
        <v>360</v>
      </c>
      <c r="J88" s="98" t="s">
        <v>2106</v>
      </c>
      <c r="K88" s="98" t="s">
        <v>2100</v>
      </c>
      <c r="L88" s="97">
        <v>1</v>
      </c>
      <c r="M88" s="97" t="s">
        <v>2027</v>
      </c>
      <c r="N88" s="98">
        <v>0</v>
      </c>
      <c r="O88" s="98">
        <v>21062</v>
      </c>
      <c r="P88" s="98">
        <v>631</v>
      </c>
      <c r="Q88" s="98"/>
    </row>
    <row r="89" spans="1:17" ht="18" customHeight="1" x14ac:dyDescent="0.2">
      <c r="A89" s="103" t="s">
        <v>2262</v>
      </c>
      <c r="B89" s="21" t="s">
        <v>2270</v>
      </c>
      <c r="C89" s="104">
        <v>120</v>
      </c>
      <c r="D89" s="21"/>
      <c r="E89" s="17" t="s">
        <v>2289</v>
      </c>
      <c r="F89" s="17" t="s">
        <v>2298</v>
      </c>
      <c r="G89" s="11" t="s">
        <v>360</v>
      </c>
      <c r="I89" s="97" t="s">
        <v>361</v>
      </c>
      <c r="J89" s="98" t="s">
        <v>2106</v>
      </c>
      <c r="K89" s="98" t="s">
        <v>2101</v>
      </c>
      <c r="L89" s="97">
        <v>1</v>
      </c>
      <c r="M89" s="97" t="s">
        <v>2027</v>
      </c>
      <c r="N89" s="98">
        <v>0</v>
      </c>
      <c r="O89" s="98">
        <v>24071</v>
      </c>
      <c r="P89" s="98">
        <v>722</v>
      </c>
      <c r="Q89" s="98"/>
    </row>
    <row r="90" spans="1:17" ht="18" customHeight="1" x14ac:dyDescent="0.2">
      <c r="A90" s="103" t="s">
        <v>2263</v>
      </c>
      <c r="B90" s="21" t="s">
        <v>2270</v>
      </c>
      <c r="C90" s="104">
        <v>150</v>
      </c>
      <c r="D90" s="21"/>
      <c r="E90" s="17" t="s">
        <v>2289</v>
      </c>
      <c r="F90" s="17" t="s">
        <v>2299</v>
      </c>
      <c r="G90" s="11" t="s">
        <v>361</v>
      </c>
      <c r="I90" s="97" t="s">
        <v>362</v>
      </c>
      <c r="J90" s="98" t="s">
        <v>2106</v>
      </c>
      <c r="K90" s="98" t="s">
        <v>2102</v>
      </c>
      <c r="L90" s="97">
        <v>1</v>
      </c>
      <c r="M90" s="97" t="s">
        <v>2027</v>
      </c>
      <c r="N90" s="98">
        <v>0</v>
      </c>
      <c r="O90" s="98">
        <v>29268</v>
      </c>
      <c r="P90" s="98">
        <v>878</v>
      </c>
      <c r="Q90" s="98"/>
    </row>
    <row r="91" spans="1:17" ht="18" customHeight="1" x14ac:dyDescent="0.2">
      <c r="A91" s="103" t="s">
        <v>2264</v>
      </c>
      <c r="B91" s="21" t="s">
        <v>2270</v>
      </c>
      <c r="C91" s="104">
        <v>185</v>
      </c>
      <c r="D91" s="21"/>
      <c r="E91" s="17" t="s">
        <v>2289</v>
      </c>
      <c r="F91" s="17" t="s">
        <v>2300</v>
      </c>
      <c r="G91" s="11" t="s">
        <v>362</v>
      </c>
      <c r="I91" s="97" t="s">
        <v>363</v>
      </c>
      <c r="J91" s="98" t="s">
        <v>2106</v>
      </c>
      <c r="K91" s="98" t="s">
        <v>2103</v>
      </c>
      <c r="L91" s="97">
        <v>1</v>
      </c>
      <c r="M91" s="97" t="s">
        <v>2027</v>
      </c>
      <c r="N91" s="98">
        <v>0</v>
      </c>
      <c r="O91" s="98">
        <v>35560</v>
      </c>
      <c r="P91" s="98">
        <v>1066</v>
      </c>
      <c r="Q91" s="98"/>
    </row>
    <row r="92" spans="1:17" ht="18" customHeight="1" x14ac:dyDescent="0.2">
      <c r="A92" s="103" t="s">
        <v>2265</v>
      </c>
      <c r="B92" s="21" t="s">
        <v>2270</v>
      </c>
      <c r="C92" s="104">
        <v>240</v>
      </c>
      <c r="D92" s="21"/>
      <c r="E92" s="17" t="s">
        <v>2289</v>
      </c>
      <c r="F92" s="17" t="s">
        <v>2301</v>
      </c>
      <c r="G92" s="11" t="s">
        <v>363</v>
      </c>
      <c r="I92" s="97" t="s">
        <v>364</v>
      </c>
      <c r="J92" s="98" t="s">
        <v>2107</v>
      </c>
      <c r="K92" s="98" t="s">
        <v>2108</v>
      </c>
      <c r="L92" s="97">
        <v>1</v>
      </c>
      <c r="M92" s="97" t="s">
        <v>2027</v>
      </c>
      <c r="N92" s="98">
        <v>0</v>
      </c>
      <c r="O92" s="98">
        <v>26259</v>
      </c>
      <c r="P92" s="98">
        <v>787</v>
      </c>
      <c r="Q92" s="98"/>
    </row>
    <row r="93" spans="1:17" ht="18" customHeight="1" x14ac:dyDescent="0.2">
      <c r="A93" s="102" t="s">
        <v>1574</v>
      </c>
      <c r="B93" s="16" t="s">
        <v>2326</v>
      </c>
      <c r="C93" s="15">
        <v>16</v>
      </c>
      <c r="D93" s="21"/>
      <c r="E93" s="17" t="s">
        <v>2330</v>
      </c>
      <c r="F93" s="17" t="s">
        <v>1573</v>
      </c>
      <c r="G93" s="11" t="s">
        <v>364</v>
      </c>
      <c r="I93" s="97" t="s">
        <v>365</v>
      </c>
      <c r="J93" s="98" t="s">
        <v>2107</v>
      </c>
      <c r="K93" s="98" t="s">
        <v>2109</v>
      </c>
      <c r="L93" s="97">
        <v>1</v>
      </c>
      <c r="M93" s="97" t="s">
        <v>2027</v>
      </c>
      <c r="N93" s="98">
        <v>0</v>
      </c>
      <c r="O93" s="98">
        <v>36107</v>
      </c>
      <c r="P93" s="98">
        <v>1083</v>
      </c>
      <c r="Q93" s="98"/>
    </row>
    <row r="94" spans="1:17" ht="18" customHeight="1" x14ac:dyDescent="0.2">
      <c r="A94" s="102" t="s">
        <v>1945</v>
      </c>
      <c r="B94" s="16" t="s">
        <v>2326</v>
      </c>
      <c r="C94" s="15">
        <v>22</v>
      </c>
      <c r="D94" s="21"/>
      <c r="E94" s="17" t="s">
        <v>2330</v>
      </c>
      <c r="F94" s="17" t="s">
        <v>1571</v>
      </c>
      <c r="G94" s="11" t="s">
        <v>365</v>
      </c>
      <c r="I94" s="97" t="s">
        <v>366</v>
      </c>
      <c r="J94" s="98" t="s">
        <v>2107</v>
      </c>
      <c r="K94" s="98" t="s">
        <v>2110</v>
      </c>
      <c r="L94" s="97">
        <v>1</v>
      </c>
      <c r="M94" s="97" t="s">
        <v>2027</v>
      </c>
      <c r="N94" s="98">
        <v>0</v>
      </c>
      <c r="O94" s="98">
        <v>45954</v>
      </c>
      <c r="P94" s="98">
        <v>1378</v>
      </c>
      <c r="Q94" s="98"/>
    </row>
    <row r="95" spans="1:17" ht="18" customHeight="1" x14ac:dyDescent="0.2">
      <c r="A95" s="102" t="s">
        <v>1941</v>
      </c>
      <c r="B95" s="16" t="s">
        <v>2326</v>
      </c>
      <c r="C95" s="15">
        <v>28</v>
      </c>
      <c r="D95" s="21"/>
      <c r="E95" s="17" t="s">
        <v>2330</v>
      </c>
      <c r="F95" s="17" t="s">
        <v>1569</v>
      </c>
      <c r="G95" s="11" t="s">
        <v>366</v>
      </c>
      <c r="I95" s="97" t="s">
        <v>367</v>
      </c>
      <c r="J95" s="98" t="s">
        <v>2107</v>
      </c>
      <c r="K95" s="98" t="s">
        <v>2111</v>
      </c>
      <c r="L95" s="97">
        <v>1</v>
      </c>
      <c r="M95" s="97" t="s">
        <v>2027</v>
      </c>
      <c r="N95" s="98">
        <v>0</v>
      </c>
      <c r="O95" s="98">
        <v>65649</v>
      </c>
      <c r="P95" s="98">
        <v>1969</v>
      </c>
      <c r="Q95" s="98"/>
    </row>
    <row r="96" spans="1:17" ht="18" customHeight="1" x14ac:dyDescent="0.2">
      <c r="A96" s="102" t="s">
        <v>1937</v>
      </c>
      <c r="B96" s="16" t="s">
        <v>2326</v>
      </c>
      <c r="C96" s="15">
        <v>36</v>
      </c>
      <c r="D96" s="21"/>
      <c r="E96" s="17" t="s">
        <v>2330</v>
      </c>
      <c r="F96" s="17" t="s">
        <v>1567</v>
      </c>
      <c r="G96" s="11" t="s">
        <v>367</v>
      </c>
      <c r="I96" s="97" t="s">
        <v>368</v>
      </c>
      <c r="J96" s="98" t="s">
        <v>2107</v>
      </c>
      <c r="K96" s="98" t="s">
        <v>2112</v>
      </c>
      <c r="L96" s="97">
        <v>1</v>
      </c>
      <c r="M96" s="97" t="s">
        <v>2027</v>
      </c>
      <c r="N96" s="98">
        <v>0</v>
      </c>
      <c r="O96" s="98">
        <v>82061</v>
      </c>
      <c r="P96" s="98">
        <v>2461</v>
      </c>
      <c r="Q96" s="98"/>
    </row>
    <row r="97" spans="1:17" ht="18" customHeight="1" x14ac:dyDescent="0.2">
      <c r="A97" s="102" t="s">
        <v>2312</v>
      </c>
      <c r="B97" s="16" t="s">
        <v>2326</v>
      </c>
      <c r="C97" s="15">
        <v>42</v>
      </c>
      <c r="D97" s="21"/>
      <c r="E97" s="17" t="s">
        <v>2330</v>
      </c>
      <c r="F97" s="17" t="s">
        <v>2331</v>
      </c>
      <c r="G97" s="11" t="s">
        <v>368</v>
      </c>
      <c r="I97" s="97" t="s">
        <v>370</v>
      </c>
      <c r="J97" s="98" t="s">
        <v>2107</v>
      </c>
      <c r="K97" s="98" t="s">
        <v>2113</v>
      </c>
      <c r="L97" s="97">
        <v>1</v>
      </c>
      <c r="M97" s="97" t="s">
        <v>2027</v>
      </c>
      <c r="N97" s="98">
        <v>0</v>
      </c>
      <c r="O97" s="98">
        <v>111603</v>
      </c>
      <c r="P97" s="98">
        <v>3348</v>
      </c>
      <c r="Q97" s="98"/>
    </row>
    <row r="98" spans="1:17" ht="18" customHeight="1" x14ac:dyDescent="0.2">
      <c r="A98" s="102" t="s">
        <v>1933</v>
      </c>
      <c r="B98" s="16" t="s">
        <v>2326</v>
      </c>
      <c r="C98" s="15">
        <v>54</v>
      </c>
      <c r="D98" s="21"/>
      <c r="E98" s="17" t="s">
        <v>2330</v>
      </c>
      <c r="F98" s="17" t="s">
        <v>1565</v>
      </c>
      <c r="G98" s="11" t="s">
        <v>370</v>
      </c>
      <c r="I98" s="97" t="s">
        <v>372</v>
      </c>
      <c r="J98" s="98" t="s">
        <v>2107</v>
      </c>
      <c r="K98" s="98" t="s">
        <v>2114</v>
      </c>
      <c r="L98" s="97">
        <v>1</v>
      </c>
      <c r="M98" s="97" t="s">
        <v>2027</v>
      </c>
      <c r="N98" s="98">
        <v>0</v>
      </c>
      <c r="O98" s="98">
        <v>144428</v>
      </c>
      <c r="P98" s="98">
        <v>4332</v>
      </c>
      <c r="Q98" s="98"/>
    </row>
    <row r="99" spans="1:17" ht="18" customHeight="1" x14ac:dyDescent="0.2">
      <c r="A99" s="102" t="s">
        <v>2313</v>
      </c>
      <c r="B99" s="16" t="s">
        <v>2326</v>
      </c>
      <c r="C99" s="15">
        <v>70</v>
      </c>
      <c r="D99" s="21"/>
      <c r="E99" s="17" t="s">
        <v>2330</v>
      </c>
      <c r="F99" s="17" t="s">
        <v>1563</v>
      </c>
      <c r="G99" s="11" t="s">
        <v>372</v>
      </c>
      <c r="I99" s="97" t="s">
        <v>374</v>
      </c>
      <c r="J99" s="98" t="s">
        <v>2107</v>
      </c>
      <c r="K99" s="98" t="s">
        <v>2115</v>
      </c>
      <c r="L99" s="97">
        <v>1</v>
      </c>
      <c r="M99" s="97" t="s">
        <v>2027</v>
      </c>
      <c r="N99" s="98">
        <v>0</v>
      </c>
      <c r="O99" s="98">
        <v>177253</v>
      </c>
      <c r="P99" s="98">
        <v>5317</v>
      </c>
      <c r="Q99" s="98"/>
    </row>
    <row r="100" spans="1:17" ht="18" customHeight="1" x14ac:dyDescent="0.2">
      <c r="A100" s="102" t="s">
        <v>2314</v>
      </c>
      <c r="B100" s="16" t="s">
        <v>2326</v>
      </c>
      <c r="C100" s="15">
        <v>82</v>
      </c>
      <c r="D100" s="21"/>
      <c r="E100" s="17" t="s">
        <v>2330</v>
      </c>
      <c r="F100" s="17" t="s">
        <v>2332</v>
      </c>
      <c r="G100" s="11" t="s">
        <v>374</v>
      </c>
      <c r="I100" s="97" t="s">
        <v>222</v>
      </c>
      <c r="J100" s="98" t="s">
        <v>2107</v>
      </c>
      <c r="K100" s="98" t="s">
        <v>2116</v>
      </c>
      <c r="L100" s="97">
        <v>1</v>
      </c>
      <c r="M100" s="97" t="s">
        <v>2027</v>
      </c>
      <c r="N100" s="98">
        <v>0</v>
      </c>
      <c r="O100" s="98">
        <v>233055</v>
      </c>
      <c r="P100" s="98">
        <v>6991</v>
      </c>
      <c r="Q100" s="98"/>
    </row>
    <row r="101" spans="1:17" ht="18" customHeight="1" x14ac:dyDescent="0.2">
      <c r="A101" s="102" t="s">
        <v>2315</v>
      </c>
      <c r="B101" s="16" t="s">
        <v>2326</v>
      </c>
      <c r="C101" s="15">
        <v>104</v>
      </c>
      <c r="D101" s="21"/>
      <c r="E101" s="17" t="s">
        <v>2330</v>
      </c>
      <c r="F101" s="17" t="s">
        <v>2333</v>
      </c>
      <c r="G101" s="11" t="s">
        <v>222</v>
      </c>
      <c r="I101" s="97" t="s">
        <v>377</v>
      </c>
      <c r="J101" s="98" t="s">
        <v>2117</v>
      </c>
      <c r="K101" s="98" t="s">
        <v>2118</v>
      </c>
      <c r="L101" s="97">
        <v>1</v>
      </c>
      <c r="M101" s="97" t="s">
        <v>2027</v>
      </c>
      <c r="N101" s="98">
        <v>0</v>
      </c>
      <c r="O101" s="98">
        <v>26259</v>
      </c>
      <c r="P101" s="98">
        <v>787</v>
      </c>
      <c r="Q101" s="98"/>
    </row>
    <row r="102" spans="1:17" ht="18" customHeight="1" x14ac:dyDescent="0.2">
      <c r="A102" s="102" t="s">
        <v>1951</v>
      </c>
      <c r="B102" s="16" t="s">
        <v>2327</v>
      </c>
      <c r="C102" s="15">
        <v>16</v>
      </c>
      <c r="D102" s="21"/>
      <c r="E102" s="17" t="s">
        <v>2334</v>
      </c>
      <c r="F102" s="17" t="s">
        <v>1600</v>
      </c>
      <c r="I102" s="97" t="s">
        <v>223</v>
      </c>
      <c r="J102" s="98" t="s">
        <v>2117</v>
      </c>
      <c r="K102" s="98" t="s">
        <v>2108</v>
      </c>
      <c r="L102" s="97">
        <v>1</v>
      </c>
      <c r="M102" s="97" t="s">
        <v>2027</v>
      </c>
      <c r="N102" s="98">
        <v>0</v>
      </c>
      <c r="O102" s="98">
        <v>26259</v>
      </c>
      <c r="P102" s="98">
        <v>787</v>
      </c>
      <c r="Q102" s="98"/>
    </row>
    <row r="103" spans="1:17" ht="18" customHeight="1" x14ac:dyDescent="0.2">
      <c r="A103" s="102" t="s">
        <v>1948</v>
      </c>
      <c r="B103" s="16" t="s">
        <v>2327</v>
      </c>
      <c r="C103" s="15">
        <v>22</v>
      </c>
      <c r="D103" s="21"/>
      <c r="E103" s="17" t="s">
        <v>2334</v>
      </c>
      <c r="F103" s="17" t="s">
        <v>1599</v>
      </c>
      <c r="I103" s="97" t="s">
        <v>380</v>
      </c>
      <c r="J103" s="98" t="s">
        <v>2119</v>
      </c>
      <c r="K103" s="98" t="s">
        <v>2109</v>
      </c>
      <c r="L103" s="97">
        <v>1</v>
      </c>
      <c r="M103" s="97" t="s">
        <v>2027</v>
      </c>
      <c r="N103" s="98">
        <v>0</v>
      </c>
      <c r="O103" s="98">
        <v>36107</v>
      </c>
      <c r="P103" s="98">
        <v>1083</v>
      </c>
      <c r="Q103" s="98"/>
    </row>
    <row r="104" spans="1:17" ht="18" customHeight="1" x14ac:dyDescent="0.2">
      <c r="A104" s="102" t="s">
        <v>1944</v>
      </c>
      <c r="B104" s="16" t="s">
        <v>2327</v>
      </c>
      <c r="C104" s="15">
        <v>28</v>
      </c>
      <c r="D104" s="21"/>
      <c r="E104" s="17" t="s">
        <v>2334</v>
      </c>
      <c r="F104" s="17" t="s">
        <v>1598</v>
      </c>
      <c r="I104" s="97" t="s">
        <v>224</v>
      </c>
      <c r="J104" s="98" t="s">
        <v>2119</v>
      </c>
      <c r="K104" s="98" t="s">
        <v>2110</v>
      </c>
      <c r="L104" s="97">
        <v>1</v>
      </c>
      <c r="M104" s="97" t="s">
        <v>2027</v>
      </c>
      <c r="N104" s="98">
        <v>0</v>
      </c>
      <c r="O104" s="98">
        <v>45954</v>
      </c>
      <c r="P104" s="98">
        <v>1378</v>
      </c>
      <c r="Q104" s="98"/>
    </row>
    <row r="105" spans="1:17" ht="18" customHeight="1" x14ac:dyDescent="0.2">
      <c r="A105" s="102" t="s">
        <v>1940</v>
      </c>
      <c r="B105" s="16" t="s">
        <v>2327</v>
      </c>
      <c r="C105" s="15">
        <v>36</v>
      </c>
      <c r="D105" s="21"/>
      <c r="E105" s="17" t="s">
        <v>2334</v>
      </c>
      <c r="F105" s="17" t="s">
        <v>1597</v>
      </c>
      <c r="I105" s="97" t="s">
        <v>225</v>
      </c>
      <c r="J105" s="98" t="s">
        <v>2119</v>
      </c>
      <c r="K105" s="98" t="s">
        <v>2111</v>
      </c>
      <c r="L105" s="97">
        <v>1</v>
      </c>
      <c r="M105" s="97" t="s">
        <v>2027</v>
      </c>
      <c r="N105" s="98">
        <v>0</v>
      </c>
      <c r="O105" s="98">
        <v>65649</v>
      </c>
      <c r="P105" s="98">
        <v>1969</v>
      </c>
      <c r="Q105" s="98"/>
    </row>
    <row r="106" spans="1:17" ht="18" customHeight="1" x14ac:dyDescent="0.2">
      <c r="A106" s="102" t="s">
        <v>2316</v>
      </c>
      <c r="B106" s="16" t="s">
        <v>2327</v>
      </c>
      <c r="C106" s="15">
        <v>42</v>
      </c>
      <c r="D106" s="21"/>
      <c r="E106" s="17" t="s">
        <v>2334</v>
      </c>
      <c r="F106" s="17" t="s">
        <v>2335</v>
      </c>
      <c r="I106" s="97" t="s">
        <v>226</v>
      </c>
      <c r="J106" s="98" t="s">
        <v>2119</v>
      </c>
      <c r="K106" s="98" t="s">
        <v>2112</v>
      </c>
      <c r="L106" s="97">
        <v>1</v>
      </c>
      <c r="M106" s="97" t="s">
        <v>2027</v>
      </c>
      <c r="N106" s="98">
        <v>0</v>
      </c>
      <c r="O106" s="98">
        <v>82061</v>
      </c>
      <c r="P106" s="98">
        <v>2461</v>
      </c>
      <c r="Q106" s="98"/>
    </row>
    <row r="107" spans="1:17" ht="18" customHeight="1" x14ac:dyDescent="0.2">
      <c r="A107" s="102" t="s">
        <v>1936</v>
      </c>
      <c r="B107" s="16" t="s">
        <v>2327</v>
      </c>
      <c r="C107" s="15">
        <v>54</v>
      </c>
      <c r="D107" s="21"/>
      <c r="E107" s="17" t="s">
        <v>2334</v>
      </c>
      <c r="F107" s="17" t="s">
        <v>1596</v>
      </c>
      <c r="I107" s="97" t="s">
        <v>385</v>
      </c>
      <c r="J107" s="98" t="s">
        <v>2119</v>
      </c>
      <c r="K107" s="98" t="s">
        <v>2113</v>
      </c>
      <c r="L107" s="97">
        <v>1</v>
      </c>
      <c r="M107" s="97" t="s">
        <v>2027</v>
      </c>
      <c r="N107" s="98">
        <v>0</v>
      </c>
      <c r="O107" s="98">
        <v>111603</v>
      </c>
      <c r="P107" s="98">
        <v>3348</v>
      </c>
      <c r="Q107" s="98"/>
    </row>
    <row r="108" spans="1:17" ht="18" customHeight="1" x14ac:dyDescent="0.2">
      <c r="A108" s="102" t="s">
        <v>1932</v>
      </c>
      <c r="B108" s="16" t="s">
        <v>2327</v>
      </c>
      <c r="C108" s="15">
        <v>70</v>
      </c>
      <c r="D108" s="21"/>
      <c r="E108" s="17" t="s">
        <v>2334</v>
      </c>
      <c r="F108" s="17" t="s">
        <v>1595</v>
      </c>
      <c r="I108" s="97" t="s">
        <v>227</v>
      </c>
      <c r="J108" s="98" t="s">
        <v>2119</v>
      </c>
      <c r="K108" s="98" t="s">
        <v>2114</v>
      </c>
      <c r="L108" s="97">
        <v>1</v>
      </c>
      <c r="M108" s="97" t="s">
        <v>2027</v>
      </c>
      <c r="N108" s="98">
        <v>0</v>
      </c>
      <c r="O108" s="98">
        <v>144428</v>
      </c>
      <c r="P108" s="98">
        <v>4332</v>
      </c>
      <c r="Q108" s="98"/>
    </row>
    <row r="109" spans="1:17" ht="18" customHeight="1" x14ac:dyDescent="0.2">
      <c r="A109" s="102" t="s">
        <v>2317</v>
      </c>
      <c r="B109" s="16" t="s">
        <v>2327</v>
      </c>
      <c r="C109" s="15">
        <v>82</v>
      </c>
      <c r="D109" s="21"/>
      <c r="E109" s="17" t="s">
        <v>2334</v>
      </c>
      <c r="F109" s="17" t="s">
        <v>2336</v>
      </c>
      <c r="I109" s="97" t="s">
        <v>228</v>
      </c>
      <c r="J109" s="98" t="s">
        <v>2119</v>
      </c>
      <c r="K109" s="98" t="s">
        <v>2115</v>
      </c>
      <c r="L109" s="97">
        <v>1</v>
      </c>
      <c r="M109" s="97" t="s">
        <v>2027</v>
      </c>
      <c r="N109" s="98">
        <v>0</v>
      </c>
      <c r="O109" s="98">
        <v>177253</v>
      </c>
      <c r="P109" s="98">
        <v>5317</v>
      </c>
      <c r="Q109" s="98"/>
    </row>
    <row r="110" spans="1:17" ht="18" customHeight="1" x14ac:dyDescent="0.2">
      <c r="A110" s="102" t="s">
        <v>2318</v>
      </c>
      <c r="B110" s="16" t="s">
        <v>2327</v>
      </c>
      <c r="C110" s="15">
        <v>104</v>
      </c>
      <c r="D110" s="21"/>
      <c r="E110" s="17" t="s">
        <v>2334</v>
      </c>
      <c r="F110" s="17" t="s">
        <v>2337</v>
      </c>
      <c r="I110" s="97" t="s">
        <v>229</v>
      </c>
      <c r="J110" s="98" t="s">
        <v>2119</v>
      </c>
      <c r="K110" s="98" t="s">
        <v>2116</v>
      </c>
      <c r="L110" s="97">
        <v>1</v>
      </c>
      <c r="M110" s="97" t="s">
        <v>2027</v>
      </c>
      <c r="N110" s="98">
        <v>0</v>
      </c>
      <c r="O110" s="98">
        <v>233055</v>
      </c>
      <c r="P110" s="98">
        <v>6991</v>
      </c>
      <c r="Q110" s="98"/>
    </row>
    <row r="111" spans="1:17" ht="18" customHeight="1" x14ac:dyDescent="0.2">
      <c r="A111" s="102" t="s">
        <v>2319</v>
      </c>
      <c r="B111" s="16" t="s">
        <v>2328</v>
      </c>
      <c r="C111" s="15">
        <v>12</v>
      </c>
      <c r="D111" s="21"/>
      <c r="E111" s="17" t="s">
        <v>2119</v>
      </c>
      <c r="F111" s="17" t="s">
        <v>2338</v>
      </c>
      <c r="G111" s="11" t="s">
        <v>377</v>
      </c>
      <c r="I111" s="97" t="s">
        <v>390</v>
      </c>
      <c r="J111" s="98" t="s">
        <v>2120</v>
      </c>
      <c r="K111" s="98" t="s">
        <v>2108</v>
      </c>
      <c r="L111" s="97">
        <v>1</v>
      </c>
      <c r="M111" s="97" t="s">
        <v>2027</v>
      </c>
      <c r="N111" s="98">
        <v>0</v>
      </c>
      <c r="O111" s="98">
        <v>26259</v>
      </c>
      <c r="P111" s="98">
        <v>787</v>
      </c>
      <c r="Q111" s="98"/>
    </row>
    <row r="112" spans="1:17" ht="18" customHeight="1" x14ac:dyDescent="0.2">
      <c r="A112" s="102" t="s">
        <v>1949</v>
      </c>
      <c r="B112" s="16" t="s">
        <v>2328</v>
      </c>
      <c r="C112" s="15">
        <v>16</v>
      </c>
      <c r="D112" s="21"/>
      <c r="E112" s="17" t="s">
        <v>2119</v>
      </c>
      <c r="F112" s="17" t="s">
        <v>1582</v>
      </c>
      <c r="G112" s="11" t="s">
        <v>223</v>
      </c>
      <c r="I112" s="97" t="s">
        <v>230</v>
      </c>
      <c r="J112" s="98" t="s">
        <v>2120</v>
      </c>
      <c r="K112" s="98" t="s">
        <v>2109</v>
      </c>
      <c r="L112" s="97">
        <v>1</v>
      </c>
      <c r="M112" s="97" t="s">
        <v>2027</v>
      </c>
      <c r="N112" s="98">
        <v>0</v>
      </c>
      <c r="O112" s="98">
        <v>36107</v>
      </c>
      <c r="P112" s="98">
        <v>1083</v>
      </c>
      <c r="Q112" s="98"/>
    </row>
    <row r="113" spans="1:17" ht="18" customHeight="1" x14ac:dyDescent="0.2">
      <c r="A113" s="102" t="s">
        <v>1946</v>
      </c>
      <c r="B113" s="16" t="s">
        <v>2328</v>
      </c>
      <c r="C113" s="15">
        <v>22</v>
      </c>
      <c r="D113" s="21"/>
      <c r="E113" s="17" t="s">
        <v>2119</v>
      </c>
      <c r="F113" s="17" t="s">
        <v>1581</v>
      </c>
      <c r="G113" s="11" t="s">
        <v>380</v>
      </c>
      <c r="I113" s="97" t="s">
        <v>393</v>
      </c>
      <c r="J113" s="98" t="s">
        <v>1583</v>
      </c>
      <c r="K113" s="98" t="s">
        <v>2110</v>
      </c>
      <c r="L113" s="97">
        <v>1</v>
      </c>
      <c r="M113" s="97" t="s">
        <v>2027</v>
      </c>
      <c r="N113" s="98">
        <v>0</v>
      </c>
      <c r="O113" s="98">
        <v>45954</v>
      </c>
      <c r="P113" s="98">
        <v>1378</v>
      </c>
      <c r="Q113" s="98"/>
    </row>
    <row r="114" spans="1:17" ht="18" customHeight="1" x14ac:dyDescent="0.2">
      <c r="A114" s="102" t="s">
        <v>1942</v>
      </c>
      <c r="B114" s="16" t="s">
        <v>2328</v>
      </c>
      <c r="C114" s="15">
        <v>28</v>
      </c>
      <c r="D114" s="21"/>
      <c r="E114" s="17" t="s">
        <v>2119</v>
      </c>
      <c r="F114" s="17" t="s">
        <v>1580</v>
      </c>
      <c r="G114" s="11" t="s">
        <v>224</v>
      </c>
      <c r="I114" s="97" t="s">
        <v>395</v>
      </c>
      <c r="J114" s="98" t="s">
        <v>1583</v>
      </c>
      <c r="K114" s="98" t="s">
        <v>2111</v>
      </c>
      <c r="L114" s="97">
        <v>1</v>
      </c>
      <c r="M114" s="97" t="s">
        <v>2027</v>
      </c>
      <c r="N114" s="98">
        <v>0</v>
      </c>
      <c r="O114" s="98">
        <v>65649</v>
      </c>
      <c r="P114" s="98">
        <v>1969</v>
      </c>
      <c r="Q114" s="98"/>
    </row>
    <row r="115" spans="1:17" ht="18" customHeight="1" x14ac:dyDescent="0.2">
      <c r="A115" s="102" t="s">
        <v>1938</v>
      </c>
      <c r="B115" s="16" t="s">
        <v>2328</v>
      </c>
      <c r="C115" s="15">
        <v>36</v>
      </c>
      <c r="D115" s="21"/>
      <c r="E115" s="17" t="s">
        <v>2119</v>
      </c>
      <c r="F115" s="17" t="s">
        <v>1579</v>
      </c>
      <c r="G115" s="11" t="s">
        <v>225</v>
      </c>
      <c r="I115" s="97" t="s">
        <v>231</v>
      </c>
      <c r="J115" s="98" t="s">
        <v>1583</v>
      </c>
      <c r="K115" s="98" t="s">
        <v>2112</v>
      </c>
      <c r="L115" s="97">
        <v>1</v>
      </c>
      <c r="M115" s="97" t="s">
        <v>2027</v>
      </c>
      <c r="N115" s="98">
        <v>0</v>
      </c>
      <c r="O115" s="98">
        <v>82061</v>
      </c>
      <c r="P115" s="98">
        <v>2461</v>
      </c>
      <c r="Q115" s="98"/>
    </row>
    <row r="116" spans="1:17" ht="18" customHeight="1" x14ac:dyDescent="0.2">
      <c r="A116" s="102" t="s">
        <v>2320</v>
      </c>
      <c r="B116" s="16" t="s">
        <v>2328</v>
      </c>
      <c r="C116" s="15">
        <v>42</v>
      </c>
      <c r="D116" s="21"/>
      <c r="E116" s="17" t="s">
        <v>2119</v>
      </c>
      <c r="F116" s="17" t="s">
        <v>2339</v>
      </c>
      <c r="G116" s="11" t="s">
        <v>226</v>
      </c>
      <c r="I116" s="97" t="s">
        <v>398</v>
      </c>
      <c r="J116" s="98" t="s">
        <v>1583</v>
      </c>
      <c r="K116" s="98" t="s">
        <v>2113</v>
      </c>
      <c r="L116" s="97">
        <v>1</v>
      </c>
      <c r="M116" s="97" t="s">
        <v>2027</v>
      </c>
      <c r="N116" s="98">
        <v>0</v>
      </c>
      <c r="O116" s="98">
        <v>111603</v>
      </c>
      <c r="P116" s="98">
        <v>3348</v>
      </c>
      <c r="Q116" s="98"/>
    </row>
    <row r="117" spans="1:17" ht="18" customHeight="1" x14ac:dyDescent="0.2">
      <c r="A117" s="102" t="s">
        <v>1934</v>
      </c>
      <c r="B117" s="16" t="s">
        <v>2328</v>
      </c>
      <c r="C117" s="15">
        <v>54</v>
      </c>
      <c r="D117" s="21"/>
      <c r="E117" s="17" t="s">
        <v>2119</v>
      </c>
      <c r="F117" s="17" t="s">
        <v>1578</v>
      </c>
      <c r="G117" s="11" t="s">
        <v>385</v>
      </c>
      <c r="I117" s="97" t="s">
        <v>400</v>
      </c>
      <c r="J117" s="98" t="s">
        <v>1583</v>
      </c>
      <c r="K117" s="98" t="s">
        <v>2114</v>
      </c>
      <c r="L117" s="97">
        <v>1</v>
      </c>
      <c r="M117" s="97" t="s">
        <v>2027</v>
      </c>
      <c r="N117" s="98">
        <v>0</v>
      </c>
      <c r="O117" s="98">
        <v>144428</v>
      </c>
      <c r="P117" s="98">
        <v>4332</v>
      </c>
      <c r="Q117" s="98"/>
    </row>
    <row r="118" spans="1:17" ht="18" customHeight="1" x14ac:dyDescent="0.2">
      <c r="A118" s="102" t="s">
        <v>1577</v>
      </c>
      <c r="B118" s="16" t="s">
        <v>2328</v>
      </c>
      <c r="C118" s="15">
        <v>70</v>
      </c>
      <c r="D118" s="21"/>
      <c r="E118" s="17" t="s">
        <v>2119</v>
      </c>
      <c r="F118" s="17" t="s">
        <v>1576</v>
      </c>
      <c r="G118" s="11" t="s">
        <v>227</v>
      </c>
      <c r="I118" s="97" t="s">
        <v>402</v>
      </c>
      <c r="J118" s="98" t="s">
        <v>1583</v>
      </c>
      <c r="K118" s="98" t="s">
        <v>2115</v>
      </c>
      <c r="L118" s="97">
        <v>1</v>
      </c>
      <c r="M118" s="97" t="s">
        <v>2027</v>
      </c>
      <c r="N118" s="98">
        <v>0</v>
      </c>
      <c r="O118" s="98">
        <v>177253</v>
      </c>
      <c r="P118" s="98">
        <v>5317</v>
      </c>
      <c r="Q118" s="98"/>
    </row>
    <row r="119" spans="1:17" ht="18" customHeight="1" x14ac:dyDescent="0.2">
      <c r="A119" s="102" t="s">
        <v>2321</v>
      </c>
      <c r="B119" s="16" t="s">
        <v>2328</v>
      </c>
      <c r="C119" s="15">
        <v>82</v>
      </c>
      <c r="D119" s="21"/>
      <c r="E119" s="17" t="s">
        <v>2119</v>
      </c>
      <c r="F119" s="17" t="s">
        <v>2340</v>
      </c>
      <c r="G119" s="11" t="s">
        <v>228</v>
      </c>
      <c r="I119" s="97" t="s">
        <v>404</v>
      </c>
      <c r="J119" s="98" t="s">
        <v>1583</v>
      </c>
      <c r="K119" s="98" t="s">
        <v>2116</v>
      </c>
      <c r="L119" s="97">
        <v>1</v>
      </c>
      <c r="M119" s="97" t="s">
        <v>2027</v>
      </c>
      <c r="N119" s="98">
        <v>0</v>
      </c>
      <c r="O119" s="98">
        <v>233055</v>
      </c>
      <c r="P119" s="98">
        <v>6991</v>
      </c>
      <c r="Q119" s="98"/>
    </row>
    <row r="120" spans="1:17" ht="18" customHeight="1" x14ac:dyDescent="0.2">
      <c r="A120" s="102" t="s">
        <v>2322</v>
      </c>
      <c r="B120" s="16" t="s">
        <v>2328</v>
      </c>
      <c r="C120" s="15">
        <v>104</v>
      </c>
      <c r="D120" s="21"/>
      <c r="E120" s="17" t="s">
        <v>2119</v>
      </c>
      <c r="F120" s="17" t="s">
        <v>2341</v>
      </c>
      <c r="G120" s="11" t="s">
        <v>229</v>
      </c>
      <c r="I120" s="97" t="s">
        <v>406</v>
      </c>
      <c r="J120" s="98" t="s">
        <v>2121</v>
      </c>
      <c r="K120" s="98" t="s">
        <v>2108</v>
      </c>
      <c r="L120" s="97">
        <v>1</v>
      </c>
      <c r="M120" s="97" t="s">
        <v>1852</v>
      </c>
      <c r="N120" s="98">
        <v>0</v>
      </c>
      <c r="O120" s="98">
        <v>81980</v>
      </c>
      <c r="P120" s="98">
        <v>2459</v>
      </c>
      <c r="Q120" s="98"/>
    </row>
    <row r="121" spans="1:17" ht="18" customHeight="1" x14ac:dyDescent="0.2">
      <c r="A121" s="102" t="s">
        <v>1950</v>
      </c>
      <c r="B121" s="16" t="s">
        <v>2329</v>
      </c>
      <c r="C121" s="15">
        <v>16</v>
      </c>
      <c r="D121" s="21"/>
      <c r="E121" s="17" t="s">
        <v>1583</v>
      </c>
      <c r="F121" s="17" t="s">
        <v>1590</v>
      </c>
      <c r="G121" s="11" t="s">
        <v>390</v>
      </c>
      <c r="I121" s="97" t="s">
        <v>408</v>
      </c>
      <c r="J121" s="98" t="s">
        <v>2121</v>
      </c>
      <c r="K121" s="98" t="s">
        <v>2122</v>
      </c>
      <c r="L121" s="97">
        <v>1</v>
      </c>
      <c r="M121" s="97" t="s">
        <v>1852</v>
      </c>
      <c r="N121" s="98">
        <v>0</v>
      </c>
      <c r="O121" s="98">
        <v>100198</v>
      </c>
      <c r="P121" s="98">
        <v>3005</v>
      </c>
      <c r="Q121" s="98"/>
    </row>
    <row r="122" spans="1:17" ht="18" customHeight="1" x14ac:dyDescent="0.2">
      <c r="A122" s="102" t="s">
        <v>1947</v>
      </c>
      <c r="B122" s="16" t="s">
        <v>2329</v>
      </c>
      <c r="C122" s="15">
        <v>22</v>
      </c>
      <c r="D122" s="16"/>
      <c r="E122" s="17" t="s">
        <v>1583</v>
      </c>
      <c r="F122" s="17" t="s">
        <v>1589</v>
      </c>
      <c r="G122" s="11" t="s">
        <v>230</v>
      </c>
      <c r="I122" s="97" t="s">
        <v>410</v>
      </c>
      <c r="J122" s="98" t="s">
        <v>2123</v>
      </c>
      <c r="K122" s="98" t="s">
        <v>2124</v>
      </c>
      <c r="L122" s="97">
        <v>1</v>
      </c>
      <c r="M122" s="97" t="s">
        <v>1852</v>
      </c>
      <c r="N122" s="98">
        <v>0</v>
      </c>
      <c r="O122" s="98">
        <v>109307</v>
      </c>
      <c r="P122" s="98">
        <v>3279</v>
      </c>
      <c r="Q122" s="98"/>
    </row>
    <row r="123" spans="1:17" ht="18" customHeight="1" x14ac:dyDescent="0.2">
      <c r="A123" s="102" t="s">
        <v>1943</v>
      </c>
      <c r="B123" s="16" t="s">
        <v>2329</v>
      </c>
      <c r="C123" s="15">
        <v>28</v>
      </c>
      <c r="D123" s="16"/>
      <c r="E123" s="17" t="s">
        <v>1583</v>
      </c>
      <c r="F123" s="17" t="s">
        <v>1588</v>
      </c>
      <c r="G123" s="11" t="s">
        <v>393</v>
      </c>
      <c r="I123" s="97" t="s">
        <v>412</v>
      </c>
      <c r="J123" s="98" t="s">
        <v>2123</v>
      </c>
      <c r="K123" s="98" t="s">
        <v>2125</v>
      </c>
      <c r="L123" s="97">
        <v>1</v>
      </c>
      <c r="M123" s="97" t="s">
        <v>1852</v>
      </c>
      <c r="N123" s="98">
        <v>0</v>
      </c>
      <c r="O123" s="98">
        <v>121452</v>
      </c>
      <c r="P123" s="98">
        <v>3643</v>
      </c>
      <c r="Q123" s="98"/>
    </row>
    <row r="124" spans="1:17" ht="18" customHeight="1" x14ac:dyDescent="0.2">
      <c r="A124" s="102" t="s">
        <v>1939</v>
      </c>
      <c r="B124" s="16" t="s">
        <v>2329</v>
      </c>
      <c r="C124" s="15">
        <v>36</v>
      </c>
      <c r="D124" s="16"/>
      <c r="E124" s="17" t="s">
        <v>1583</v>
      </c>
      <c r="F124" s="17" t="s">
        <v>1587</v>
      </c>
      <c r="G124" s="11" t="s">
        <v>395</v>
      </c>
      <c r="I124" s="97" t="s">
        <v>414</v>
      </c>
      <c r="J124" s="98" t="s">
        <v>2123</v>
      </c>
      <c r="K124" s="98" t="s">
        <v>2114</v>
      </c>
      <c r="L124" s="97">
        <v>1</v>
      </c>
      <c r="M124" s="97" t="s">
        <v>1852</v>
      </c>
      <c r="N124" s="98">
        <v>0</v>
      </c>
      <c r="O124" s="98">
        <v>142707</v>
      </c>
      <c r="P124" s="98">
        <v>4281</v>
      </c>
      <c r="Q124" s="98"/>
    </row>
    <row r="125" spans="1:17" ht="18" customHeight="1" x14ac:dyDescent="0.2">
      <c r="A125" s="102" t="s">
        <v>2323</v>
      </c>
      <c r="B125" s="16" t="s">
        <v>2329</v>
      </c>
      <c r="C125" s="15">
        <v>42</v>
      </c>
      <c r="D125" s="16"/>
      <c r="E125" s="17" t="s">
        <v>1583</v>
      </c>
      <c r="F125" s="17" t="s">
        <v>2342</v>
      </c>
      <c r="G125" s="11" t="s">
        <v>231</v>
      </c>
      <c r="I125" s="97" t="s">
        <v>416</v>
      </c>
      <c r="J125" s="98" t="s">
        <v>2123</v>
      </c>
      <c r="K125" s="98" t="s">
        <v>2126</v>
      </c>
      <c r="L125" s="97">
        <v>1</v>
      </c>
      <c r="M125" s="97" t="s">
        <v>1852</v>
      </c>
      <c r="N125" s="98">
        <v>0</v>
      </c>
      <c r="O125" s="98">
        <v>151816</v>
      </c>
      <c r="P125" s="98">
        <v>4554</v>
      </c>
      <c r="Q125" s="98"/>
    </row>
    <row r="126" spans="1:17" ht="18" customHeight="1" x14ac:dyDescent="0.2">
      <c r="A126" s="102" t="s">
        <v>1935</v>
      </c>
      <c r="B126" s="16" t="s">
        <v>2329</v>
      </c>
      <c r="C126" s="15">
        <v>54</v>
      </c>
      <c r="D126" s="16"/>
      <c r="E126" s="17" t="s">
        <v>1583</v>
      </c>
      <c r="F126" s="17" t="s">
        <v>1586</v>
      </c>
      <c r="G126" s="11" t="s">
        <v>398</v>
      </c>
      <c r="I126" s="97" t="s">
        <v>418</v>
      </c>
      <c r="J126" s="98" t="s">
        <v>2123</v>
      </c>
      <c r="K126" s="98" t="s">
        <v>2127</v>
      </c>
      <c r="L126" s="97">
        <v>1</v>
      </c>
      <c r="M126" s="97" t="s">
        <v>1852</v>
      </c>
      <c r="N126" s="98">
        <v>0</v>
      </c>
      <c r="O126" s="98">
        <v>173070</v>
      </c>
      <c r="P126" s="98">
        <v>5192</v>
      </c>
      <c r="Q126" s="98"/>
    </row>
    <row r="127" spans="1:17" ht="18" customHeight="1" x14ac:dyDescent="0.2">
      <c r="A127" s="102" t="s">
        <v>1585</v>
      </c>
      <c r="B127" s="16" t="s">
        <v>2329</v>
      </c>
      <c r="C127" s="15">
        <v>70</v>
      </c>
      <c r="D127" s="16"/>
      <c r="E127" s="17" t="s">
        <v>1583</v>
      </c>
      <c r="F127" s="17" t="s">
        <v>1584</v>
      </c>
      <c r="G127" s="11" t="s">
        <v>400</v>
      </c>
      <c r="I127" s="97" t="s">
        <v>420</v>
      </c>
      <c r="J127" s="98" t="s">
        <v>2123</v>
      </c>
      <c r="K127" s="98" t="s">
        <v>2128</v>
      </c>
      <c r="L127" s="97">
        <v>1</v>
      </c>
      <c r="M127" s="97" t="s">
        <v>1852</v>
      </c>
      <c r="N127" s="98">
        <v>0</v>
      </c>
      <c r="O127" s="98">
        <v>206469</v>
      </c>
      <c r="P127" s="98">
        <v>6194</v>
      </c>
      <c r="Q127" s="98"/>
    </row>
    <row r="128" spans="1:17" ht="18" customHeight="1" x14ac:dyDescent="0.2">
      <c r="A128" s="102" t="s">
        <v>2324</v>
      </c>
      <c r="B128" s="16" t="s">
        <v>2329</v>
      </c>
      <c r="C128" s="15">
        <v>82</v>
      </c>
      <c r="D128" s="16"/>
      <c r="E128" s="17" t="s">
        <v>1583</v>
      </c>
      <c r="F128" s="17" t="s">
        <v>2343</v>
      </c>
      <c r="G128" s="11" t="s">
        <v>402</v>
      </c>
      <c r="I128" s="97" t="s">
        <v>422</v>
      </c>
      <c r="J128" s="98" t="s">
        <v>2123</v>
      </c>
      <c r="K128" s="98" t="s">
        <v>2129</v>
      </c>
      <c r="L128" s="97">
        <v>1</v>
      </c>
      <c r="M128" s="97" t="s">
        <v>1852</v>
      </c>
      <c r="N128" s="98">
        <v>0</v>
      </c>
      <c r="O128" s="98">
        <v>206469</v>
      </c>
      <c r="P128" s="98">
        <v>6194</v>
      </c>
      <c r="Q128" s="98"/>
    </row>
    <row r="129" spans="1:17" ht="18" customHeight="1" x14ac:dyDescent="0.2">
      <c r="A129" s="102" t="s">
        <v>2325</v>
      </c>
      <c r="B129" s="16" t="s">
        <v>2329</v>
      </c>
      <c r="C129" s="15">
        <v>104</v>
      </c>
      <c r="D129" s="16"/>
      <c r="E129" s="17" t="s">
        <v>1583</v>
      </c>
      <c r="F129" s="17" t="s">
        <v>2344</v>
      </c>
      <c r="G129" s="11" t="s">
        <v>404</v>
      </c>
      <c r="I129" s="97" t="s">
        <v>424</v>
      </c>
      <c r="J129" s="98" t="s">
        <v>2123</v>
      </c>
      <c r="K129" s="98" t="s">
        <v>2130</v>
      </c>
      <c r="L129" s="97">
        <v>1</v>
      </c>
      <c r="M129" s="97" t="s">
        <v>1852</v>
      </c>
      <c r="N129" s="98">
        <v>0</v>
      </c>
      <c r="O129" s="98">
        <v>233796</v>
      </c>
      <c r="P129" s="98">
        <v>7013</v>
      </c>
      <c r="Q129" s="98"/>
    </row>
    <row r="130" spans="1:17" ht="18" customHeight="1" x14ac:dyDescent="0.2">
      <c r="A130" s="102" t="s">
        <v>2345</v>
      </c>
      <c r="B130" s="16" t="s">
        <v>2356</v>
      </c>
      <c r="C130" s="16">
        <v>16</v>
      </c>
      <c r="D130" s="16"/>
      <c r="E130" s="17" t="s">
        <v>1608</v>
      </c>
      <c r="F130" s="17" t="s">
        <v>2357</v>
      </c>
      <c r="G130" s="16" t="s">
        <v>2394</v>
      </c>
      <c r="I130" s="97" t="s">
        <v>426</v>
      </c>
      <c r="J130" s="98" t="s">
        <v>2123</v>
      </c>
      <c r="K130" s="98" t="s">
        <v>2131</v>
      </c>
      <c r="L130" s="97">
        <v>1</v>
      </c>
      <c r="M130" s="97" t="s">
        <v>1852</v>
      </c>
      <c r="N130" s="98">
        <v>0</v>
      </c>
      <c r="O130" s="98">
        <v>255050</v>
      </c>
      <c r="P130" s="98">
        <v>7651</v>
      </c>
      <c r="Q130" s="98"/>
    </row>
    <row r="131" spans="1:17" ht="18" customHeight="1" x14ac:dyDescent="0.2">
      <c r="A131" s="102" t="s">
        <v>1610</v>
      </c>
      <c r="B131" s="16" t="s">
        <v>2356</v>
      </c>
      <c r="C131" s="16">
        <v>25</v>
      </c>
      <c r="D131" s="15"/>
      <c r="E131" s="17" t="s">
        <v>1608</v>
      </c>
      <c r="F131" s="17" t="s">
        <v>2358</v>
      </c>
      <c r="G131" s="16" t="s">
        <v>2395</v>
      </c>
      <c r="I131" s="97" t="s">
        <v>428</v>
      </c>
      <c r="J131" s="98" t="s">
        <v>2123</v>
      </c>
      <c r="K131" s="98" t="s">
        <v>2132</v>
      </c>
      <c r="L131" s="97">
        <v>1</v>
      </c>
      <c r="M131" s="97" t="s">
        <v>1852</v>
      </c>
      <c r="N131" s="98">
        <v>0</v>
      </c>
      <c r="O131" s="98">
        <v>294523</v>
      </c>
      <c r="P131" s="98">
        <v>8835</v>
      </c>
      <c r="Q131" s="98"/>
    </row>
    <row r="132" spans="1:17" ht="18" customHeight="1" x14ac:dyDescent="0.2">
      <c r="A132" s="102" t="s">
        <v>2346</v>
      </c>
      <c r="B132" s="16" t="s">
        <v>2356</v>
      </c>
      <c r="C132" s="16">
        <v>35</v>
      </c>
      <c r="D132" s="15"/>
      <c r="E132" s="17" t="s">
        <v>1608</v>
      </c>
      <c r="F132" s="17" t="s">
        <v>2359</v>
      </c>
      <c r="G132" s="16" t="s">
        <v>410</v>
      </c>
      <c r="I132" s="97" t="s">
        <v>430</v>
      </c>
      <c r="J132" s="98" t="s">
        <v>2133</v>
      </c>
      <c r="K132" s="98" t="s">
        <v>2108</v>
      </c>
      <c r="L132" s="97">
        <v>1</v>
      </c>
      <c r="M132" s="97" t="s">
        <v>1852</v>
      </c>
      <c r="N132" s="98">
        <v>0</v>
      </c>
      <c r="O132" s="98">
        <v>81980</v>
      </c>
      <c r="P132" s="98">
        <v>2459</v>
      </c>
      <c r="Q132" s="98"/>
    </row>
    <row r="133" spans="1:17" ht="18" customHeight="1" x14ac:dyDescent="0.2">
      <c r="A133" s="102" t="s">
        <v>2347</v>
      </c>
      <c r="B133" s="16" t="s">
        <v>2356</v>
      </c>
      <c r="C133" s="16">
        <v>50</v>
      </c>
      <c r="D133" s="15"/>
      <c r="E133" s="17" t="s">
        <v>1608</v>
      </c>
      <c r="F133" s="17" t="s">
        <v>2360</v>
      </c>
      <c r="G133" s="16" t="s">
        <v>412</v>
      </c>
      <c r="I133" s="97" t="s">
        <v>432</v>
      </c>
      <c r="J133" s="98" t="s">
        <v>2133</v>
      </c>
      <c r="K133" s="98" t="s">
        <v>2122</v>
      </c>
      <c r="L133" s="97">
        <v>1</v>
      </c>
      <c r="M133" s="97" t="s">
        <v>1852</v>
      </c>
      <c r="N133" s="98">
        <v>0</v>
      </c>
      <c r="O133" s="98">
        <v>100198</v>
      </c>
      <c r="P133" s="98">
        <v>3005</v>
      </c>
      <c r="Q133" s="98"/>
    </row>
    <row r="134" spans="1:17" ht="18" customHeight="1" x14ac:dyDescent="0.2">
      <c r="A134" s="102" t="s">
        <v>2348</v>
      </c>
      <c r="B134" s="16" t="s">
        <v>2356</v>
      </c>
      <c r="C134" s="16">
        <v>70</v>
      </c>
      <c r="D134" s="15"/>
      <c r="E134" s="17" t="s">
        <v>1608</v>
      </c>
      <c r="F134" s="17" t="s">
        <v>2361</v>
      </c>
      <c r="G134" s="16" t="s">
        <v>414</v>
      </c>
      <c r="I134" s="97" t="s">
        <v>436</v>
      </c>
      <c r="J134" s="98" t="s">
        <v>2133</v>
      </c>
      <c r="K134" s="98" t="s">
        <v>2124</v>
      </c>
      <c r="L134" s="97">
        <v>1</v>
      </c>
      <c r="M134" s="97" t="s">
        <v>1852</v>
      </c>
      <c r="N134" s="98">
        <v>0</v>
      </c>
      <c r="O134" s="98">
        <v>109307</v>
      </c>
      <c r="P134" s="98">
        <v>3279</v>
      </c>
      <c r="Q134" s="98"/>
    </row>
    <row r="135" spans="1:17" ht="18" customHeight="1" x14ac:dyDescent="0.2">
      <c r="A135" s="102" t="s">
        <v>2349</v>
      </c>
      <c r="B135" s="16" t="s">
        <v>2356</v>
      </c>
      <c r="C135" s="16">
        <v>95</v>
      </c>
      <c r="D135" s="15"/>
      <c r="E135" s="17" t="s">
        <v>1608</v>
      </c>
      <c r="F135" s="17" t="s">
        <v>2362</v>
      </c>
      <c r="G135" s="16" t="s">
        <v>416</v>
      </c>
      <c r="I135" s="97" t="s">
        <v>438</v>
      </c>
      <c r="J135" s="98" t="s">
        <v>2133</v>
      </c>
      <c r="K135" s="98" t="s">
        <v>2125</v>
      </c>
      <c r="L135" s="97">
        <v>1</v>
      </c>
      <c r="M135" s="97" t="s">
        <v>1852</v>
      </c>
      <c r="N135" s="98">
        <v>0</v>
      </c>
      <c r="O135" s="98">
        <v>121452</v>
      </c>
      <c r="P135" s="98">
        <v>3643</v>
      </c>
      <c r="Q135" s="98"/>
    </row>
    <row r="136" spans="1:17" ht="18" customHeight="1" x14ac:dyDescent="0.2">
      <c r="A136" s="102" t="s">
        <v>2350</v>
      </c>
      <c r="B136" s="16" t="s">
        <v>2356</v>
      </c>
      <c r="C136" s="16">
        <v>120</v>
      </c>
      <c r="D136" s="15"/>
      <c r="E136" s="17" t="s">
        <v>1608</v>
      </c>
      <c r="F136" s="17" t="s">
        <v>2363</v>
      </c>
      <c r="G136" s="16" t="s">
        <v>418</v>
      </c>
      <c r="I136" s="97" t="s">
        <v>440</v>
      </c>
      <c r="J136" s="98" t="s">
        <v>2133</v>
      </c>
      <c r="K136" s="98" t="s">
        <v>2114</v>
      </c>
      <c r="L136" s="97">
        <v>1</v>
      </c>
      <c r="M136" s="97" t="s">
        <v>1852</v>
      </c>
      <c r="N136" s="98">
        <v>0</v>
      </c>
      <c r="O136" s="98">
        <v>142707</v>
      </c>
      <c r="P136" s="98">
        <v>4281</v>
      </c>
      <c r="Q136" s="98"/>
    </row>
    <row r="137" spans="1:17" ht="18" customHeight="1" x14ac:dyDescent="0.2">
      <c r="A137" s="102" t="s">
        <v>2351</v>
      </c>
      <c r="B137" s="16" t="s">
        <v>2356</v>
      </c>
      <c r="C137" s="16">
        <v>150</v>
      </c>
      <c r="D137" s="15"/>
      <c r="E137" s="17" t="s">
        <v>1608</v>
      </c>
      <c r="F137" s="17" t="s">
        <v>2364</v>
      </c>
      <c r="G137" s="16" t="s">
        <v>420</v>
      </c>
      <c r="I137" s="97" t="s">
        <v>442</v>
      </c>
      <c r="J137" s="98" t="s">
        <v>2133</v>
      </c>
      <c r="K137" s="98" t="s">
        <v>2126</v>
      </c>
      <c r="L137" s="97">
        <v>1</v>
      </c>
      <c r="M137" s="97" t="s">
        <v>1852</v>
      </c>
      <c r="N137" s="98">
        <v>0</v>
      </c>
      <c r="O137" s="98">
        <v>151816</v>
      </c>
      <c r="P137" s="98">
        <v>4554</v>
      </c>
      <c r="Q137" s="98"/>
    </row>
    <row r="138" spans="1:17" ht="18" customHeight="1" x14ac:dyDescent="0.2">
      <c r="A138" s="102" t="s">
        <v>2352</v>
      </c>
      <c r="B138" s="16" t="s">
        <v>2356</v>
      </c>
      <c r="C138" s="16">
        <v>185</v>
      </c>
      <c r="D138" s="15"/>
      <c r="E138" s="17" t="s">
        <v>1608</v>
      </c>
      <c r="F138" s="17" t="s">
        <v>2365</v>
      </c>
      <c r="G138" s="16" t="s">
        <v>422</v>
      </c>
      <c r="I138" s="97" t="s">
        <v>444</v>
      </c>
      <c r="J138" s="98" t="s">
        <v>2133</v>
      </c>
      <c r="K138" s="98" t="s">
        <v>2127</v>
      </c>
      <c r="L138" s="97">
        <v>1</v>
      </c>
      <c r="M138" s="97" t="s">
        <v>1852</v>
      </c>
      <c r="N138" s="98">
        <v>0</v>
      </c>
      <c r="O138" s="98">
        <v>173070</v>
      </c>
      <c r="P138" s="98">
        <v>5192</v>
      </c>
      <c r="Q138" s="98"/>
    </row>
    <row r="139" spans="1:17" ht="18" customHeight="1" x14ac:dyDescent="0.2">
      <c r="A139" s="102" t="s">
        <v>2353</v>
      </c>
      <c r="B139" s="16" t="s">
        <v>2356</v>
      </c>
      <c r="C139" s="16">
        <v>240</v>
      </c>
      <c r="D139" s="15"/>
      <c r="E139" s="17" t="s">
        <v>1608</v>
      </c>
      <c r="F139" s="17" t="s">
        <v>2366</v>
      </c>
      <c r="G139" s="16" t="s">
        <v>424</v>
      </c>
      <c r="I139" s="97" t="s">
        <v>446</v>
      </c>
      <c r="J139" s="98" t="s">
        <v>2133</v>
      </c>
      <c r="K139" s="98" t="s">
        <v>2128</v>
      </c>
      <c r="L139" s="97">
        <v>1</v>
      </c>
      <c r="M139" s="97" t="s">
        <v>1852</v>
      </c>
      <c r="N139" s="98">
        <v>0</v>
      </c>
      <c r="O139" s="98">
        <v>206469</v>
      </c>
      <c r="P139" s="98">
        <v>6194</v>
      </c>
      <c r="Q139" s="98"/>
    </row>
    <row r="140" spans="1:17" ht="18" customHeight="1" x14ac:dyDescent="0.2">
      <c r="A140" s="102" t="s">
        <v>2354</v>
      </c>
      <c r="B140" s="16" t="s">
        <v>2356</v>
      </c>
      <c r="C140" s="16">
        <v>300</v>
      </c>
      <c r="D140" s="15"/>
      <c r="E140" s="17" t="s">
        <v>1608</v>
      </c>
      <c r="F140" s="17" t="s">
        <v>2367</v>
      </c>
      <c r="G140" s="16" t="s">
        <v>426</v>
      </c>
      <c r="I140" s="97" t="s">
        <v>448</v>
      </c>
      <c r="J140" s="98" t="s">
        <v>2133</v>
      </c>
      <c r="K140" s="98" t="s">
        <v>2129</v>
      </c>
      <c r="L140" s="97">
        <v>1</v>
      </c>
      <c r="M140" s="97" t="s">
        <v>1852</v>
      </c>
      <c r="N140" s="98">
        <v>0</v>
      </c>
      <c r="O140" s="98">
        <v>206469</v>
      </c>
      <c r="P140" s="98">
        <v>6194</v>
      </c>
      <c r="Q140" s="98"/>
    </row>
    <row r="141" spans="1:17" ht="18" customHeight="1" x14ac:dyDescent="0.2">
      <c r="A141" s="102" t="s">
        <v>2355</v>
      </c>
      <c r="B141" s="16" t="s">
        <v>2356</v>
      </c>
      <c r="C141" s="16">
        <v>400</v>
      </c>
      <c r="D141" s="15"/>
      <c r="E141" s="17" t="s">
        <v>1608</v>
      </c>
      <c r="F141" s="17" t="s">
        <v>2368</v>
      </c>
      <c r="G141" s="16" t="s">
        <v>428</v>
      </c>
      <c r="I141" s="97" t="s">
        <v>450</v>
      </c>
      <c r="J141" s="98" t="s">
        <v>2133</v>
      </c>
      <c r="K141" s="98" t="s">
        <v>2130</v>
      </c>
      <c r="L141" s="97">
        <v>1</v>
      </c>
      <c r="M141" s="97" t="s">
        <v>1852</v>
      </c>
      <c r="N141" s="98">
        <v>0</v>
      </c>
      <c r="O141" s="98">
        <v>233796</v>
      </c>
      <c r="P141" s="98">
        <v>7013</v>
      </c>
      <c r="Q141" s="98"/>
    </row>
    <row r="142" spans="1:17" ht="18" customHeight="1" x14ac:dyDescent="0.2">
      <c r="A142" s="102" t="s">
        <v>2001</v>
      </c>
      <c r="B142" s="16" t="s">
        <v>2381</v>
      </c>
      <c r="C142" s="16">
        <v>1.5</v>
      </c>
      <c r="D142" s="15"/>
      <c r="E142" s="17" t="s">
        <v>1611</v>
      </c>
      <c r="F142" s="17" t="s">
        <v>1619</v>
      </c>
      <c r="I142" s="97" t="s">
        <v>452</v>
      </c>
      <c r="J142" s="98" t="s">
        <v>2133</v>
      </c>
      <c r="K142" s="98" t="s">
        <v>2131</v>
      </c>
      <c r="L142" s="97">
        <v>1</v>
      </c>
      <c r="M142" s="97" t="s">
        <v>1852</v>
      </c>
      <c r="N142" s="98">
        <v>0</v>
      </c>
      <c r="O142" s="98">
        <v>255050</v>
      </c>
      <c r="P142" s="98">
        <v>7651</v>
      </c>
      <c r="Q142" s="98"/>
    </row>
    <row r="143" spans="1:17" ht="18" customHeight="1" x14ac:dyDescent="0.2">
      <c r="A143" s="102" t="s">
        <v>2014</v>
      </c>
      <c r="B143" s="16" t="s">
        <v>2381</v>
      </c>
      <c r="C143" s="16">
        <v>2.5</v>
      </c>
      <c r="D143" s="15"/>
      <c r="E143" s="17" t="s">
        <v>1611</v>
      </c>
      <c r="F143" s="17" t="s">
        <v>1617</v>
      </c>
      <c r="I143" s="97" t="s">
        <v>232</v>
      </c>
      <c r="J143" s="98" t="s">
        <v>2133</v>
      </c>
      <c r="K143" s="98" t="s">
        <v>2132</v>
      </c>
      <c r="L143" s="97">
        <v>1</v>
      </c>
      <c r="M143" s="97" t="s">
        <v>1852</v>
      </c>
      <c r="N143" s="98">
        <v>0</v>
      </c>
      <c r="O143" s="98">
        <v>294523</v>
      </c>
      <c r="P143" s="98">
        <v>8835</v>
      </c>
      <c r="Q143" s="98"/>
    </row>
    <row r="144" spans="1:17" ht="18" customHeight="1" x14ac:dyDescent="0.2">
      <c r="A144" s="102" t="s">
        <v>1965</v>
      </c>
      <c r="B144" s="16" t="s">
        <v>2381</v>
      </c>
      <c r="C144" s="16">
        <v>4</v>
      </c>
      <c r="D144" s="15"/>
      <c r="E144" s="17" t="s">
        <v>1611</v>
      </c>
      <c r="F144" s="17" t="s">
        <v>1615</v>
      </c>
      <c r="I144" s="97" t="s">
        <v>455</v>
      </c>
      <c r="J144" s="98" t="s">
        <v>2134</v>
      </c>
      <c r="K144" s="98" t="s">
        <v>2135</v>
      </c>
      <c r="L144" s="97">
        <v>1</v>
      </c>
      <c r="M144" s="97" t="s">
        <v>1852</v>
      </c>
      <c r="N144" s="98">
        <v>0</v>
      </c>
      <c r="O144" s="98">
        <v>12582</v>
      </c>
      <c r="P144" s="98">
        <v>377</v>
      </c>
      <c r="Q144" s="98"/>
    </row>
    <row r="145" spans="1:17" ht="18" customHeight="1" x14ac:dyDescent="0.2">
      <c r="A145" s="102" t="s">
        <v>1827</v>
      </c>
      <c r="B145" s="16" t="s">
        <v>2381</v>
      </c>
      <c r="C145" s="16">
        <v>6</v>
      </c>
      <c r="D145" s="15"/>
      <c r="E145" s="17" t="s">
        <v>1611</v>
      </c>
      <c r="F145" s="17" t="s">
        <v>1613</v>
      </c>
      <c r="I145" s="97" t="s">
        <v>456</v>
      </c>
      <c r="J145" s="98" t="s">
        <v>2134</v>
      </c>
      <c r="K145" s="98" t="s">
        <v>2136</v>
      </c>
      <c r="L145" s="97">
        <v>1</v>
      </c>
      <c r="M145" s="97" t="s">
        <v>1852</v>
      </c>
      <c r="N145" s="98">
        <v>0</v>
      </c>
      <c r="O145" s="98">
        <v>12582</v>
      </c>
      <c r="P145" s="98">
        <v>377</v>
      </c>
      <c r="Q145" s="98"/>
    </row>
    <row r="146" spans="1:17" ht="18" customHeight="1" x14ac:dyDescent="0.2">
      <c r="A146" s="102" t="s">
        <v>2369</v>
      </c>
      <c r="B146" s="16" t="s">
        <v>2381</v>
      </c>
      <c r="C146" s="16">
        <v>10</v>
      </c>
      <c r="D146" s="15"/>
      <c r="E146" s="17" t="s">
        <v>1611</v>
      </c>
      <c r="F146" s="17" t="s">
        <v>2382</v>
      </c>
      <c r="I146" s="97" t="s">
        <v>457</v>
      </c>
      <c r="J146" s="98" t="s">
        <v>2134</v>
      </c>
      <c r="K146" s="98" t="s">
        <v>2137</v>
      </c>
      <c r="L146" s="97">
        <v>1</v>
      </c>
      <c r="M146" s="97" t="s">
        <v>1852</v>
      </c>
      <c r="N146" s="98">
        <v>0</v>
      </c>
      <c r="O146" s="98">
        <v>12582</v>
      </c>
      <c r="P146" s="98">
        <v>377</v>
      </c>
      <c r="Q146" s="98"/>
    </row>
    <row r="147" spans="1:17" ht="18" customHeight="1" x14ac:dyDescent="0.2">
      <c r="A147" s="102" t="s">
        <v>2370</v>
      </c>
      <c r="B147" s="16" t="s">
        <v>2381</v>
      </c>
      <c r="C147" s="16">
        <v>16</v>
      </c>
      <c r="D147" s="15"/>
      <c r="E147" s="17" t="s">
        <v>1611</v>
      </c>
      <c r="F147" s="17" t="s">
        <v>2013</v>
      </c>
      <c r="G147" s="16" t="s">
        <v>430</v>
      </c>
      <c r="I147" s="97" t="s">
        <v>458</v>
      </c>
      <c r="J147" s="98" t="s">
        <v>2134</v>
      </c>
      <c r="K147" s="98" t="s">
        <v>2138</v>
      </c>
      <c r="L147" s="97">
        <v>1</v>
      </c>
      <c r="M147" s="97" t="s">
        <v>1852</v>
      </c>
      <c r="N147" s="98">
        <v>0</v>
      </c>
      <c r="O147" s="98">
        <v>16412</v>
      </c>
      <c r="P147" s="98">
        <v>492</v>
      </c>
      <c r="Q147" s="98"/>
    </row>
    <row r="148" spans="1:17" ht="18" customHeight="1" x14ac:dyDescent="0.2">
      <c r="A148" s="102" t="s">
        <v>1612</v>
      </c>
      <c r="B148" s="16" t="s">
        <v>2381</v>
      </c>
      <c r="C148" s="16">
        <v>25</v>
      </c>
      <c r="D148" s="15"/>
      <c r="E148" s="17" t="s">
        <v>1611</v>
      </c>
      <c r="F148" s="17" t="s">
        <v>2383</v>
      </c>
      <c r="G148" s="16" t="s">
        <v>432</v>
      </c>
      <c r="I148" s="97" t="s">
        <v>460</v>
      </c>
      <c r="J148" s="98" t="s">
        <v>2134</v>
      </c>
      <c r="K148" s="98" t="s">
        <v>2139</v>
      </c>
      <c r="L148" s="97">
        <v>1</v>
      </c>
      <c r="M148" s="97" t="s">
        <v>1852</v>
      </c>
      <c r="N148" s="98">
        <v>0</v>
      </c>
      <c r="O148" s="98">
        <v>16412</v>
      </c>
      <c r="P148" s="98">
        <v>492</v>
      </c>
      <c r="Q148" s="98"/>
    </row>
    <row r="149" spans="1:17" ht="18" customHeight="1" x14ac:dyDescent="0.2">
      <c r="A149" s="102" t="s">
        <v>2371</v>
      </c>
      <c r="B149" s="16" t="s">
        <v>2381</v>
      </c>
      <c r="C149" s="16">
        <v>35</v>
      </c>
      <c r="D149" s="15"/>
      <c r="E149" s="17" t="s">
        <v>1611</v>
      </c>
      <c r="F149" s="17" t="s">
        <v>2384</v>
      </c>
      <c r="G149" s="16" t="s">
        <v>436</v>
      </c>
      <c r="I149" s="97" t="s">
        <v>462</v>
      </c>
      <c r="J149" s="98" t="s">
        <v>2134</v>
      </c>
      <c r="K149" s="98" t="s">
        <v>2140</v>
      </c>
      <c r="L149" s="97">
        <v>1</v>
      </c>
      <c r="M149" s="97" t="s">
        <v>1852</v>
      </c>
      <c r="N149" s="98">
        <v>0</v>
      </c>
      <c r="O149" s="98">
        <v>16412</v>
      </c>
      <c r="P149" s="98">
        <v>492</v>
      </c>
      <c r="Q149" s="98"/>
    </row>
    <row r="150" spans="1:17" ht="18" customHeight="1" x14ac:dyDescent="0.2">
      <c r="A150" s="102" t="s">
        <v>2372</v>
      </c>
      <c r="B150" s="16" t="s">
        <v>2381</v>
      </c>
      <c r="C150" s="16">
        <v>50</v>
      </c>
      <c r="D150" s="15"/>
      <c r="E150" s="17" t="s">
        <v>1611</v>
      </c>
      <c r="F150" s="17" t="s">
        <v>2385</v>
      </c>
      <c r="G150" s="16" t="s">
        <v>438</v>
      </c>
      <c r="I150" s="97" t="s">
        <v>463</v>
      </c>
      <c r="J150" s="98" t="s">
        <v>2134</v>
      </c>
      <c r="K150" s="98" t="s">
        <v>2141</v>
      </c>
      <c r="L150" s="97">
        <v>1</v>
      </c>
      <c r="M150" s="97" t="s">
        <v>1852</v>
      </c>
      <c r="N150" s="98">
        <v>0</v>
      </c>
      <c r="O150" s="98">
        <v>19694</v>
      </c>
      <c r="P150" s="98">
        <v>590</v>
      </c>
      <c r="Q150" s="98"/>
    </row>
    <row r="151" spans="1:17" ht="18" customHeight="1" x14ac:dyDescent="0.2">
      <c r="A151" s="102" t="s">
        <v>2373</v>
      </c>
      <c r="B151" s="16" t="s">
        <v>2381</v>
      </c>
      <c r="C151" s="16">
        <v>70</v>
      </c>
      <c r="D151" s="15"/>
      <c r="E151" s="17" t="s">
        <v>1611</v>
      </c>
      <c r="F151" s="17" t="s">
        <v>2386</v>
      </c>
      <c r="G151" s="16" t="s">
        <v>440</v>
      </c>
      <c r="I151" s="97" t="s">
        <v>465</v>
      </c>
      <c r="J151" s="98" t="s">
        <v>2134</v>
      </c>
      <c r="K151" s="98" t="s">
        <v>2142</v>
      </c>
      <c r="L151" s="97">
        <v>1</v>
      </c>
      <c r="M151" s="97" t="s">
        <v>1852</v>
      </c>
      <c r="N151" s="98">
        <v>0</v>
      </c>
      <c r="O151" s="98">
        <v>26259</v>
      </c>
      <c r="P151" s="98">
        <v>787</v>
      </c>
      <c r="Q151" s="98"/>
    </row>
    <row r="152" spans="1:17" ht="18" customHeight="1" x14ac:dyDescent="0.2">
      <c r="A152" s="102" t="s">
        <v>2374</v>
      </c>
      <c r="B152" s="16" t="s">
        <v>2381</v>
      </c>
      <c r="C152" s="16">
        <v>95</v>
      </c>
      <c r="D152" s="15"/>
      <c r="E152" s="17" t="s">
        <v>1611</v>
      </c>
      <c r="F152" s="17" t="s">
        <v>2387</v>
      </c>
      <c r="G152" s="16" t="s">
        <v>442</v>
      </c>
      <c r="I152" s="97" t="s">
        <v>466</v>
      </c>
      <c r="J152" s="98" t="s">
        <v>2134</v>
      </c>
      <c r="K152" s="98" t="s">
        <v>2143</v>
      </c>
      <c r="L152" s="97">
        <v>1</v>
      </c>
      <c r="M152" s="97" t="s">
        <v>1852</v>
      </c>
      <c r="N152" s="98">
        <v>0</v>
      </c>
      <c r="O152" s="98">
        <v>26259</v>
      </c>
      <c r="P152" s="98">
        <v>787</v>
      </c>
      <c r="Q152" s="98"/>
    </row>
    <row r="153" spans="1:17" ht="18" customHeight="1" x14ac:dyDescent="0.2">
      <c r="A153" s="102" t="s">
        <v>2375</v>
      </c>
      <c r="B153" s="16" t="s">
        <v>2381</v>
      </c>
      <c r="C153" s="16">
        <v>120</v>
      </c>
      <c r="D153" s="15"/>
      <c r="E153" s="17" t="s">
        <v>1611</v>
      </c>
      <c r="F153" s="17" t="s">
        <v>2388</v>
      </c>
      <c r="G153" s="16" t="s">
        <v>444</v>
      </c>
      <c r="I153" s="97" t="s">
        <v>468</v>
      </c>
      <c r="J153" s="98" t="s">
        <v>2134</v>
      </c>
      <c r="K153" s="98" t="s">
        <v>2144</v>
      </c>
      <c r="L153" s="97">
        <v>1</v>
      </c>
      <c r="M153" s="97" t="s">
        <v>1852</v>
      </c>
      <c r="N153" s="98">
        <v>0</v>
      </c>
      <c r="O153" s="98">
        <v>26259</v>
      </c>
      <c r="P153" s="98">
        <v>787</v>
      </c>
      <c r="Q153" s="98"/>
    </row>
    <row r="154" spans="1:17" ht="18" customHeight="1" x14ac:dyDescent="0.2">
      <c r="A154" s="102" t="s">
        <v>2376</v>
      </c>
      <c r="B154" s="16" t="s">
        <v>2381</v>
      </c>
      <c r="C154" s="16">
        <v>150</v>
      </c>
      <c r="D154" s="15"/>
      <c r="E154" s="17" t="s">
        <v>1611</v>
      </c>
      <c r="F154" s="17" t="s">
        <v>2389</v>
      </c>
      <c r="G154" s="16" t="s">
        <v>446</v>
      </c>
      <c r="I154" s="97" t="s">
        <v>470</v>
      </c>
      <c r="J154" s="98" t="s">
        <v>2134</v>
      </c>
      <c r="K154" s="98" t="s">
        <v>2145</v>
      </c>
      <c r="L154" s="97">
        <v>1</v>
      </c>
      <c r="M154" s="97" t="s">
        <v>1852</v>
      </c>
      <c r="N154" s="98">
        <v>0</v>
      </c>
      <c r="O154" s="98">
        <v>29542</v>
      </c>
      <c r="P154" s="98">
        <v>886</v>
      </c>
      <c r="Q154" s="98"/>
    </row>
    <row r="155" spans="1:17" ht="18" customHeight="1" x14ac:dyDescent="0.2">
      <c r="A155" s="102" t="s">
        <v>2377</v>
      </c>
      <c r="B155" s="16" t="s">
        <v>2381</v>
      </c>
      <c r="C155" s="16">
        <v>185</v>
      </c>
      <c r="D155" s="15"/>
      <c r="E155" s="17" t="s">
        <v>1611</v>
      </c>
      <c r="F155" s="17" t="s">
        <v>2390</v>
      </c>
      <c r="G155" s="16" t="s">
        <v>448</v>
      </c>
      <c r="I155" s="97" t="s">
        <v>472</v>
      </c>
      <c r="J155" s="98" t="s">
        <v>2134</v>
      </c>
      <c r="K155" s="98" t="s">
        <v>2146</v>
      </c>
      <c r="L155" s="97">
        <v>1</v>
      </c>
      <c r="M155" s="97" t="s">
        <v>1852</v>
      </c>
      <c r="N155" s="98">
        <v>0</v>
      </c>
      <c r="O155" s="98">
        <v>39389</v>
      </c>
      <c r="P155" s="98">
        <v>1181</v>
      </c>
      <c r="Q155" s="98"/>
    </row>
    <row r="156" spans="1:17" ht="18" customHeight="1" x14ac:dyDescent="0.2">
      <c r="A156" s="102" t="s">
        <v>2378</v>
      </c>
      <c r="B156" s="16" t="s">
        <v>2381</v>
      </c>
      <c r="C156" s="16">
        <v>240</v>
      </c>
      <c r="D156" s="15"/>
      <c r="E156" s="17" t="s">
        <v>1611</v>
      </c>
      <c r="F156" s="17" t="s">
        <v>2391</v>
      </c>
      <c r="G156" s="16" t="s">
        <v>450</v>
      </c>
      <c r="I156" s="97" t="s">
        <v>473</v>
      </c>
      <c r="J156" s="98" t="s">
        <v>2147</v>
      </c>
      <c r="K156" s="98" t="s">
        <v>2135</v>
      </c>
      <c r="L156" s="97">
        <v>1</v>
      </c>
      <c r="M156" s="97" t="s">
        <v>1852</v>
      </c>
      <c r="N156" s="98">
        <v>0</v>
      </c>
      <c r="O156" s="98">
        <v>12582</v>
      </c>
      <c r="P156" s="98">
        <v>377</v>
      </c>
      <c r="Q156" s="98"/>
    </row>
    <row r="157" spans="1:17" ht="18" customHeight="1" x14ac:dyDescent="0.2">
      <c r="A157" s="102" t="s">
        <v>2379</v>
      </c>
      <c r="B157" s="16" t="s">
        <v>2381</v>
      </c>
      <c r="C157" s="16">
        <v>300</v>
      </c>
      <c r="D157" s="15"/>
      <c r="E157" s="17" t="s">
        <v>1611</v>
      </c>
      <c r="F157" s="17" t="s">
        <v>2392</v>
      </c>
      <c r="G157" s="16" t="s">
        <v>452</v>
      </c>
      <c r="I157" s="97" t="s">
        <v>474</v>
      </c>
      <c r="J157" s="98" t="s">
        <v>2147</v>
      </c>
      <c r="K157" s="98" t="s">
        <v>2136</v>
      </c>
      <c r="L157" s="97">
        <v>1</v>
      </c>
      <c r="M157" s="97" t="s">
        <v>1852</v>
      </c>
      <c r="N157" s="98">
        <v>0</v>
      </c>
      <c r="O157" s="98">
        <v>12582</v>
      </c>
      <c r="P157" s="98">
        <v>377</v>
      </c>
      <c r="Q157" s="98"/>
    </row>
    <row r="158" spans="1:17" ht="18" customHeight="1" x14ac:dyDescent="0.2">
      <c r="A158" s="102" t="s">
        <v>2380</v>
      </c>
      <c r="B158" s="16" t="s">
        <v>2381</v>
      </c>
      <c r="C158" s="16">
        <v>400</v>
      </c>
      <c r="D158" s="15"/>
      <c r="E158" s="17" t="s">
        <v>1611</v>
      </c>
      <c r="F158" s="17" t="s">
        <v>2393</v>
      </c>
      <c r="G158" s="16" t="s">
        <v>232</v>
      </c>
      <c r="I158" s="97" t="s">
        <v>475</v>
      </c>
      <c r="J158" s="98" t="s">
        <v>2147</v>
      </c>
      <c r="K158" s="98" t="s">
        <v>2137</v>
      </c>
      <c r="L158" s="97">
        <v>1</v>
      </c>
      <c r="M158" s="97" t="s">
        <v>1852</v>
      </c>
      <c r="N158" s="98">
        <v>0</v>
      </c>
      <c r="O158" s="98">
        <v>12582</v>
      </c>
      <c r="P158" s="98">
        <v>377</v>
      </c>
      <c r="Q158" s="98"/>
    </row>
    <row r="159" spans="1:17" ht="18" customHeight="1" x14ac:dyDescent="0.2">
      <c r="A159" s="102" t="s">
        <v>2396</v>
      </c>
      <c r="B159" s="16" t="s">
        <v>2450</v>
      </c>
      <c r="C159" s="16">
        <v>150</v>
      </c>
      <c r="D159" s="15"/>
      <c r="E159" s="17" t="s">
        <v>1625</v>
      </c>
      <c r="F159" s="17" t="s">
        <v>2456</v>
      </c>
      <c r="G159" s="16" t="s">
        <v>2512</v>
      </c>
      <c r="I159" s="97" t="s">
        <v>477</v>
      </c>
      <c r="J159" s="98" t="s">
        <v>2147</v>
      </c>
      <c r="K159" s="98" t="s">
        <v>2138</v>
      </c>
      <c r="L159" s="97">
        <v>1</v>
      </c>
      <c r="M159" s="97" t="s">
        <v>1852</v>
      </c>
      <c r="N159" s="98">
        <v>0</v>
      </c>
      <c r="O159" s="98">
        <v>16412</v>
      </c>
      <c r="P159" s="98">
        <v>492</v>
      </c>
      <c r="Q159" s="98"/>
    </row>
    <row r="160" spans="1:17" ht="18" customHeight="1" x14ac:dyDescent="0.2">
      <c r="A160" s="102" t="s">
        <v>2397</v>
      </c>
      <c r="B160" s="16" t="s">
        <v>2450</v>
      </c>
      <c r="C160" s="16">
        <v>200</v>
      </c>
      <c r="D160" s="15"/>
      <c r="E160" s="17" t="s">
        <v>1625</v>
      </c>
      <c r="F160" s="17" t="s">
        <v>2457</v>
      </c>
      <c r="G160" s="16" t="s">
        <v>516</v>
      </c>
      <c r="I160" s="97" t="s">
        <v>479</v>
      </c>
      <c r="J160" s="98" t="s">
        <v>2147</v>
      </c>
      <c r="K160" s="98" t="s">
        <v>2139</v>
      </c>
      <c r="L160" s="97">
        <v>1</v>
      </c>
      <c r="M160" s="97" t="s">
        <v>1852</v>
      </c>
      <c r="N160" s="98">
        <v>0</v>
      </c>
      <c r="O160" s="98">
        <v>16412</v>
      </c>
      <c r="P160" s="98">
        <v>492</v>
      </c>
      <c r="Q160" s="98"/>
    </row>
    <row r="161" spans="1:17" ht="18" customHeight="1" x14ac:dyDescent="0.2">
      <c r="A161" s="102" t="s">
        <v>2398</v>
      </c>
      <c r="B161" s="16" t="s">
        <v>2450</v>
      </c>
      <c r="C161" s="16">
        <v>300</v>
      </c>
      <c r="D161" s="15"/>
      <c r="E161" s="17" t="s">
        <v>1625</v>
      </c>
      <c r="F161" s="17" t="s">
        <v>2458</v>
      </c>
      <c r="G161" s="16" t="s">
        <v>517</v>
      </c>
      <c r="I161" s="97" t="s">
        <v>481</v>
      </c>
      <c r="J161" s="98" t="s">
        <v>2147</v>
      </c>
      <c r="K161" s="98" t="s">
        <v>2140</v>
      </c>
      <c r="L161" s="97">
        <v>1</v>
      </c>
      <c r="M161" s="97" t="s">
        <v>1852</v>
      </c>
      <c r="N161" s="98">
        <v>0</v>
      </c>
      <c r="O161" s="98">
        <v>16412</v>
      </c>
      <c r="P161" s="98">
        <v>492</v>
      </c>
      <c r="Q161" s="98"/>
    </row>
    <row r="162" spans="1:17" ht="18" customHeight="1" x14ac:dyDescent="0.2">
      <c r="A162" s="102" t="s">
        <v>2399</v>
      </c>
      <c r="B162" s="16" t="s">
        <v>2450</v>
      </c>
      <c r="C162" s="16">
        <v>400</v>
      </c>
      <c r="D162" s="15"/>
      <c r="E162" s="17" t="s">
        <v>1625</v>
      </c>
      <c r="F162" s="17" t="s">
        <v>2459</v>
      </c>
      <c r="G162" s="16" t="s">
        <v>518</v>
      </c>
      <c r="I162" s="97" t="s">
        <v>482</v>
      </c>
      <c r="J162" s="98" t="s">
        <v>2147</v>
      </c>
      <c r="K162" s="98" t="s">
        <v>2141</v>
      </c>
      <c r="L162" s="97">
        <v>1</v>
      </c>
      <c r="M162" s="97" t="s">
        <v>1852</v>
      </c>
      <c r="N162" s="98">
        <v>0</v>
      </c>
      <c r="O162" s="98">
        <v>19694</v>
      </c>
      <c r="P162" s="98">
        <v>590</v>
      </c>
      <c r="Q162" s="98"/>
    </row>
    <row r="163" spans="1:17" ht="18" customHeight="1" x14ac:dyDescent="0.2">
      <c r="A163" s="102" t="s">
        <v>2400</v>
      </c>
      <c r="B163" s="16" t="s">
        <v>2450</v>
      </c>
      <c r="C163" s="16">
        <v>500</v>
      </c>
      <c r="D163" s="15"/>
      <c r="E163" s="17" t="s">
        <v>1625</v>
      </c>
      <c r="F163" s="17" t="s">
        <v>2460</v>
      </c>
      <c r="G163" s="16" t="s">
        <v>519</v>
      </c>
      <c r="I163" s="97" t="s">
        <v>484</v>
      </c>
      <c r="J163" s="98" t="s">
        <v>2147</v>
      </c>
      <c r="K163" s="98" t="s">
        <v>2142</v>
      </c>
      <c r="L163" s="97">
        <v>1</v>
      </c>
      <c r="M163" s="97" t="s">
        <v>1852</v>
      </c>
      <c r="N163" s="98">
        <v>0</v>
      </c>
      <c r="O163" s="98">
        <v>26259</v>
      </c>
      <c r="P163" s="98">
        <v>787</v>
      </c>
      <c r="Q163" s="98"/>
    </row>
    <row r="164" spans="1:17" ht="18" customHeight="1" x14ac:dyDescent="0.2">
      <c r="A164" s="102" t="s">
        <v>2401</v>
      </c>
      <c r="B164" s="16" t="s">
        <v>2450</v>
      </c>
      <c r="C164" s="16">
        <v>600</v>
      </c>
      <c r="D164" s="15"/>
      <c r="E164" s="17" t="s">
        <v>1625</v>
      </c>
      <c r="F164" s="17" t="s">
        <v>2461</v>
      </c>
      <c r="G164" s="16" t="s">
        <v>520</v>
      </c>
      <c r="I164" s="97" t="s">
        <v>485</v>
      </c>
      <c r="J164" s="98" t="s">
        <v>2147</v>
      </c>
      <c r="K164" s="98" t="s">
        <v>2143</v>
      </c>
      <c r="L164" s="97">
        <v>1</v>
      </c>
      <c r="M164" s="97" t="s">
        <v>1852</v>
      </c>
      <c r="N164" s="98">
        <v>0</v>
      </c>
      <c r="O164" s="98">
        <v>26259</v>
      </c>
      <c r="P164" s="98">
        <v>787</v>
      </c>
      <c r="Q164" s="98"/>
    </row>
    <row r="165" spans="1:17" ht="18" customHeight="1" x14ac:dyDescent="0.2">
      <c r="A165" s="102" t="s">
        <v>2402</v>
      </c>
      <c r="B165" s="16" t="s">
        <v>2450</v>
      </c>
      <c r="C165" s="16">
        <v>700</v>
      </c>
      <c r="D165" s="15"/>
      <c r="E165" s="17" t="s">
        <v>1625</v>
      </c>
      <c r="F165" s="17" t="s">
        <v>2462</v>
      </c>
      <c r="G165" s="16" t="s">
        <v>521</v>
      </c>
      <c r="I165" s="97" t="s">
        <v>486</v>
      </c>
      <c r="J165" s="98" t="s">
        <v>2147</v>
      </c>
      <c r="K165" s="98" t="s">
        <v>2144</v>
      </c>
      <c r="L165" s="97">
        <v>1</v>
      </c>
      <c r="M165" s="97" t="s">
        <v>1852</v>
      </c>
      <c r="N165" s="98">
        <v>0</v>
      </c>
      <c r="O165" s="98">
        <v>26259</v>
      </c>
      <c r="P165" s="98">
        <v>787</v>
      </c>
      <c r="Q165" s="98"/>
    </row>
    <row r="166" spans="1:17" ht="18" customHeight="1" x14ac:dyDescent="0.2">
      <c r="A166" s="102" t="s">
        <v>2403</v>
      </c>
      <c r="B166" s="16" t="s">
        <v>2450</v>
      </c>
      <c r="C166" s="16">
        <v>800</v>
      </c>
      <c r="D166" s="15"/>
      <c r="E166" s="17" t="s">
        <v>1625</v>
      </c>
      <c r="F166" s="17" t="s">
        <v>2463</v>
      </c>
      <c r="G166" s="16" t="s">
        <v>203</v>
      </c>
      <c r="I166" s="97" t="s">
        <v>487</v>
      </c>
      <c r="J166" s="98" t="s">
        <v>2147</v>
      </c>
      <c r="K166" s="98" t="s">
        <v>2145</v>
      </c>
      <c r="L166" s="97">
        <v>1</v>
      </c>
      <c r="M166" s="97" t="s">
        <v>1852</v>
      </c>
      <c r="N166" s="98">
        <v>0</v>
      </c>
      <c r="O166" s="98">
        <v>29542</v>
      </c>
      <c r="P166" s="98">
        <v>886</v>
      </c>
      <c r="Q166" s="98"/>
    </row>
    <row r="167" spans="1:17" ht="18" customHeight="1" x14ac:dyDescent="0.2">
      <c r="A167" s="102" t="s">
        <v>2404</v>
      </c>
      <c r="B167" s="16" t="s">
        <v>2450</v>
      </c>
      <c r="C167" s="16">
        <v>900</v>
      </c>
      <c r="D167" s="15"/>
      <c r="E167" s="17" t="s">
        <v>1625</v>
      </c>
      <c r="F167" s="17" t="s">
        <v>2464</v>
      </c>
      <c r="G167" s="16" t="s">
        <v>204</v>
      </c>
      <c r="I167" s="97" t="s">
        <v>488</v>
      </c>
      <c r="J167" s="98" t="s">
        <v>2147</v>
      </c>
      <c r="K167" s="98" t="s">
        <v>2146</v>
      </c>
      <c r="L167" s="97">
        <v>1</v>
      </c>
      <c r="M167" s="97" t="s">
        <v>1852</v>
      </c>
      <c r="N167" s="98">
        <v>0</v>
      </c>
      <c r="O167" s="98">
        <v>39389</v>
      </c>
      <c r="P167" s="98">
        <v>1181</v>
      </c>
      <c r="Q167" s="98"/>
    </row>
    <row r="168" spans="1:17" ht="18" customHeight="1" x14ac:dyDescent="0.2">
      <c r="A168" s="102" t="s">
        <v>1627</v>
      </c>
      <c r="B168" s="16" t="s">
        <v>2450</v>
      </c>
      <c r="C168" s="16">
        <v>1000</v>
      </c>
      <c r="D168" s="15"/>
      <c r="E168" s="17" t="s">
        <v>1625</v>
      </c>
      <c r="F168" s="17" t="s">
        <v>2465</v>
      </c>
      <c r="G168" s="16" t="s">
        <v>523</v>
      </c>
      <c r="I168" s="97" t="s">
        <v>489</v>
      </c>
      <c r="J168" s="98" t="s">
        <v>2148</v>
      </c>
      <c r="K168" s="98" t="s">
        <v>2149</v>
      </c>
      <c r="L168" s="97">
        <v>1</v>
      </c>
      <c r="M168" s="97" t="s">
        <v>1852</v>
      </c>
      <c r="N168" s="98">
        <v>0</v>
      </c>
      <c r="O168" s="98">
        <v>62913</v>
      </c>
      <c r="P168" s="98">
        <v>1887</v>
      </c>
      <c r="Q168" s="98"/>
    </row>
    <row r="169" spans="1:17" ht="18" customHeight="1" x14ac:dyDescent="0.2">
      <c r="A169" s="102" t="s">
        <v>2405</v>
      </c>
      <c r="B169" s="16" t="s">
        <v>2451</v>
      </c>
      <c r="C169" s="16">
        <v>150</v>
      </c>
      <c r="D169" s="15"/>
      <c r="E169" s="17" t="s">
        <v>1642</v>
      </c>
      <c r="F169" s="17" t="s">
        <v>1647</v>
      </c>
      <c r="G169" s="16" t="s">
        <v>865</v>
      </c>
      <c r="I169" s="97" t="s">
        <v>490</v>
      </c>
      <c r="J169" s="98" t="s">
        <v>2148</v>
      </c>
      <c r="K169" s="98" t="s">
        <v>2150</v>
      </c>
      <c r="L169" s="97">
        <v>1</v>
      </c>
      <c r="M169" s="97" t="s">
        <v>1852</v>
      </c>
      <c r="N169" s="98">
        <v>0</v>
      </c>
      <c r="O169" s="98">
        <v>62913</v>
      </c>
      <c r="P169" s="98">
        <v>1887</v>
      </c>
      <c r="Q169" s="98"/>
    </row>
    <row r="170" spans="1:17" ht="18" customHeight="1" x14ac:dyDescent="0.2">
      <c r="A170" s="102" t="s">
        <v>2406</v>
      </c>
      <c r="B170" s="16" t="s">
        <v>2451</v>
      </c>
      <c r="C170" s="16">
        <v>200</v>
      </c>
      <c r="D170" s="15"/>
      <c r="E170" s="17" t="s">
        <v>1642</v>
      </c>
      <c r="F170" s="17" t="s">
        <v>2466</v>
      </c>
      <c r="G170" s="16" t="s">
        <v>456</v>
      </c>
      <c r="I170" s="97" t="s">
        <v>491</v>
      </c>
      <c r="J170" s="98" t="s">
        <v>2148</v>
      </c>
      <c r="K170" s="98" t="s">
        <v>2151</v>
      </c>
      <c r="L170" s="97">
        <v>1</v>
      </c>
      <c r="M170" s="97" t="s">
        <v>1852</v>
      </c>
      <c r="N170" s="98">
        <v>0</v>
      </c>
      <c r="O170" s="98">
        <v>62913</v>
      </c>
      <c r="P170" s="98">
        <v>1887</v>
      </c>
      <c r="Q170" s="98"/>
    </row>
    <row r="171" spans="1:17" ht="18" customHeight="1" x14ac:dyDescent="0.2">
      <c r="A171" s="102" t="s">
        <v>2407</v>
      </c>
      <c r="B171" s="16" t="s">
        <v>2451</v>
      </c>
      <c r="C171" s="16">
        <v>300</v>
      </c>
      <c r="D171" s="16"/>
      <c r="E171" s="17" t="s">
        <v>1642</v>
      </c>
      <c r="F171" s="17" t="s">
        <v>2467</v>
      </c>
      <c r="G171" s="16" t="s">
        <v>457</v>
      </c>
      <c r="I171" s="97" t="s">
        <v>492</v>
      </c>
      <c r="J171" s="98" t="s">
        <v>2148</v>
      </c>
      <c r="K171" s="98" t="s">
        <v>2152</v>
      </c>
      <c r="L171" s="97">
        <v>1</v>
      </c>
      <c r="M171" s="97" t="s">
        <v>1852</v>
      </c>
      <c r="N171" s="98">
        <v>0</v>
      </c>
      <c r="O171" s="98">
        <v>82061</v>
      </c>
      <c r="P171" s="98">
        <v>2461</v>
      </c>
      <c r="Q171" s="98"/>
    </row>
    <row r="172" spans="1:17" ht="18" customHeight="1" x14ac:dyDescent="0.2">
      <c r="A172" s="102" t="s">
        <v>1644</v>
      </c>
      <c r="B172" s="16" t="s">
        <v>2451</v>
      </c>
      <c r="C172" s="16">
        <v>400</v>
      </c>
      <c r="D172" s="16"/>
      <c r="E172" s="17" t="s">
        <v>1642</v>
      </c>
      <c r="F172" s="17" t="s">
        <v>1643</v>
      </c>
      <c r="G172" s="16" t="s">
        <v>458</v>
      </c>
      <c r="I172" s="97" t="s">
        <v>493</v>
      </c>
      <c r="J172" s="98" t="s">
        <v>2148</v>
      </c>
      <c r="K172" s="98" t="s">
        <v>2153</v>
      </c>
      <c r="L172" s="97">
        <v>1</v>
      </c>
      <c r="M172" s="97" t="s">
        <v>1852</v>
      </c>
      <c r="N172" s="98">
        <v>0</v>
      </c>
      <c r="O172" s="98">
        <v>82061</v>
      </c>
      <c r="P172" s="98">
        <v>2461</v>
      </c>
      <c r="Q172" s="98"/>
    </row>
    <row r="173" spans="1:17" ht="18" customHeight="1" x14ac:dyDescent="0.2">
      <c r="A173" s="102" t="s">
        <v>2408</v>
      </c>
      <c r="B173" s="16" t="s">
        <v>2451</v>
      </c>
      <c r="C173" s="16">
        <v>500</v>
      </c>
      <c r="D173" s="16"/>
      <c r="E173" s="17" t="s">
        <v>1642</v>
      </c>
      <c r="F173" s="17" t="s">
        <v>2468</v>
      </c>
      <c r="G173" s="16" t="s">
        <v>462</v>
      </c>
      <c r="I173" s="97" t="s">
        <v>494</v>
      </c>
      <c r="J173" s="98" t="s">
        <v>2148</v>
      </c>
      <c r="K173" s="98" t="s">
        <v>2154</v>
      </c>
      <c r="L173" s="97">
        <v>1</v>
      </c>
      <c r="M173" s="97" t="s">
        <v>1852</v>
      </c>
      <c r="N173" s="98">
        <v>0</v>
      </c>
      <c r="O173" s="98">
        <v>82061</v>
      </c>
      <c r="P173" s="98">
        <v>2461</v>
      </c>
      <c r="Q173" s="98"/>
    </row>
    <row r="174" spans="1:17" ht="18" customHeight="1" x14ac:dyDescent="0.2">
      <c r="A174" s="102" t="s">
        <v>2409</v>
      </c>
      <c r="B174" s="16" t="s">
        <v>2451</v>
      </c>
      <c r="C174" s="16">
        <v>600</v>
      </c>
      <c r="D174" s="16"/>
      <c r="E174" s="17" t="s">
        <v>1642</v>
      </c>
      <c r="F174" s="17" t="s">
        <v>2469</v>
      </c>
      <c r="G174" s="16" t="s">
        <v>463</v>
      </c>
      <c r="I174" s="97" t="s">
        <v>495</v>
      </c>
      <c r="J174" s="98" t="s">
        <v>2148</v>
      </c>
      <c r="K174" s="98" t="s">
        <v>2155</v>
      </c>
      <c r="L174" s="97">
        <v>1</v>
      </c>
      <c r="M174" s="97" t="s">
        <v>1852</v>
      </c>
      <c r="N174" s="98">
        <v>0</v>
      </c>
      <c r="O174" s="98">
        <v>98474</v>
      </c>
      <c r="P174" s="98">
        <v>2954</v>
      </c>
      <c r="Q174" s="98"/>
    </row>
    <row r="175" spans="1:17" ht="18" customHeight="1" x14ac:dyDescent="0.2">
      <c r="A175" s="102" t="s">
        <v>2410</v>
      </c>
      <c r="B175" s="16" t="s">
        <v>2451</v>
      </c>
      <c r="C175" s="16">
        <v>700</v>
      </c>
      <c r="D175" s="16"/>
      <c r="E175" s="17" t="s">
        <v>1642</v>
      </c>
      <c r="F175" s="17" t="s">
        <v>2470</v>
      </c>
      <c r="G175" s="16" t="s">
        <v>465</v>
      </c>
      <c r="I175" s="97" t="s">
        <v>496</v>
      </c>
      <c r="J175" s="98" t="s">
        <v>2148</v>
      </c>
      <c r="K175" s="98" t="s">
        <v>2156</v>
      </c>
      <c r="L175" s="97">
        <v>1</v>
      </c>
      <c r="M175" s="97" t="s">
        <v>1852</v>
      </c>
      <c r="N175" s="98">
        <v>0</v>
      </c>
      <c r="O175" s="98">
        <v>131298</v>
      </c>
      <c r="P175" s="98">
        <v>3938</v>
      </c>
      <c r="Q175" s="98"/>
    </row>
    <row r="176" spans="1:17" ht="18" customHeight="1" x14ac:dyDescent="0.2">
      <c r="A176" s="102" t="s">
        <v>2411</v>
      </c>
      <c r="B176" s="16" t="s">
        <v>2451</v>
      </c>
      <c r="C176" s="16">
        <v>800</v>
      </c>
      <c r="D176" s="16"/>
      <c r="E176" s="17" t="s">
        <v>1642</v>
      </c>
      <c r="F176" s="17" t="s">
        <v>2471</v>
      </c>
      <c r="G176" s="16" t="s">
        <v>468</v>
      </c>
      <c r="I176" s="97" t="s">
        <v>497</v>
      </c>
      <c r="J176" s="98" t="s">
        <v>2148</v>
      </c>
      <c r="K176" s="98" t="s">
        <v>2157</v>
      </c>
      <c r="L176" s="97">
        <v>1</v>
      </c>
      <c r="M176" s="97" t="s">
        <v>1852</v>
      </c>
      <c r="N176" s="98">
        <v>0</v>
      </c>
      <c r="O176" s="98">
        <v>131298</v>
      </c>
      <c r="P176" s="98">
        <v>3938</v>
      </c>
      <c r="Q176" s="98"/>
    </row>
    <row r="177" spans="1:17" ht="18" customHeight="1" x14ac:dyDescent="0.2">
      <c r="A177" s="102" t="s">
        <v>2412</v>
      </c>
      <c r="B177" s="16" t="s">
        <v>2451</v>
      </c>
      <c r="C177" s="16">
        <v>900</v>
      </c>
      <c r="D177" s="16"/>
      <c r="E177" s="17" t="s">
        <v>1642</v>
      </c>
      <c r="F177" s="17" t="s">
        <v>2472</v>
      </c>
      <c r="G177" s="16" t="s">
        <v>2513</v>
      </c>
      <c r="I177" s="97" t="s">
        <v>498</v>
      </c>
      <c r="J177" s="98" t="s">
        <v>2148</v>
      </c>
      <c r="K177" s="98" t="s">
        <v>2158</v>
      </c>
      <c r="L177" s="97">
        <v>1</v>
      </c>
      <c r="M177" s="97" t="s">
        <v>1852</v>
      </c>
      <c r="N177" s="98">
        <v>0</v>
      </c>
      <c r="O177" s="98">
        <v>131298</v>
      </c>
      <c r="P177" s="98">
        <v>3938</v>
      </c>
      <c r="Q177" s="98"/>
    </row>
    <row r="178" spans="1:17" ht="18" customHeight="1" x14ac:dyDescent="0.2">
      <c r="A178" s="102" t="s">
        <v>2413</v>
      </c>
      <c r="B178" s="16" t="s">
        <v>2451</v>
      </c>
      <c r="C178" s="16">
        <v>1000</v>
      </c>
      <c r="D178" s="16"/>
      <c r="E178" s="17" t="s">
        <v>1642</v>
      </c>
      <c r="F178" s="17" t="s">
        <v>2473</v>
      </c>
      <c r="G178" s="16" t="s">
        <v>2514</v>
      </c>
      <c r="I178" s="97" t="s">
        <v>499</v>
      </c>
      <c r="J178" s="98" t="s">
        <v>2148</v>
      </c>
      <c r="K178" s="98" t="s">
        <v>2159</v>
      </c>
      <c r="L178" s="97">
        <v>1</v>
      </c>
      <c r="M178" s="97" t="s">
        <v>1852</v>
      </c>
      <c r="N178" s="98">
        <v>0</v>
      </c>
      <c r="O178" s="98">
        <v>147711</v>
      </c>
      <c r="P178" s="98">
        <v>4431</v>
      </c>
      <c r="Q178" s="98"/>
    </row>
    <row r="179" spans="1:17" ht="18" customHeight="1" x14ac:dyDescent="0.2">
      <c r="A179" s="102" t="s">
        <v>2414</v>
      </c>
      <c r="B179" s="16" t="s">
        <v>2452</v>
      </c>
      <c r="C179" s="16">
        <v>150</v>
      </c>
      <c r="D179" s="16"/>
      <c r="E179" s="17" t="s">
        <v>1642</v>
      </c>
      <c r="F179" s="17" t="s">
        <v>1649</v>
      </c>
      <c r="G179" s="16" t="s">
        <v>473</v>
      </c>
      <c r="I179" s="97" t="s">
        <v>500</v>
      </c>
      <c r="J179" s="98" t="s">
        <v>2148</v>
      </c>
      <c r="K179" s="98" t="s">
        <v>2160</v>
      </c>
      <c r="L179" s="97">
        <v>1</v>
      </c>
      <c r="M179" s="97" t="s">
        <v>1852</v>
      </c>
      <c r="N179" s="98">
        <v>0</v>
      </c>
      <c r="O179" s="98">
        <v>196948</v>
      </c>
      <c r="P179" s="98">
        <v>5908</v>
      </c>
      <c r="Q179" s="98"/>
    </row>
    <row r="180" spans="1:17" ht="18" customHeight="1" x14ac:dyDescent="0.2">
      <c r="A180" s="102" t="s">
        <v>2415</v>
      </c>
      <c r="B180" s="16" t="s">
        <v>2452</v>
      </c>
      <c r="C180" s="16">
        <v>200</v>
      </c>
      <c r="D180" s="16"/>
      <c r="E180" s="17" t="s">
        <v>1642</v>
      </c>
      <c r="F180" s="17" t="s">
        <v>2474</v>
      </c>
      <c r="G180" s="16" t="s">
        <v>474</v>
      </c>
      <c r="I180" s="97" t="s">
        <v>502</v>
      </c>
      <c r="J180" s="98" t="s">
        <v>2161</v>
      </c>
      <c r="K180" s="98" t="s">
        <v>2149</v>
      </c>
      <c r="L180" s="97">
        <v>1</v>
      </c>
      <c r="M180" s="97" t="s">
        <v>1852</v>
      </c>
      <c r="N180" s="98">
        <v>0</v>
      </c>
      <c r="O180" s="98">
        <v>62913</v>
      </c>
      <c r="P180" s="98">
        <v>1887</v>
      </c>
      <c r="Q180" s="98"/>
    </row>
    <row r="181" spans="1:17" ht="18" customHeight="1" x14ac:dyDescent="0.2">
      <c r="A181" s="102" t="s">
        <v>2416</v>
      </c>
      <c r="B181" s="16" t="s">
        <v>2452</v>
      </c>
      <c r="C181" s="16">
        <v>300</v>
      </c>
      <c r="D181" s="16"/>
      <c r="E181" s="17" t="s">
        <v>1642</v>
      </c>
      <c r="F181" s="17" t="s">
        <v>2475</v>
      </c>
      <c r="G181" s="16" t="s">
        <v>475</v>
      </c>
      <c r="I181" s="97" t="s">
        <v>504</v>
      </c>
      <c r="J181" s="98" t="s">
        <v>2161</v>
      </c>
      <c r="K181" s="98" t="s">
        <v>2150</v>
      </c>
      <c r="L181" s="97">
        <v>1</v>
      </c>
      <c r="M181" s="97" t="s">
        <v>1852</v>
      </c>
      <c r="N181" s="98">
        <v>0</v>
      </c>
      <c r="O181" s="98">
        <v>62913</v>
      </c>
      <c r="P181" s="98">
        <v>1887</v>
      </c>
      <c r="Q181" s="98"/>
    </row>
    <row r="182" spans="1:17" ht="18" customHeight="1" x14ac:dyDescent="0.2">
      <c r="A182" s="102" t="s">
        <v>1646</v>
      </c>
      <c r="B182" s="16" t="s">
        <v>2452</v>
      </c>
      <c r="C182" s="16">
        <v>400</v>
      </c>
      <c r="D182" s="16"/>
      <c r="E182" s="17" t="s">
        <v>1642</v>
      </c>
      <c r="F182" s="17" t="s">
        <v>1645</v>
      </c>
      <c r="G182" s="16" t="s">
        <v>477</v>
      </c>
      <c r="I182" s="97" t="s">
        <v>505</v>
      </c>
      <c r="J182" s="98" t="s">
        <v>2161</v>
      </c>
      <c r="K182" s="98" t="s">
        <v>2151</v>
      </c>
      <c r="L182" s="97">
        <v>1</v>
      </c>
      <c r="M182" s="97" t="s">
        <v>1852</v>
      </c>
      <c r="N182" s="98">
        <v>0</v>
      </c>
      <c r="O182" s="98">
        <v>62913</v>
      </c>
      <c r="P182" s="98">
        <v>1887</v>
      </c>
      <c r="Q182" s="98"/>
    </row>
    <row r="183" spans="1:17" ht="18" customHeight="1" x14ac:dyDescent="0.2">
      <c r="A183" s="102" t="s">
        <v>2417</v>
      </c>
      <c r="B183" s="16" t="s">
        <v>2452</v>
      </c>
      <c r="C183" s="16">
        <v>500</v>
      </c>
      <c r="D183" s="16"/>
      <c r="E183" s="17" t="s">
        <v>1642</v>
      </c>
      <c r="F183" s="17" t="s">
        <v>2476</v>
      </c>
      <c r="G183" s="16" t="s">
        <v>481</v>
      </c>
      <c r="I183" s="97" t="s">
        <v>506</v>
      </c>
      <c r="J183" s="98" t="s">
        <v>2161</v>
      </c>
      <c r="K183" s="98" t="s">
        <v>2152</v>
      </c>
      <c r="L183" s="97">
        <v>1</v>
      </c>
      <c r="M183" s="97" t="s">
        <v>1852</v>
      </c>
      <c r="N183" s="98">
        <v>0</v>
      </c>
      <c r="O183" s="98">
        <v>82061</v>
      </c>
      <c r="P183" s="98">
        <v>2461</v>
      </c>
      <c r="Q183" s="98"/>
    </row>
    <row r="184" spans="1:17" ht="18" customHeight="1" x14ac:dyDescent="0.2">
      <c r="A184" s="102" t="s">
        <v>2418</v>
      </c>
      <c r="B184" s="16" t="s">
        <v>2452</v>
      </c>
      <c r="C184" s="16">
        <v>600</v>
      </c>
      <c r="D184" s="16"/>
      <c r="E184" s="17" t="s">
        <v>1642</v>
      </c>
      <c r="F184" s="17" t="s">
        <v>2477</v>
      </c>
      <c r="G184" s="16" t="s">
        <v>482</v>
      </c>
      <c r="I184" s="97" t="s">
        <v>507</v>
      </c>
      <c r="J184" s="98" t="s">
        <v>2161</v>
      </c>
      <c r="K184" s="98" t="s">
        <v>2153</v>
      </c>
      <c r="L184" s="97">
        <v>1</v>
      </c>
      <c r="M184" s="97" t="s">
        <v>1852</v>
      </c>
      <c r="N184" s="98">
        <v>0</v>
      </c>
      <c r="O184" s="98">
        <v>82061</v>
      </c>
      <c r="P184" s="98">
        <v>2461</v>
      </c>
      <c r="Q184" s="98"/>
    </row>
    <row r="185" spans="1:17" ht="18" customHeight="1" x14ac:dyDescent="0.2">
      <c r="A185" s="102" t="s">
        <v>2419</v>
      </c>
      <c r="B185" s="16" t="s">
        <v>2452</v>
      </c>
      <c r="C185" s="16">
        <v>700</v>
      </c>
      <c r="D185" s="16"/>
      <c r="E185" s="17" t="s">
        <v>1642</v>
      </c>
      <c r="F185" s="17" t="s">
        <v>2478</v>
      </c>
      <c r="G185" s="16" t="s">
        <v>484</v>
      </c>
      <c r="I185" s="97" t="s">
        <v>508</v>
      </c>
      <c r="J185" s="98" t="s">
        <v>2161</v>
      </c>
      <c r="K185" s="98" t="s">
        <v>2154</v>
      </c>
      <c r="L185" s="97">
        <v>1</v>
      </c>
      <c r="M185" s="97" t="s">
        <v>1852</v>
      </c>
      <c r="N185" s="98">
        <v>0</v>
      </c>
      <c r="O185" s="98">
        <v>82061</v>
      </c>
      <c r="P185" s="98">
        <v>2461</v>
      </c>
      <c r="Q185" s="98"/>
    </row>
    <row r="186" spans="1:17" ht="18" customHeight="1" x14ac:dyDescent="0.2">
      <c r="A186" s="102" t="s">
        <v>2420</v>
      </c>
      <c r="B186" s="16" t="s">
        <v>2452</v>
      </c>
      <c r="C186" s="16">
        <v>800</v>
      </c>
      <c r="D186" s="16"/>
      <c r="E186" s="17" t="s">
        <v>1642</v>
      </c>
      <c r="F186" s="17" t="s">
        <v>2479</v>
      </c>
      <c r="G186" s="16" t="s">
        <v>486</v>
      </c>
      <c r="I186" s="97" t="s">
        <v>509</v>
      </c>
      <c r="J186" s="98" t="s">
        <v>2161</v>
      </c>
      <c r="K186" s="98" t="s">
        <v>2155</v>
      </c>
      <c r="L186" s="97">
        <v>1</v>
      </c>
      <c r="M186" s="97" t="s">
        <v>1852</v>
      </c>
      <c r="N186" s="98">
        <v>0</v>
      </c>
      <c r="O186" s="98">
        <v>98474</v>
      </c>
      <c r="P186" s="98">
        <v>2954</v>
      </c>
      <c r="Q186" s="98"/>
    </row>
    <row r="187" spans="1:17" ht="18" customHeight="1" x14ac:dyDescent="0.2">
      <c r="A187" s="102" t="s">
        <v>2421</v>
      </c>
      <c r="B187" s="16" t="s">
        <v>2452</v>
      </c>
      <c r="C187" s="16">
        <v>900</v>
      </c>
      <c r="D187" s="16"/>
      <c r="E187" s="17" t="s">
        <v>1642</v>
      </c>
      <c r="F187" s="17" t="s">
        <v>2480</v>
      </c>
      <c r="G187" s="16" t="s">
        <v>487</v>
      </c>
      <c r="I187" s="97" t="s">
        <v>510</v>
      </c>
      <c r="J187" s="98" t="s">
        <v>2161</v>
      </c>
      <c r="K187" s="98" t="s">
        <v>2156</v>
      </c>
      <c r="L187" s="97">
        <v>1</v>
      </c>
      <c r="M187" s="97" t="s">
        <v>1852</v>
      </c>
      <c r="N187" s="98">
        <v>0</v>
      </c>
      <c r="O187" s="98">
        <v>131298</v>
      </c>
      <c r="P187" s="98">
        <v>3938</v>
      </c>
      <c r="Q187" s="98"/>
    </row>
    <row r="188" spans="1:17" ht="18" customHeight="1" x14ac:dyDescent="0.2">
      <c r="A188" s="102" t="s">
        <v>2422</v>
      </c>
      <c r="B188" s="16" t="s">
        <v>2452</v>
      </c>
      <c r="C188" s="16">
        <v>1000</v>
      </c>
      <c r="D188" s="16"/>
      <c r="E188" s="17" t="s">
        <v>1642</v>
      </c>
      <c r="F188" s="17" t="s">
        <v>2481</v>
      </c>
      <c r="G188" s="16" t="s">
        <v>488</v>
      </c>
      <c r="I188" s="97" t="s">
        <v>511</v>
      </c>
      <c r="J188" s="98" t="s">
        <v>2161</v>
      </c>
      <c r="K188" s="98" t="s">
        <v>2157</v>
      </c>
      <c r="L188" s="97">
        <v>1</v>
      </c>
      <c r="M188" s="97" t="s">
        <v>1852</v>
      </c>
      <c r="N188" s="98">
        <v>0</v>
      </c>
      <c r="O188" s="98">
        <v>131298</v>
      </c>
      <c r="P188" s="98">
        <v>3938</v>
      </c>
      <c r="Q188" s="98"/>
    </row>
    <row r="189" spans="1:17" ht="18" customHeight="1" x14ac:dyDescent="0.2">
      <c r="A189" s="102" t="s">
        <v>2423</v>
      </c>
      <c r="B189" s="16" t="s">
        <v>2453</v>
      </c>
      <c r="C189" s="16">
        <v>150</v>
      </c>
      <c r="D189" s="15"/>
      <c r="E189" s="17" t="s">
        <v>1651</v>
      </c>
      <c r="F189" s="17" t="s">
        <v>2482</v>
      </c>
      <c r="G189" s="16" t="s">
        <v>921</v>
      </c>
      <c r="I189" s="97" t="s">
        <v>512</v>
      </c>
      <c r="J189" s="98" t="s">
        <v>2161</v>
      </c>
      <c r="K189" s="98" t="s">
        <v>2158</v>
      </c>
      <c r="L189" s="97">
        <v>1</v>
      </c>
      <c r="M189" s="97" t="s">
        <v>1852</v>
      </c>
      <c r="N189" s="98">
        <v>0</v>
      </c>
      <c r="O189" s="98">
        <v>131298</v>
      </c>
      <c r="P189" s="98">
        <v>3938</v>
      </c>
      <c r="Q189" s="98"/>
    </row>
    <row r="190" spans="1:17" ht="18" customHeight="1" x14ac:dyDescent="0.2">
      <c r="A190" s="102" t="s">
        <v>2424</v>
      </c>
      <c r="B190" s="16" t="s">
        <v>2453</v>
      </c>
      <c r="C190" s="16">
        <v>200</v>
      </c>
      <c r="D190" s="15"/>
      <c r="E190" s="17" t="s">
        <v>1651</v>
      </c>
      <c r="F190" s="17" t="s">
        <v>2483</v>
      </c>
      <c r="G190" s="16" t="s">
        <v>490</v>
      </c>
      <c r="I190" s="97" t="s">
        <v>513</v>
      </c>
      <c r="J190" s="98" t="s">
        <v>2161</v>
      </c>
      <c r="K190" s="98" t="s">
        <v>2159</v>
      </c>
      <c r="L190" s="97">
        <v>1</v>
      </c>
      <c r="M190" s="97" t="s">
        <v>1852</v>
      </c>
      <c r="N190" s="98">
        <v>0</v>
      </c>
      <c r="O190" s="98">
        <v>147711</v>
      </c>
      <c r="P190" s="98">
        <v>4431</v>
      </c>
      <c r="Q190" s="98"/>
    </row>
    <row r="191" spans="1:17" ht="18" customHeight="1" x14ac:dyDescent="0.2">
      <c r="A191" s="102" t="s">
        <v>2425</v>
      </c>
      <c r="B191" s="16" t="s">
        <v>2453</v>
      </c>
      <c r="C191" s="16">
        <v>300</v>
      </c>
      <c r="D191" s="15"/>
      <c r="E191" s="17" t="s">
        <v>1651</v>
      </c>
      <c r="F191" s="17" t="s">
        <v>2484</v>
      </c>
      <c r="G191" s="16" t="s">
        <v>491</v>
      </c>
      <c r="I191" s="97" t="s">
        <v>514</v>
      </c>
      <c r="J191" s="98" t="s">
        <v>2161</v>
      </c>
      <c r="K191" s="98" t="s">
        <v>2160</v>
      </c>
      <c r="L191" s="97">
        <v>1</v>
      </c>
      <c r="M191" s="97" t="s">
        <v>1852</v>
      </c>
      <c r="N191" s="98">
        <v>0</v>
      </c>
      <c r="O191" s="98">
        <v>196948</v>
      </c>
      <c r="P191" s="98">
        <v>5908</v>
      </c>
      <c r="Q191" s="98"/>
    </row>
    <row r="192" spans="1:17" ht="18" customHeight="1" x14ac:dyDescent="0.2">
      <c r="A192" s="102" t="s">
        <v>2426</v>
      </c>
      <c r="B192" s="16" t="s">
        <v>2453</v>
      </c>
      <c r="C192" s="16">
        <v>400</v>
      </c>
      <c r="D192" s="15"/>
      <c r="E192" s="17" t="s">
        <v>1651</v>
      </c>
      <c r="F192" s="17" t="s">
        <v>2485</v>
      </c>
      <c r="G192" s="16" t="s">
        <v>492</v>
      </c>
      <c r="I192" s="97" t="s">
        <v>515</v>
      </c>
      <c r="J192" s="98" t="s">
        <v>2162</v>
      </c>
      <c r="K192" s="98" t="s">
        <v>2149</v>
      </c>
      <c r="L192" s="97">
        <v>1</v>
      </c>
      <c r="M192" s="97" t="s">
        <v>2027</v>
      </c>
      <c r="N192" s="98">
        <v>0</v>
      </c>
      <c r="O192" s="98">
        <v>75496</v>
      </c>
      <c r="P192" s="98">
        <v>2264</v>
      </c>
      <c r="Q192" s="98"/>
    </row>
    <row r="193" spans="1:17" ht="18" customHeight="1" x14ac:dyDescent="0.2">
      <c r="A193" s="102" t="s">
        <v>2427</v>
      </c>
      <c r="B193" s="16" t="s">
        <v>2453</v>
      </c>
      <c r="C193" s="16">
        <v>500</v>
      </c>
      <c r="D193" s="15"/>
      <c r="E193" s="17" t="s">
        <v>1651</v>
      </c>
      <c r="F193" s="17" t="s">
        <v>2486</v>
      </c>
      <c r="G193" s="16" t="s">
        <v>494</v>
      </c>
      <c r="I193" s="97" t="s">
        <v>516</v>
      </c>
      <c r="J193" s="98" t="s">
        <v>2162</v>
      </c>
      <c r="K193" s="98" t="s">
        <v>2150</v>
      </c>
      <c r="L193" s="97">
        <v>1</v>
      </c>
      <c r="M193" s="97" t="s">
        <v>2027</v>
      </c>
      <c r="N193" s="98">
        <v>0</v>
      </c>
      <c r="O193" s="98">
        <v>75496</v>
      </c>
      <c r="P193" s="98">
        <v>2264</v>
      </c>
      <c r="Q193" s="98"/>
    </row>
    <row r="194" spans="1:17" ht="18" customHeight="1" x14ac:dyDescent="0.2">
      <c r="A194" s="102" t="s">
        <v>2428</v>
      </c>
      <c r="B194" s="16" t="s">
        <v>2453</v>
      </c>
      <c r="C194" s="16">
        <v>600</v>
      </c>
      <c r="D194" s="15"/>
      <c r="E194" s="17" t="s">
        <v>1651</v>
      </c>
      <c r="F194" s="17" t="s">
        <v>2487</v>
      </c>
      <c r="G194" s="16" t="s">
        <v>495</v>
      </c>
      <c r="I194" s="97" t="s">
        <v>517</v>
      </c>
      <c r="J194" s="98" t="s">
        <v>2162</v>
      </c>
      <c r="K194" s="98" t="s">
        <v>2151</v>
      </c>
      <c r="L194" s="97">
        <v>1</v>
      </c>
      <c r="M194" s="97" t="s">
        <v>2027</v>
      </c>
      <c r="N194" s="98">
        <v>0</v>
      </c>
      <c r="O194" s="98">
        <v>75496</v>
      </c>
      <c r="P194" s="98">
        <v>2264</v>
      </c>
      <c r="Q194" s="98"/>
    </row>
    <row r="195" spans="1:17" ht="18" customHeight="1" x14ac:dyDescent="0.2">
      <c r="A195" s="102" t="s">
        <v>1653</v>
      </c>
      <c r="B195" s="16" t="s">
        <v>2453</v>
      </c>
      <c r="C195" s="16">
        <v>700</v>
      </c>
      <c r="D195" s="15"/>
      <c r="E195" s="17" t="s">
        <v>1651</v>
      </c>
      <c r="F195" s="17" t="s">
        <v>2488</v>
      </c>
      <c r="G195" s="16" t="s">
        <v>496</v>
      </c>
      <c r="I195" s="97" t="s">
        <v>518</v>
      </c>
      <c r="J195" s="98" t="s">
        <v>2162</v>
      </c>
      <c r="K195" s="98" t="s">
        <v>2152</v>
      </c>
      <c r="L195" s="97">
        <v>1</v>
      </c>
      <c r="M195" s="97" t="s">
        <v>2027</v>
      </c>
      <c r="N195" s="98">
        <v>0</v>
      </c>
      <c r="O195" s="98">
        <v>98474</v>
      </c>
      <c r="P195" s="98">
        <v>2954</v>
      </c>
      <c r="Q195" s="98"/>
    </row>
    <row r="196" spans="1:17" ht="18" customHeight="1" x14ac:dyDescent="0.2">
      <c r="A196" s="102" t="s">
        <v>2429</v>
      </c>
      <c r="B196" s="16" t="s">
        <v>2453</v>
      </c>
      <c r="C196" s="16">
        <v>800</v>
      </c>
      <c r="D196" s="15"/>
      <c r="E196" s="17" t="s">
        <v>1651</v>
      </c>
      <c r="F196" s="17" t="s">
        <v>2489</v>
      </c>
      <c r="G196" s="16" t="s">
        <v>498</v>
      </c>
      <c r="I196" s="97" t="s">
        <v>519</v>
      </c>
      <c r="J196" s="98" t="s">
        <v>2162</v>
      </c>
      <c r="K196" s="98" t="s">
        <v>2154</v>
      </c>
      <c r="L196" s="97">
        <v>1</v>
      </c>
      <c r="M196" s="97" t="s">
        <v>2027</v>
      </c>
      <c r="N196" s="98">
        <v>0</v>
      </c>
      <c r="O196" s="98">
        <v>98474</v>
      </c>
      <c r="P196" s="98">
        <v>2954</v>
      </c>
      <c r="Q196" s="98"/>
    </row>
    <row r="197" spans="1:17" ht="18" customHeight="1" x14ac:dyDescent="0.2">
      <c r="A197" s="102" t="s">
        <v>2430</v>
      </c>
      <c r="B197" s="16" t="s">
        <v>2453</v>
      </c>
      <c r="C197" s="16">
        <v>900</v>
      </c>
      <c r="D197" s="15"/>
      <c r="E197" s="17" t="s">
        <v>1651</v>
      </c>
      <c r="F197" s="17" t="s">
        <v>2490</v>
      </c>
      <c r="G197" s="16" t="s">
        <v>499</v>
      </c>
      <c r="I197" s="97" t="s">
        <v>520</v>
      </c>
      <c r="J197" s="98" t="s">
        <v>2162</v>
      </c>
      <c r="K197" s="98" t="s">
        <v>2155</v>
      </c>
      <c r="L197" s="97">
        <v>1</v>
      </c>
      <c r="M197" s="97" t="s">
        <v>2027</v>
      </c>
      <c r="N197" s="98">
        <v>0</v>
      </c>
      <c r="O197" s="98">
        <v>118168</v>
      </c>
      <c r="P197" s="98">
        <v>3545</v>
      </c>
      <c r="Q197" s="98"/>
    </row>
    <row r="198" spans="1:17" ht="18" customHeight="1" x14ac:dyDescent="0.2">
      <c r="A198" s="102" t="s">
        <v>2431</v>
      </c>
      <c r="B198" s="16" t="s">
        <v>2453</v>
      </c>
      <c r="C198" s="16">
        <v>1000</v>
      </c>
      <c r="D198" s="15"/>
      <c r="E198" s="17" t="s">
        <v>1651</v>
      </c>
      <c r="F198" s="17" t="s">
        <v>2491</v>
      </c>
      <c r="G198" s="16" t="s">
        <v>500</v>
      </c>
      <c r="I198" s="97" t="s">
        <v>521</v>
      </c>
      <c r="J198" s="98" t="s">
        <v>2162</v>
      </c>
      <c r="K198" s="98" t="s">
        <v>2156</v>
      </c>
      <c r="L198" s="97">
        <v>1</v>
      </c>
      <c r="M198" s="97" t="s">
        <v>2027</v>
      </c>
      <c r="N198" s="98">
        <v>0</v>
      </c>
      <c r="O198" s="98">
        <v>157558</v>
      </c>
      <c r="P198" s="98">
        <v>4726</v>
      </c>
      <c r="Q198" s="98"/>
    </row>
    <row r="199" spans="1:17" ht="18" customHeight="1" x14ac:dyDescent="0.2">
      <c r="A199" s="102" t="s">
        <v>2432</v>
      </c>
      <c r="B199" s="16" t="s">
        <v>2454</v>
      </c>
      <c r="C199" s="16">
        <v>150</v>
      </c>
      <c r="D199" s="15"/>
      <c r="E199" s="17" t="s">
        <v>1651</v>
      </c>
      <c r="F199" s="17" t="s">
        <v>2492</v>
      </c>
      <c r="G199" s="16" t="s">
        <v>921</v>
      </c>
      <c r="I199" s="97" t="s">
        <v>203</v>
      </c>
      <c r="J199" s="98" t="s">
        <v>2162</v>
      </c>
      <c r="K199" s="98" t="s">
        <v>2158</v>
      </c>
      <c r="L199" s="97">
        <v>1</v>
      </c>
      <c r="M199" s="97" t="s">
        <v>2027</v>
      </c>
      <c r="N199" s="98">
        <v>0</v>
      </c>
      <c r="O199" s="98">
        <v>157558</v>
      </c>
      <c r="P199" s="98">
        <v>4726</v>
      </c>
      <c r="Q199" s="98"/>
    </row>
    <row r="200" spans="1:17" ht="18" customHeight="1" x14ac:dyDescent="0.2">
      <c r="A200" s="102" t="s">
        <v>2433</v>
      </c>
      <c r="B200" s="16" t="s">
        <v>2454</v>
      </c>
      <c r="C200" s="16">
        <v>200</v>
      </c>
      <c r="D200" s="15"/>
      <c r="E200" s="17" t="s">
        <v>1651</v>
      </c>
      <c r="F200" s="17" t="s">
        <v>2493</v>
      </c>
      <c r="G200" s="16" t="s">
        <v>490</v>
      </c>
      <c r="I200" s="97" t="s">
        <v>204</v>
      </c>
      <c r="J200" s="98" t="s">
        <v>2162</v>
      </c>
      <c r="K200" s="98" t="s">
        <v>2159</v>
      </c>
      <c r="L200" s="97">
        <v>1</v>
      </c>
      <c r="M200" s="97" t="s">
        <v>2027</v>
      </c>
      <c r="N200" s="98">
        <v>0</v>
      </c>
      <c r="O200" s="98">
        <v>177253</v>
      </c>
      <c r="P200" s="98">
        <v>5317</v>
      </c>
      <c r="Q200" s="98"/>
    </row>
    <row r="201" spans="1:17" ht="18" customHeight="1" x14ac:dyDescent="0.2">
      <c r="A201" s="102" t="s">
        <v>2434</v>
      </c>
      <c r="B201" s="16" t="s">
        <v>2454</v>
      </c>
      <c r="C201" s="16">
        <v>300</v>
      </c>
      <c r="D201" s="15"/>
      <c r="E201" s="17" t="s">
        <v>1651</v>
      </c>
      <c r="F201" s="17" t="s">
        <v>2494</v>
      </c>
      <c r="G201" s="16" t="s">
        <v>491</v>
      </c>
      <c r="I201" s="97" t="s">
        <v>523</v>
      </c>
      <c r="J201" s="98" t="s">
        <v>2162</v>
      </c>
      <c r="K201" s="98" t="s">
        <v>2160</v>
      </c>
      <c r="L201" s="97">
        <v>1</v>
      </c>
      <c r="M201" s="97" t="s">
        <v>2027</v>
      </c>
      <c r="N201" s="98">
        <v>0</v>
      </c>
      <c r="O201" s="98">
        <v>236337</v>
      </c>
      <c r="P201" s="98">
        <v>7090</v>
      </c>
      <c r="Q201" s="98"/>
    </row>
    <row r="202" spans="1:17" ht="18" customHeight="1" x14ac:dyDescent="0.2">
      <c r="A202" s="102" t="s">
        <v>2435</v>
      </c>
      <c r="B202" s="16" t="s">
        <v>2454</v>
      </c>
      <c r="C202" s="16">
        <v>400</v>
      </c>
      <c r="D202" s="15"/>
      <c r="E202" s="17" t="s">
        <v>1651</v>
      </c>
      <c r="F202" s="17" t="s">
        <v>2495</v>
      </c>
      <c r="G202" s="16" t="s">
        <v>492</v>
      </c>
      <c r="I202" s="97" t="s">
        <v>524</v>
      </c>
      <c r="J202" s="98" t="s">
        <v>2163</v>
      </c>
      <c r="K202" s="98" t="s">
        <v>2164</v>
      </c>
      <c r="L202" s="97">
        <v>1</v>
      </c>
      <c r="M202" s="97" t="s">
        <v>1852</v>
      </c>
      <c r="N202" s="98">
        <v>0</v>
      </c>
      <c r="O202" s="98">
        <v>51972</v>
      </c>
      <c r="P202" s="98">
        <v>1559</v>
      </c>
      <c r="Q202" s="98"/>
    </row>
    <row r="203" spans="1:17" ht="18" customHeight="1" x14ac:dyDescent="0.2">
      <c r="A203" s="102" t="s">
        <v>2436</v>
      </c>
      <c r="B203" s="16" t="s">
        <v>2454</v>
      </c>
      <c r="C203" s="16">
        <v>500</v>
      </c>
      <c r="D203" s="15"/>
      <c r="E203" s="17" t="s">
        <v>1651</v>
      </c>
      <c r="F203" s="17" t="s">
        <v>2496</v>
      </c>
      <c r="G203" s="16" t="s">
        <v>494</v>
      </c>
      <c r="I203" s="97" t="s">
        <v>205</v>
      </c>
      <c r="J203" s="98" t="s">
        <v>2163</v>
      </c>
      <c r="K203" s="98" t="s">
        <v>2165</v>
      </c>
      <c r="L203" s="97">
        <v>1</v>
      </c>
      <c r="M203" s="97" t="s">
        <v>1852</v>
      </c>
      <c r="N203" s="98">
        <v>0</v>
      </c>
      <c r="O203" s="98">
        <v>67564</v>
      </c>
      <c r="P203" s="98">
        <v>2026</v>
      </c>
      <c r="Q203" s="98"/>
    </row>
    <row r="204" spans="1:17" ht="18" customHeight="1" x14ac:dyDescent="0.2">
      <c r="A204" s="102" t="s">
        <v>2437</v>
      </c>
      <c r="B204" s="16" t="s">
        <v>2454</v>
      </c>
      <c r="C204" s="16">
        <v>600</v>
      </c>
      <c r="D204" s="15"/>
      <c r="E204" s="17" t="s">
        <v>1651</v>
      </c>
      <c r="F204" s="17" t="s">
        <v>2497</v>
      </c>
      <c r="G204" s="16" t="s">
        <v>495</v>
      </c>
      <c r="I204" s="97" t="s">
        <v>525</v>
      </c>
      <c r="J204" s="98" t="s">
        <v>2163</v>
      </c>
      <c r="K204" s="98" t="s">
        <v>2166</v>
      </c>
      <c r="L204" s="97">
        <v>1</v>
      </c>
      <c r="M204" s="97" t="s">
        <v>1852</v>
      </c>
      <c r="N204" s="98">
        <v>0</v>
      </c>
      <c r="O204" s="98">
        <v>71120</v>
      </c>
      <c r="P204" s="98">
        <v>2133</v>
      </c>
      <c r="Q204" s="98"/>
    </row>
    <row r="205" spans="1:17" ht="18" customHeight="1" x14ac:dyDescent="0.2">
      <c r="A205" s="102" t="s">
        <v>1676</v>
      </c>
      <c r="B205" s="16" t="s">
        <v>2454</v>
      </c>
      <c r="C205" s="16">
        <v>700</v>
      </c>
      <c r="D205" s="15"/>
      <c r="E205" s="17" t="s">
        <v>1651</v>
      </c>
      <c r="F205" s="17" t="s">
        <v>2498</v>
      </c>
      <c r="G205" s="16" t="s">
        <v>496</v>
      </c>
      <c r="I205" s="97" t="s">
        <v>526</v>
      </c>
      <c r="J205" s="98" t="s">
        <v>2163</v>
      </c>
      <c r="K205" s="98" t="s">
        <v>2167</v>
      </c>
      <c r="L205" s="97">
        <v>1</v>
      </c>
      <c r="M205" s="97" t="s">
        <v>1852</v>
      </c>
      <c r="N205" s="98">
        <v>0</v>
      </c>
      <c r="O205" s="98">
        <v>92456</v>
      </c>
      <c r="P205" s="98">
        <v>2773</v>
      </c>
      <c r="Q205" s="98"/>
    </row>
    <row r="206" spans="1:17" ht="18" customHeight="1" x14ac:dyDescent="0.2">
      <c r="A206" s="102" t="s">
        <v>2438</v>
      </c>
      <c r="B206" s="16" t="s">
        <v>2454</v>
      </c>
      <c r="C206" s="16">
        <v>800</v>
      </c>
      <c r="D206" s="15"/>
      <c r="E206" s="17" t="s">
        <v>1651</v>
      </c>
      <c r="F206" s="17" t="s">
        <v>2499</v>
      </c>
      <c r="G206" s="16" t="s">
        <v>498</v>
      </c>
      <c r="I206" s="97" t="s">
        <v>527</v>
      </c>
      <c r="J206" s="98" t="s">
        <v>2163</v>
      </c>
      <c r="K206" s="98" t="s">
        <v>2168</v>
      </c>
      <c r="L206" s="97">
        <v>1</v>
      </c>
      <c r="M206" s="97" t="s">
        <v>1852</v>
      </c>
      <c r="N206" s="98">
        <v>0</v>
      </c>
      <c r="O206" s="98">
        <v>98474</v>
      </c>
      <c r="P206" s="98">
        <v>2954</v>
      </c>
      <c r="Q206" s="98"/>
    </row>
    <row r="207" spans="1:17" ht="18" customHeight="1" x14ac:dyDescent="0.2">
      <c r="A207" s="102" t="s">
        <v>2439</v>
      </c>
      <c r="B207" s="16" t="s">
        <v>2454</v>
      </c>
      <c r="C207" s="16">
        <v>900</v>
      </c>
      <c r="D207" s="15"/>
      <c r="E207" s="17" t="s">
        <v>1651</v>
      </c>
      <c r="F207" s="17" t="s">
        <v>2500</v>
      </c>
      <c r="G207" s="16" t="s">
        <v>499</v>
      </c>
      <c r="I207" s="97" t="s">
        <v>528</v>
      </c>
      <c r="J207" s="98" t="s">
        <v>2163</v>
      </c>
      <c r="K207" s="98" t="s">
        <v>2169</v>
      </c>
      <c r="L207" s="97">
        <v>1</v>
      </c>
      <c r="M207" s="97" t="s">
        <v>1852</v>
      </c>
      <c r="N207" s="98">
        <v>0</v>
      </c>
      <c r="O207" s="98">
        <v>128016</v>
      </c>
      <c r="P207" s="98">
        <v>3840</v>
      </c>
      <c r="Q207" s="98"/>
    </row>
    <row r="208" spans="1:17" ht="18" customHeight="1" x14ac:dyDescent="0.2">
      <c r="A208" s="102" t="s">
        <v>2440</v>
      </c>
      <c r="B208" s="16" t="s">
        <v>2454</v>
      </c>
      <c r="C208" s="16">
        <v>1000</v>
      </c>
      <c r="D208" s="15"/>
      <c r="E208" s="17" t="s">
        <v>1651</v>
      </c>
      <c r="F208" s="17" t="s">
        <v>2501</v>
      </c>
      <c r="G208" s="16" t="s">
        <v>500</v>
      </c>
      <c r="I208" s="97" t="s">
        <v>529</v>
      </c>
      <c r="J208" s="98" t="s">
        <v>2163</v>
      </c>
      <c r="K208" s="98" t="s">
        <v>2170</v>
      </c>
      <c r="L208" s="97">
        <v>1</v>
      </c>
      <c r="M208" s="97" t="s">
        <v>1852</v>
      </c>
      <c r="N208" s="98">
        <v>0</v>
      </c>
      <c r="O208" s="98">
        <v>128563</v>
      </c>
      <c r="P208" s="98">
        <v>3856</v>
      </c>
      <c r="Q208" s="98"/>
    </row>
    <row r="209" spans="1:17" ht="18" customHeight="1" x14ac:dyDescent="0.2">
      <c r="A209" s="102" t="s">
        <v>2441</v>
      </c>
      <c r="B209" s="16" t="s">
        <v>2455</v>
      </c>
      <c r="C209" s="16">
        <v>150</v>
      </c>
      <c r="D209" s="15"/>
      <c r="E209" s="17" t="s">
        <v>1651</v>
      </c>
      <c r="F209" s="17" t="s">
        <v>2502</v>
      </c>
      <c r="G209" s="16" t="s">
        <v>502</v>
      </c>
      <c r="I209" s="97" t="s">
        <v>530</v>
      </c>
      <c r="J209" s="98" t="s">
        <v>2163</v>
      </c>
      <c r="K209" s="98" t="s">
        <v>2171</v>
      </c>
      <c r="L209" s="97">
        <v>1</v>
      </c>
      <c r="M209" s="97" t="s">
        <v>1852</v>
      </c>
      <c r="N209" s="98">
        <v>0</v>
      </c>
      <c r="O209" s="98">
        <v>167132</v>
      </c>
      <c r="P209" s="98">
        <v>5013</v>
      </c>
      <c r="Q209" s="98"/>
    </row>
    <row r="210" spans="1:17" ht="18" customHeight="1" x14ac:dyDescent="0.2">
      <c r="A210" s="102" t="s">
        <v>2442</v>
      </c>
      <c r="B210" s="16" t="s">
        <v>2455</v>
      </c>
      <c r="C210" s="16">
        <v>200</v>
      </c>
      <c r="D210" s="15"/>
      <c r="E210" s="17" t="s">
        <v>1651</v>
      </c>
      <c r="F210" s="17" t="s">
        <v>2503</v>
      </c>
      <c r="G210" s="16" t="s">
        <v>504</v>
      </c>
      <c r="I210" s="97" t="s">
        <v>531</v>
      </c>
      <c r="J210" s="98" t="s">
        <v>2163</v>
      </c>
      <c r="K210" s="98" t="s">
        <v>2172</v>
      </c>
      <c r="L210" s="97">
        <v>1</v>
      </c>
      <c r="M210" s="97" t="s">
        <v>1852</v>
      </c>
      <c r="N210" s="98">
        <v>0</v>
      </c>
      <c r="O210" s="98">
        <v>186006</v>
      </c>
      <c r="P210" s="98">
        <v>5580</v>
      </c>
      <c r="Q210" s="98"/>
    </row>
    <row r="211" spans="1:17" ht="18" customHeight="1" x14ac:dyDescent="0.2">
      <c r="A211" s="102" t="s">
        <v>2443</v>
      </c>
      <c r="B211" s="16" t="s">
        <v>2455</v>
      </c>
      <c r="C211" s="16">
        <v>300</v>
      </c>
      <c r="D211" s="15"/>
      <c r="E211" s="17" t="s">
        <v>1651</v>
      </c>
      <c r="F211" s="17" t="s">
        <v>2504</v>
      </c>
      <c r="G211" s="16" t="s">
        <v>505</v>
      </c>
      <c r="I211" s="97" t="s">
        <v>532</v>
      </c>
      <c r="J211" s="98" t="s">
        <v>2163</v>
      </c>
      <c r="K211" s="98" t="s">
        <v>2173</v>
      </c>
      <c r="L211" s="97">
        <v>1</v>
      </c>
      <c r="M211" s="97" t="s">
        <v>1852</v>
      </c>
      <c r="N211" s="98">
        <v>0</v>
      </c>
      <c r="O211" s="98">
        <v>241808</v>
      </c>
      <c r="P211" s="98">
        <v>7254</v>
      </c>
      <c r="Q211" s="98"/>
    </row>
    <row r="212" spans="1:17" ht="18" customHeight="1" x14ac:dyDescent="0.2">
      <c r="A212" s="102" t="s">
        <v>2444</v>
      </c>
      <c r="B212" s="16" t="s">
        <v>2455</v>
      </c>
      <c r="C212" s="16">
        <v>400</v>
      </c>
      <c r="D212" s="15"/>
      <c r="E212" s="17" t="s">
        <v>1651</v>
      </c>
      <c r="F212" s="17" t="s">
        <v>2505</v>
      </c>
      <c r="G212" s="16" t="s">
        <v>506</v>
      </c>
      <c r="I212" s="97" t="s">
        <v>533</v>
      </c>
      <c r="J212" s="98" t="s">
        <v>2163</v>
      </c>
      <c r="K212" s="98" t="s">
        <v>2174</v>
      </c>
      <c r="L212" s="97">
        <v>1</v>
      </c>
      <c r="M212" s="97" t="s">
        <v>1852</v>
      </c>
      <c r="N212" s="98">
        <v>0</v>
      </c>
      <c r="O212" s="98">
        <v>186006</v>
      </c>
      <c r="P212" s="98">
        <v>5580</v>
      </c>
      <c r="Q212" s="98"/>
    </row>
    <row r="213" spans="1:17" ht="18" customHeight="1" x14ac:dyDescent="0.2">
      <c r="A213" s="102" t="s">
        <v>2445</v>
      </c>
      <c r="B213" s="16" t="s">
        <v>2455</v>
      </c>
      <c r="C213" s="16">
        <v>500</v>
      </c>
      <c r="D213" s="15"/>
      <c r="E213" s="17" t="s">
        <v>1651</v>
      </c>
      <c r="F213" s="17" t="s">
        <v>2506</v>
      </c>
      <c r="G213" s="16" t="s">
        <v>508</v>
      </c>
      <c r="I213" s="97" t="s">
        <v>534</v>
      </c>
      <c r="J213" s="98" t="s">
        <v>2163</v>
      </c>
      <c r="K213" s="98" t="s">
        <v>2175</v>
      </c>
      <c r="L213" s="97">
        <v>1</v>
      </c>
      <c r="M213" s="97" t="s">
        <v>1852</v>
      </c>
      <c r="N213" s="98">
        <v>0</v>
      </c>
      <c r="O213" s="98">
        <v>241808</v>
      </c>
      <c r="P213" s="98">
        <v>7254</v>
      </c>
      <c r="Q213" s="98"/>
    </row>
    <row r="214" spans="1:17" ht="18" customHeight="1" x14ac:dyDescent="0.2">
      <c r="A214" s="102" t="s">
        <v>2446</v>
      </c>
      <c r="B214" s="16" t="s">
        <v>2455</v>
      </c>
      <c r="C214" s="16">
        <v>600</v>
      </c>
      <c r="D214" s="15"/>
      <c r="E214" s="17" t="s">
        <v>1651</v>
      </c>
      <c r="F214" s="17" t="s">
        <v>2507</v>
      </c>
      <c r="G214" s="16" t="s">
        <v>509</v>
      </c>
      <c r="I214" s="97" t="s">
        <v>535</v>
      </c>
      <c r="J214" s="98" t="s">
        <v>2163</v>
      </c>
      <c r="K214" s="98" t="s">
        <v>2176</v>
      </c>
      <c r="L214" s="97">
        <v>1</v>
      </c>
      <c r="M214" s="97" t="s">
        <v>1852</v>
      </c>
      <c r="N214" s="98">
        <v>0</v>
      </c>
      <c r="O214" s="98">
        <v>243449</v>
      </c>
      <c r="P214" s="98">
        <v>7303</v>
      </c>
      <c r="Q214" s="98"/>
    </row>
    <row r="215" spans="1:17" ht="18" customHeight="1" x14ac:dyDescent="0.2">
      <c r="A215" s="102" t="s">
        <v>2447</v>
      </c>
      <c r="B215" s="16" t="s">
        <v>2455</v>
      </c>
      <c r="C215" s="16">
        <v>700</v>
      </c>
      <c r="D215" s="15"/>
      <c r="E215" s="17" t="s">
        <v>1651</v>
      </c>
      <c r="F215" s="17" t="s">
        <v>2508</v>
      </c>
      <c r="G215" s="16" t="s">
        <v>510</v>
      </c>
      <c r="I215" s="97" t="s">
        <v>536</v>
      </c>
      <c r="J215" s="98" t="s">
        <v>2163</v>
      </c>
      <c r="K215" s="98" t="s">
        <v>2177</v>
      </c>
      <c r="L215" s="97">
        <v>1</v>
      </c>
      <c r="M215" s="97" t="s">
        <v>1852</v>
      </c>
      <c r="N215" s="98">
        <v>0</v>
      </c>
      <c r="O215" s="98">
        <v>316484</v>
      </c>
      <c r="P215" s="98">
        <v>9494</v>
      </c>
      <c r="Q215" s="98"/>
    </row>
    <row r="216" spans="1:17" ht="18" customHeight="1" x14ac:dyDescent="0.2">
      <c r="A216" s="102" t="s">
        <v>1664</v>
      </c>
      <c r="B216" s="16" t="s">
        <v>2455</v>
      </c>
      <c r="C216" s="16">
        <v>800</v>
      </c>
      <c r="D216" s="15"/>
      <c r="E216" s="17" t="s">
        <v>1651</v>
      </c>
      <c r="F216" s="17" t="s">
        <v>2509</v>
      </c>
      <c r="G216" s="16" t="s">
        <v>512</v>
      </c>
      <c r="I216" s="97" t="s">
        <v>537</v>
      </c>
      <c r="J216" s="98" t="s">
        <v>2163</v>
      </c>
      <c r="K216" s="98" t="s">
        <v>2178</v>
      </c>
      <c r="L216" s="97">
        <v>1</v>
      </c>
      <c r="M216" s="97" t="s">
        <v>1852</v>
      </c>
      <c r="N216" s="98">
        <v>0</v>
      </c>
      <c r="O216" s="98">
        <v>243449</v>
      </c>
      <c r="P216" s="98">
        <v>7303</v>
      </c>
      <c r="Q216" s="98"/>
    </row>
    <row r="217" spans="1:17" ht="18" customHeight="1" x14ac:dyDescent="0.2">
      <c r="A217" s="102" t="s">
        <v>2448</v>
      </c>
      <c r="B217" s="16" t="s">
        <v>2455</v>
      </c>
      <c r="C217" s="16">
        <v>900</v>
      </c>
      <c r="D217" s="15"/>
      <c r="E217" s="17" t="s">
        <v>1651</v>
      </c>
      <c r="F217" s="17" t="s">
        <v>2510</v>
      </c>
      <c r="G217" s="16" t="s">
        <v>513</v>
      </c>
      <c r="I217" s="97" t="s">
        <v>538</v>
      </c>
      <c r="J217" s="98" t="s">
        <v>2163</v>
      </c>
      <c r="K217" s="98" t="s">
        <v>2179</v>
      </c>
      <c r="L217" s="97">
        <v>1</v>
      </c>
      <c r="M217" s="97" t="s">
        <v>1852</v>
      </c>
      <c r="N217" s="98">
        <v>0</v>
      </c>
      <c r="O217" s="98">
        <v>316484</v>
      </c>
      <c r="P217" s="98">
        <v>9494</v>
      </c>
      <c r="Q217" s="98"/>
    </row>
    <row r="218" spans="1:17" ht="18" customHeight="1" x14ac:dyDescent="0.2">
      <c r="A218" s="102" t="s">
        <v>2449</v>
      </c>
      <c r="B218" s="16" t="s">
        <v>2455</v>
      </c>
      <c r="C218" s="16">
        <v>1000</v>
      </c>
      <c r="D218" s="15"/>
      <c r="E218" s="17" t="s">
        <v>1651</v>
      </c>
      <c r="F218" s="17" t="s">
        <v>2511</v>
      </c>
      <c r="G218" s="16" t="s">
        <v>514</v>
      </c>
      <c r="I218" s="97" t="s">
        <v>539</v>
      </c>
      <c r="J218" s="98" t="s">
        <v>2180</v>
      </c>
      <c r="K218" s="98" t="s">
        <v>2164</v>
      </c>
      <c r="L218" s="97">
        <v>1</v>
      </c>
      <c r="M218" s="97" t="s">
        <v>1852</v>
      </c>
      <c r="N218" s="98">
        <v>0</v>
      </c>
      <c r="O218" s="98">
        <v>51972</v>
      </c>
      <c r="P218" s="98">
        <v>1559</v>
      </c>
      <c r="Q218" s="98"/>
    </row>
    <row r="219" spans="1:17" ht="18" customHeight="1" x14ac:dyDescent="0.2">
      <c r="A219" s="102" t="s">
        <v>2515</v>
      </c>
      <c r="B219" s="16" t="s">
        <v>2911</v>
      </c>
      <c r="C219" s="15"/>
      <c r="D219" s="15"/>
      <c r="E219" s="17" t="s">
        <v>1759</v>
      </c>
      <c r="F219" s="17" t="s">
        <v>2713</v>
      </c>
      <c r="G219" s="16" t="s">
        <v>1024</v>
      </c>
      <c r="I219" s="97" t="s">
        <v>540</v>
      </c>
      <c r="J219" s="98" t="s">
        <v>2180</v>
      </c>
      <c r="K219" s="98" t="s">
        <v>2165</v>
      </c>
      <c r="L219" s="97">
        <v>1</v>
      </c>
      <c r="M219" s="97" t="s">
        <v>1852</v>
      </c>
      <c r="N219" s="98">
        <v>0</v>
      </c>
      <c r="O219" s="98">
        <v>67564</v>
      </c>
      <c r="P219" s="98">
        <v>2026</v>
      </c>
      <c r="Q219" s="98"/>
    </row>
    <row r="220" spans="1:17" ht="18" customHeight="1" x14ac:dyDescent="0.2">
      <c r="A220" s="102" t="s">
        <v>2516</v>
      </c>
      <c r="B220" s="16" t="s">
        <v>2911</v>
      </c>
      <c r="C220" s="15"/>
      <c r="D220" s="15"/>
      <c r="E220" s="17" t="s">
        <v>1759</v>
      </c>
      <c r="F220" s="17" t="s">
        <v>2714</v>
      </c>
      <c r="G220" s="16" t="s">
        <v>1024</v>
      </c>
      <c r="I220" s="97" t="s">
        <v>541</v>
      </c>
      <c r="J220" s="98" t="s">
        <v>2180</v>
      </c>
      <c r="K220" s="98" t="s">
        <v>2166</v>
      </c>
      <c r="L220" s="97">
        <v>1</v>
      </c>
      <c r="M220" s="97" t="s">
        <v>1852</v>
      </c>
      <c r="N220" s="98">
        <v>0</v>
      </c>
      <c r="O220" s="98">
        <v>71120</v>
      </c>
      <c r="P220" s="98">
        <v>2133</v>
      </c>
      <c r="Q220" s="98"/>
    </row>
    <row r="221" spans="1:17" ht="18" customHeight="1" x14ac:dyDescent="0.2">
      <c r="A221" s="102" t="s">
        <v>2517</v>
      </c>
      <c r="B221" s="16" t="s">
        <v>2911</v>
      </c>
      <c r="C221" s="15"/>
      <c r="D221" s="15"/>
      <c r="E221" s="17" t="s">
        <v>1759</v>
      </c>
      <c r="F221" s="17" t="s">
        <v>2715</v>
      </c>
      <c r="G221" s="16" t="s">
        <v>1024</v>
      </c>
      <c r="I221" s="97" t="s">
        <v>543</v>
      </c>
      <c r="J221" s="98" t="s">
        <v>2180</v>
      </c>
      <c r="K221" s="98" t="s">
        <v>2167</v>
      </c>
      <c r="L221" s="97">
        <v>1</v>
      </c>
      <c r="M221" s="97" t="s">
        <v>1852</v>
      </c>
      <c r="N221" s="98">
        <v>0</v>
      </c>
      <c r="O221" s="98">
        <v>92456</v>
      </c>
      <c r="P221" s="98">
        <v>2773</v>
      </c>
      <c r="Q221" s="98"/>
    </row>
    <row r="222" spans="1:17" ht="18" customHeight="1" x14ac:dyDescent="0.2">
      <c r="A222" s="102" t="s">
        <v>2518</v>
      </c>
      <c r="B222" s="16" t="s">
        <v>2911</v>
      </c>
      <c r="C222" s="15"/>
      <c r="D222" s="15"/>
      <c r="E222" s="17" t="s">
        <v>1759</v>
      </c>
      <c r="F222" s="17" t="s">
        <v>2716</v>
      </c>
      <c r="G222" s="16" t="s">
        <v>1024</v>
      </c>
      <c r="I222" s="97" t="s">
        <v>545</v>
      </c>
      <c r="J222" s="98" t="s">
        <v>2180</v>
      </c>
      <c r="K222" s="98" t="s">
        <v>2168</v>
      </c>
      <c r="L222" s="97">
        <v>1</v>
      </c>
      <c r="M222" s="97" t="s">
        <v>1852</v>
      </c>
      <c r="N222" s="98">
        <v>0</v>
      </c>
      <c r="O222" s="98">
        <v>98474</v>
      </c>
      <c r="P222" s="98">
        <v>2954</v>
      </c>
      <c r="Q222" s="98"/>
    </row>
    <row r="223" spans="1:17" ht="18" customHeight="1" x14ac:dyDescent="0.2">
      <c r="A223" s="102" t="s">
        <v>1765</v>
      </c>
      <c r="B223" s="16" t="s">
        <v>2911</v>
      </c>
      <c r="C223" s="15"/>
      <c r="D223" s="15"/>
      <c r="E223" s="17" t="s">
        <v>1759</v>
      </c>
      <c r="F223" s="17" t="s">
        <v>1764</v>
      </c>
      <c r="G223" s="16" t="s">
        <v>1024</v>
      </c>
      <c r="I223" s="97" t="s">
        <v>547</v>
      </c>
      <c r="J223" s="98" t="s">
        <v>2180</v>
      </c>
      <c r="K223" s="98" t="s">
        <v>2169</v>
      </c>
      <c r="L223" s="97">
        <v>1</v>
      </c>
      <c r="M223" s="97" t="s">
        <v>1852</v>
      </c>
      <c r="N223" s="98">
        <v>0</v>
      </c>
      <c r="O223" s="98">
        <v>128016</v>
      </c>
      <c r="P223" s="98">
        <v>3840</v>
      </c>
      <c r="Q223" s="98"/>
    </row>
    <row r="224" spans="1:17" ht="18" customHeight="1" x14ac:dyDescent="0.2">
      <c r="A224" s="102" t="s">
        <v>2519</v>
      </c>
      <c r="B224" s="16" t="s">
        <v>2911</v>
      </c>
      <c r="C224" s="15"/>
      <c r="D224" s="15"/>
      <c r="E224" s="17" t="s">
        <v>1759</v>
      </c>
      <c r="F224" s="17" t="s">
        <v>2717</v>
      </c>
      <c r="G224" s="16" t="s">
        <v>1024</v>
      </c>
      <c r="I224" s="97" t="s">
        <v>195</v>
      </c>
      <c r="J224" s="98" t="s">
        <v>2180</v>
      </c>
      <c r="K224" s="98" t="s">
        <v>2181</v>
      </c>
      <c r="L224" s="97">
        <v>1</v>
      </c>
      <c r="M224" s="97" t="s">
        <v>1852</v>
      </c>
      <c r="N224" s="98">
        <v>0</v>
      </c>
      <c r="O224" s="98">
        <v>98474</v>
      </c>
      <c r="P224" s="98">
        <v>2954</v>
      </c>
      <c r="Q224" s="98"/>
    </row>
    <row r="225" spans="1:17" ht="18" customHeight="1" x14ac:dyDescent="0.2">
      <c r="A225" s="102" t="s">
        <v>2520</v>
      </c>
      <c r="B225" s="16" t="s">
        <v>2911</v>
      </c>
      <c r="C225" s="15"/>
      <c r="D225" s="15"/>
      <c r="E225" s="17" t="s">
        <v>1759</v>
      </c>
      <c r="F225" s="17" t="s">
        <v>2718</v>
      </c>
      <c r="G225" s="16" t="s">
        <v>1024</v>
      </c>
      <c r="I225" s="97" t="s">
        <v>196</v>
      </c>
      <c r="J225" s="98" t="s">
        <v>2180</v>
      </c>
      <c r="K225" s="98" t="s">
        <v>2182</v>
      </c>
      <c r="L225" s="97">
        <v>1</v>
      </c>
      <c r="M225" s="97" t="s">
        <v>1852</v>
      </c>
      <c r="N225" s="98">
        <v>0</v>
      </c>
      <c r="O225" s="98">
        <v>128016</v>
      </c>
      <c r="P225" s="98">
        <v>3840</v>
      </c>
      <c r="Q225" s="98"/>
    </row>
    <row r="226" spans="1:17" ht="18" customHeight="1" x14ac:dyDescent="0.2">
      <c r="A226" s="102" t="s">
        <v>2521</v>
      </c>
      <c r="B226" s="16" t="s">
        <v>2911</v>
      </c>
      <c r="C226" s="15"/>
      <c r="D226" s="15"/>
      <c r="E226" s="17" t="s">
        <v>1759</v>
      </c>
      <c r="F226" s="17" t="s">
        <v>2719</v>
      </c>
      <c r="G226" s="16" t="s">
        <v>2917</v>
      </c>
      <c r="I226" s="97" t="s">
        <v>197</v>
      </c>
      <c r="J226" s="98" t="s">
        <v>2180</v>
      </c>
      <c r="K226" s="98" t="s">
        <v>2172</v>
      </c>
      <c r="L226" s="97">
        <v>1</v>
      </c>
      <c r="M226" s="97" t="s">
        <v>1852</v>
      </c>
      <c r="N226" s="98">
        <v>0</v>
      </c>
      <c r="O226" s="98">
        <v>186006</v>
      </c>
      <c r="P226" s="98">
        <v>5580</v>
      </c>
      <c r="Q226" s="98"/>
    </row>
    <row r="227" spans="1:17" ht="18" customHeight="1" x14ac:dyDescent="0.2">
      <c r="A227" s="102" t="s">
        <v>2522</v>
      </c>
      <c r="B227" s="16" t="s">
        <v>2911</v>
      </c>
      <c r="C227" s="15"/>
      <c r="D227" s="15"/>
      <c r="E227" s="17" t="s">
        <v>1759</v>
      </c>
      <c r="F227" s="17" t="s">
        <v>2720</v>
      </c>
      <c r="G227" s="16" t="s">
        <v>2917</v>
      </c>
      <c r="I227" s="97" t="s">
        <v>198</v>
      </c>
      <c r="J227" s="98" t="s">
        <v>2180</v>
      </c>
      <c r="K227" s="98" t="s">
        <v>2174</v>
      </c>
      <c r="L227" s="97">
        <v>1</v>
      </c>
      <c r="M227" s="97" t="s">
        <v>1852</v>
      </c>
      <c r="N227" s="98">
        <v>0</v>
      </c>
      <c r="O227" s="98">
        <v>186006</v>
      </c>
      <c r="P227" s="98">
        <v>5580</v>
      </c>
      <c r="Q227" s="98"/>
    </row>
    <row r="228" spans="1:17" ht="18" customHeight="1" x14ac:dyDescent="0.2">
      <c r="A228" s="102" t="s">
        <v>2523</v>
      </c>
      <c r="B228" s="16" t="s">
        <v>2911</v>
      </c>
      <c r="C228" s="15"/>
      <c r="D228" s="15"/>
      <c r="E228" s="17" t="s">
        <v>1759</v>
      </c>
      <c r="F228" s="17" t="s">
        <v>2721</v>
      </c>
      <c r="G228" s="16" t="s">
        <v>2917</v>
      </c>
      <c r="I228" s="97" t="s">
        <v>199</v>
      </c>
      <c r="J228" s="98" t="s">
        <v>2180</v>
      </c>
      <c r="K228" s="98" t="s">
        <v>2175</v>
      </c>
      <c r="L228" s="97">
        <v>1</v>
      </c>
      <c r="M228" s="97" t="s">
        <v>1852</v>
      </c>
      <c r="N228" s="98">
        <v>0</v>
      </c>
      <c r="O228" s="98">
        <v>241808</v>
      </c>
      <c r="P228" s="98">
        <v>7254</v>
      </c>
      <c r="Q228" s="98"/>
    </row>
    <row r="229" spans="1:17" ht="18" customHeight="1" x14ac:dyDescent="0.2">
      <c r="A229" s="102" t="s">
        <v>2524</v>
      </c>
      <c r="B229" s="16" t="s">
        <v>2911</v>
      </c>
      <c r="C229" s="15"/>
      <c r="D229" s="15"/>
      <c r="E229" s="17" t="s">
        <v>1759</v>
      </c>
      <c r="F229" s="17" t="s">
        <v>2722</v>
      </c>
      <c r="G229" s="16" t="s">
        <v>2917</v>
      </c>
      <c r="I229" s="97" t="s">
        <v>200</v>
      </c>
      <c r="J229" s="98" t="s">
        <v>2180</v>
      </c>
      <c r="K229" s="98" t="s">
        <v>2176</v>
      </c>
      <c r="L229" s="97">
        <v>1</v>
      </c>
      <c r="M229" s="97" t="s">
        <v>1852</v>
      </c>
      <c r="N229" s="98">
        <v>0</v>
      </c>
      <c r="O229" s="98">
        <v>243449</v>
      </c>
      <c r="P229" s="98">
        <v>7303</v>
      </c>
      <c r="Q229" s="98"/>
    </row>
    <row r="230" spans="1:17" ht="18" customHeight="1" x14ac:dyDescent="0.2">
      <c r="A230" s="102" t="s">
        <v>2525</v>
      </c>
      <c r="B230" s="16" t="s">
        <v>2911</v>
      </c>
      <c r="C230" s="15"/>
      <c r="D230" s="15"/>
      <c r="E230" s="17" t="s">
        <v>1759</v>
      </c>
      <c r="F230" s="17" t="s">
        <v>2723</v>
      </c>
      <c r="G230" s="16" t="s">
        <v>2917</v>
      </c>
      <c r="I230" s="97" t="s">
        <v>201</v>
      </c>
      <c r="J230" s="98" t="s">
        <v>2180</v>
      </c>
      <c r="K230" s="98" t="s">
        <v>2178</v>
      </c>
      <c r="L230" s="97">
        <v>1</v>
      </c>
      <c r="M230" s="97" t="s">
        <v>1852</v>
      </c>
      <c r="N230" s="98">
        <v>0</v>
      </c>
      <c r="O230" s="98">
        <v>243449</v>
      </c>
      <c r="P230" s="98">
        <v>7303</v>
      </c>
      <c r="Q230" s="98"/>
    </row>
    <row r="231" spans="1:17" ht="18" customHeight="1" x14ac:dyDescent="0.2">
      <c r="A231" s="102" t="s">
        <v>2526</v>
      </c>
      <c r="B231" s="16" t="s">
        <v>2911</v>
      </c>
      <c r="C231" s="15"/>
      <c r="D231" s="15"/>
      <c r="E231" s="17" t="s">
        <v>1759</v>
      </c>
      <c r="F231" s="17" t="s">
        <v>2724</v>
      </c>
      <c r="G231" s="16" t="s">
        <v>2917</v>
      </c>
    </row>
    <row r="232" spans="1:17" ht="18" customHeight="1" x14ac:dyDescent="0.2">
      <c r="A232" s="102" t="s">
        <v>2527</v>
      </c>
      <c r="B232" s="16" t="s">
        <v>2911</v>
      </c>
      <c r="C232" s="15"/>
      <c r="D232" s="15"/>
      <c r="E232" s="17" t="s">
        <v>1759</v>
      </c>
      <c r="F232" s="17" t="s">
        <v>2725</v>
      </c>
      <c r="G232" s="16" t="s">
        <v>2917</v>
      </c>
    </row>
    <row r="233" spans="1:17" ht="18" customHeight="1" x14ac:dyDescent="0.2">
      <c r="A233" s="102" t="s">
        <v>2528</v>
      </c>
      <c r="B233" s="16" t="s">
        <v>2911</v>
      </c>
      <c r="C233" s="15"/>
      <c r="D233" s="15"/>
      <c r="E233" s="17" t="s">
        <v>1759</v>
      </c>
      <c r="F233" s="17" t="s">
        <v>2726</v>
      </c>
      <c r="G233" s="16" t="s">
        <v>2917</v>
      </c>
    </row>
    <row r="234" spans="1:17" ht="18" customHeight="1" x14ac:dyDescent="0.2">
      <c r="A234" s="102" t="s">
        <v>2529</v>
      </c>
      <c r="B234" s="16" t="s">
        <v>2911</v>
      </c>
      <c r="C234" s="15"/>
      <c r="D234" s="15"/>
      <c r="E234" s="17" t="s">
        <v>1759</v>
      </c>
      <c r="F234" s="17" t="s">
        <v>2727</v>
      </c>
      <c r="G234" s="16" t="s">
        <v>2918</v>
      </c>
    </row>
    <row r="235" spans="1:17" ht="18" customHeight="1" x14ac:dyDescent="0.2">
      <c r="A235" s="102" t="s">
        <v>2530</v>
      </c>
      <c r="B235" s="16" t="s">
        <v>2911</v>
      </c>
      <c r="C235" s="15"/>
      <c r="D235" s="15"/>
      <c r="E235" s="17" t="s">
        <v>1759</v>
      </c>
      <c r="F235" s="17" t="s">
        <v>2728</v>
      </c>
      <c r="G235" s="16" t="s">
        <v>2918</v>
      </c>
    </row>
    <row r="236" spans="1:17" ht="18" customHeight="1" x14ac:dyDescent="0.2">
      <c r="A236" s="102" t="s">
        <v>2531</v>
      </c>
      <c r="B236" s="16" t="s">
        <v>2911</v>
      </c>
      <c r="C236" s="15"/>
      <c r="D236" s="15"/>
      <c r="E236" s="17" t="s">
        <v>1759</v>
      </c>
      <c r="F236" s="17" t="s">
        <v>2729</v>
      </c>
      <c r="G236" s="16" t="s">
        <v>2918</v>
      </c>
    </row>
    <row r="237" spans="1:17" ht="18" customHeight="1" x14ac:dyDescent="0.2">
      <c r="A237" s="102" t="s">
        <v>2532</v>
      </c>
      <c r="B237" s="16" t="s">
        <v>2911</v>
      </c>
      <c r="C237" s="15"/>
      <c r="D237" s="15"/>
      <c r="E237" s="17" t="s">
        <v>1759</v>
      </c>
      <c r="F237" s="17" t="s">
        <v>2730</v>
      </c>
      <c r="G237" s="16" t="s">
        <v>2918</v>
      </c>
    </row>
    <row r="238" spans="1:17" ht="18" customHeight="1" x14ac:dyDescent="0.2">
      <c r="A238" s="102" t="s">
        <v>2533</v>
      </c>
      <c r="B238" s="16" t="s">
        <v>2911</v>
      </c>
      <c r="C238" s="15"/>
      <c r="D238" s="15"/>
      <c r="E238" s="17" t="s">
        <v>1759</v>
      </c>
      <c r="F238" s="17" t="s">
        <v>2731</v>
      </c>
      <c r="G238" s="16" t="s">
        <v>2918</v>
      </c>
    </row>
    <row r="239" spans="1:17" ht="18" customHeight="1" x14ac:dyDescent="0.2">
      <c r="A239" s="102" t="s">
        <v>2534</v>
      </c>
      <c r="B239" s="16" t="s">
        <v>2911</v>
      </c>
      <c r="C239" s="15"/>
      <c r="D239" s="15"/>
      <c r="E239" s="17" t="s">
        <v>1759</v>
      </c>
      <c r="F239" s="17" t="s">
        <v>2732</v>
      </c>
      <c r="G239" s="16" t="s">
        <v>2918</v>
      </c>
    </row>
    <row r="240" spans="1:17" ht="18" customHeight="1" x14ac:dyDescent="0.2">
      <c r="A240" s="102" t="s">
        <v>2535</v>
      </c>
      <c r="B240" s="16" t="s">
        <v>2911</v>
      </c>
      <c r="C240" s="15"/>
      <c r="D240" s="15"/>
      <c r="E240" s="17" t="s">
        <v>1759</v>
      </c>
      <c r="F240" s="17" t="s">
        <v>2733</v>
      </c>
      <c r="G240" s="16" t="s">
        <v>2918</v>
      </c>
    </row>
    <row r="241" spans="1:7" ht="18" customHeight="1" x14ac:dyDescent="0.2">
      <c r="A241" s="102" t="s">
        <v>2536</v>
      </c>
      <c r="B241" s="16" t="s">
        <v>2911</v>
      </c>
      <c r="C241" s="15"/>
      <c r="D241" s="15"/>
      <c r="E241" s="17" t="s">
        <v>1759</v>
      </c>
      <c r="F241" s="17" t="s">
        <v>2734</v>
      </c>
      <c r="G241" s="16" t="s">
        <v>2918</v>
      </c>
    </row>
    <row r="242" spans="1:7" ht="18" customHeight="1" x14ac:dyDescent="0.2">
      <c r="A242" s="102" t="s">
        <v>2537</v>
      </c>
      <c r="B242" s="16" t="s">
        <v>2911</v>
      </c>
      <c r="C242" s="15"/>
      <c r="D242" s="15"/>
      <c r="E242" s="17" t="s">
        <v>1759</v>
      </c>
      <c r="F242" s="17" t="s">
        <v>2735</v>
      </c>
      <c r="G242" s="16" t="s">
        <v>2919</v>
      </c>
    </row>
    <row r="243" spans="1:7" ht="18" customHeight="1" x14ac:dyDescent="0.2">
      <c r="A243" s="102" t="s">
        <v>2538</v>
      </c>
      <c r="B243" s="16" t="s">
        <v>2911</v>
      </c>
      <c r="C243" s="15"/>
      <c r="D243" s="15"/>
      <c r="E243" s="17" t="s">
        <v>1759</v>
      </c>
      <c r="F243" s="17" t="s">
        <v>2736</v>
      </c>
      <c r="G243" s="16" t="s">
        <v>2919</v>
      </c>
    </row>
    <row r="244" spans="1:7" ht="18" customHeight="1" x14ac:dyDescent="0.2">
      <c r="A244" s="102" t="s">
        <v>2539</v>
      </c>
      <c r="B244" s="16" t="s">
        <v>2911</v>
      </c>
      <c r="C244" s="15"/>
      <c r="D244" s="15"/>
      <c r="E244" s="17" t="s">
        <v>1759</v>
      </c>
      <c r="F244" s="17" t="s">
        <v>2737</v>
      </c>
      <c r="G244" s="16" t="s">
        <v>2919</v>
      </c>
    </row>
    <row r="245" spans="1:7" ht="18" customHeight="1" x14ac:dyDescent="0.2">
      <c r="A245" s="102" t="s">
        <v>2540</v>
      </c>
      <c r="B245" s="16" t="s">
        <v>2911</v>
      </c>
      <c r="C245" s="15"/>
      <c r="D245" s="15"/>
      <c r="E245" s="17" t="s">
        <v>1759</v>
      </c>
      <c r="F245" s="17" t="s">
        <v>2738</v>
      </c>
      <c r="G245" s="16" t="s">
        <v>2919</v>
      </c>
    </row>
    <row r="246" spans="1:7" ht="18" customHeight="1" x14ac:dyDescent="0.2">
      <c r="A246" s="102" t="s">
        <v>2541</v>
      </c>
      <c r="B246" s="16" t="s">
        <v>2911</v>
      </c>
      <c r="C246" s="15"/>
      <c r="D246" s="15"/>
      <c r="E246" s="17" t="s">
        <v>1759</v>
      </c>
      <c r="F246" s="17" t="s">
        <v>2739</v>
      </c>
      <c r="G246" s="16" t="s">
        <v>2919</v>
      </c>
    </row>
    <row r="247" spans="1:7" ht="18" customHeight="1" x14ac:dyDescent="0.2">
      <c r="A247" s="102" t="s">
        <v>2542</v>
      </c>
      <c r="B247" s="16" t="s">
        <v>2911</v>
      </c>
      <c r="C247" s="15"/>
      <c r="D247" s="15"/>
      <c r="E247" s="17" t="s">
        <v>1759</v>
      </c>
      <c r="F247" s="17" t="s">
        <v>2740</v>
      </c>
      <c r="G247" s="16" t="s">
        <v>2919</v>
      </c>
    </row>
    <row r="248" spans="1:7" ht="18" customHeight="1" x14ac:dyDescent="0.2">
      <c r="A248" s="102" t="s">
        <v>2543</v>
      </c>
      <c r="B248" s="16" t="s">
        <v>2911</v>
      </c>
      <c r="C248" s="15"/>
      <c r="D248" s="15"/>
      <c r="E248" s="17" t="s">
        <v>1759</v>
      </c>
      <c r="F248" s="17" t="s">
        <v>2741</v>
      </c>
      <c r="G248" s="16" t="s">
        <v>2919</v>
      </c>
    </row>
    <row r="249" spans="1:7" ht="18" customHeight="1" x14ac:dyDescent="0.2">
      <c r="A249" s="102" t="s">
        <v>2544</v>
      </c>
      <c r="B249" s="16" t="s">
        <v>2911</v>
      </c>
      <c r="C249" s="15"/>
      <c r="D249" s="15"/>
      <c r="E249" s="17" t="s">
        <v>1759</v>
      </c>
      <c r="F249" s="17" t="s">
        <v>2742</v>
      </c>
      <c r="G249" s="16" t="s">
        <v>2919</v>
      </c>
    </row>
    <row r="250" spans="1:7" ht="18" customHeight="1" x14ac:dyDescent="0.2">
      <c r="A250" s="102" t="s">
        <v>2545</v>
      </c>
      <c r="B250" s="16" t="s">
        <v>2911</v>
      </c>
      <c r="C250" s="15"/>
      <c r="D250" s="15"/>
      <c r="E250" s="17" t="s">
        <v>1759</v>
      </c>
      <c r="F250" s="17" t="s">
        <v>2743</v>
      </c>
      <c r="G250" s="16" t="s">
        <v>2920</v>
      </c>
    </row>
    <row r="251" spans="1:7" ht="18" customHeight="1" x14ac:dyDescent="0.2">
      <c r="A251" s="102" t="s">
        <v>2546</v>
      </c>
      <c r="B251" s="16" t="s">
        <v>2911</v>
      </c>
      <c r="C251" s="15"/>
      <c r="D251" s="15"/>
      <c r="E251" s="17" t="s">
        <v>1759</v>
      </c>
      <c r="F251" s="17" t="s">
        <v>2744</v>
      </c>
      <c r="G251" s="16" t="s">
        <v>2920</v>
      </c>
    </row>
    <row r="252" spans="1:7" ht="18" customHeight="1" x14ac:dyDescent="0.2">
      <c r="A252" s="102" t="s">
        <v>2547</v>
      </c>
      <c r="B252" s="16" t="s">
        <v>2911</v>
      </c>
      <c r="C252" s="15"/>
      <c r="D252" s="15"/>
      <c r="E252" s="17" t="s">
        <v>1759</v>
      </c>
      <c r="F252" s="17" t="s">
        <v>2745</v>
      </c>
      <c r="G252" s="16" t="s">
        <v>2920</v>
      </c>
    </row>
    <row r="253" spans="1:7" ht="18" customHeight="1" x14ac:dyDescent="0.2">
      <c r="A253" s="102" t="s">
        <v>2548</v>
      </c>
      <c r="B253" s="16" t="s">
        <v>2911</v>
      </c>
      <c r="C253" s="15"/>
      <c r="D253" s="15"/>
      <c r="E253" s="17" t="s">
        <v>1759</v>
      </c>
      <c r="F253" s="17" t="s">
        <v>2746</v>
      </c>
      <c r="G253" s="16" t="s">
        <v>2920</v>
      </c>
    </row>
    <row r="254" spans="1:7" ht="18" customHeight="1" x14ac:dyDescent="0.2">
      <c r="A254" s="102" t="s">
        <v>2549</v>
      </c>
      <c r="B254" s="16" t="s">
        <v>2911</v>
      </c>
      <c r="C254" s="15"/>
      <c r="D254" s="15"/>
      <c r="E254" s="17" t="s">
        <v>1759</v>
      </c>
      <c r="F254" s="17" t="s">
        <v>2747</v>
      </c>
      <c r="G254" s="16" t="s">
        <v>2920</v>
      </c>
    </row>
    <row r="255" spans="1:7" ht="18" customHeight="1" x14ac:dyDescent="0.2">
      <c r="A255" s="102" t="s">
        <v>2550</v>
      </c>
      <c r="B255" s="16" t="s">
        <v>2911</v>
      </c>
      <c r="C255" s="15"/>
      <c r="D255" s="15"/>
      <c r="E255" s="17" t="s">
        <v>1759</v>
      </c>
      <c r="F255" s="17" t="s">
        <v>2748</v>
      </c>
      <c r="G255" s="16" t="s">
        <v>2920</v>
      </c>
    </row>
    <row r="256" spans="1:7" ht="18" customHeight="1" x14ac:dyDescent="0.2">
      <c r="A256" s="102" t="s">
        <v>2551</v>
      </c>
      <c r="B256" s="16" t="s">
        <v>2911</v>
      </c>
      <c r="C256" s="15"/>
      <c r="D256" s="15"/>
      <c r="E256" s="17" t="s">
        <v>1759</v>
      </c>
      <c r="F256" s="17" t="s">
        <v>2749</v>
      </c>
      <c r="G256" s="16" t="s">
        <v>2920</v>
      </c>
    </row>
    <row r="257" spans="1:7" ht="18" customHeight="1" x14ac:dyDescent="0.2">
      <c r="A257" s="102" t="s">
        <v>2552</v>
      </c>
      <c r="B257" s="16" t="s">
        <v>2911</v>
      </c>
      <c r="C257" s="15"/>
      <c r="D257" s="15"/>
      <c r="E257" s="17" t="s">
        <v>1759</v>
      </c>
      <c r="F257" s="17" t="s">
        <v>2750</v>
      </c>
      <c r="G257" s="16" t="s">
        <v>2920</v>
      </c>
    </row>
    <row r="258" spans="1:7" ht="18" customHeight="1" x14ac:dyDescent="0.2">
      <c r="A258" s="102" t="s">
        <v>2553</v>
      </c>
      <c r="B258" s="16" t="s">
        <v>2911</v>
      </c>
      <c r="C258" s="15"/>
      <c r="D258" s="15"/>
      <c r="E258" s="17" t="s">
        <v>1759</v>
      </c>
      <c r="F258" s="17" t="s">
        <v>2751</v>
      </c>
      <c r="G258" s="16" t="s">
        <v>2920</v>
      </c>
    </row>
    <row r="259" spans="1:7" ht="18" customHeight="1" x14ac:dyDescent="0.2">
      <c r="A259" s="102" t="s">
        <v>2554</v>
      </c>
      <c r="B259" s="16" t="s">
        <v>2911</v>
      </c>
      <c r="C259" s="15"/>
      <c r="D259" s="15"/>
      <c r="E259" s="17" t="s">
        <v>1759</v>
      </c>
      <c r="F259" s="17" t="s">
        <v>2752</v>
      </c>
      <c r="G259" s="16" t="s">
        <v>2921</v>
      </c>
    </row>
    <row r="260" spans="1:7" ht="18" customHeight="1" x14ac:dyDescent="0.2">
      <c r="A260" s="102" t="s">
        <v>2555</v>
      </c>
      <c r="B260" s="16" t="s">
        <v>2911</v>
      </c>
      <c r="C260" s="15"/>
      <c r="D260" s="15"/>
      <c r="E260" s="17" t="s">
        <v>1759</v>
      </c>
      <c r="F260" s="17" t="s">
        <v>2753</v>
      </c>
      <c r="G260" s="16" t="s">
        <v>2921</v>
      </c>
    </row>
    <row r="261" spans="1:7" ht="18" customHeight="1" x14ac:dyDescent="0.2">
      <c r="A261" s="102" t="s">
        <v>2556</v>
      </c>
      <c r="B261" s="16" t="s">
        <v>2911</v>
      </c>
      <c r="C261" s="15"/>
      <c r="D261" s="15"/>
      <c r="E261" s="17" t="s">
        <v>1759</v>
      </c>
      <c r="F261" s="17" t="s">
        <v>2754</v>
      </c>
      <c r="G261" s="16" t="s">
        <v>2921</v>
      </c>
    </row>
    <row r="262" spans="1:7" ht="18" customHeight="1" x14ac:dyDescent="0.2">
      <c r="A262" s="102" t="s">
        <v>2557</v>
      </c>
      <c r="B262" s="16" t="s">
        <v>2911</v>
      </c>
      <c r="C262" s="15"/>
      <c r="D262" s="15"/>
      <c r="E262" s="17" t="s">
        <v>1759</v>
      </c>
      <c r="F262" s="17" t="s">
        <v>2755</v>
      </c>
      <c r="G262" s="16" t="s">
        <v>2921</v>
      </c>
    </row>
    <row r="263" spans="1:7" ht="18" customHeight="1" x14ac:dyDescent="0.2">
      <c r="A263" s="102" t="s">
        <v>2558</v>
      </c>
      <c r="B263" s="16" t="s">
        <v>2911</v>
      </c>
      <c r="C263" s="15"/>
      <c r="D263" s="15"/>
      <c r="E263" s="17" t="s">
        <v>1759</v>
      </c>
      <c r="F263" s="17" t="s">
        <v>2756</v>
      </c>
      <c r="G263" s="16" t="s">
        <v>2921</v>
      </c>
    </row>
    <row r="264" spans="1:7" ht="18" customHeight="1" x14ac:dyDescent="0.2">
      <c r="A264" s="102" t="s">
        <v>2559</v>
      </c>
      <c r="B264" s="16" t="s">
        <v>2911</v>
      </c>
      <c r="C264" s="15"/>
      <c r="D264" s="15"/>
      <c r="E264" s="17" t="s">
        <v>1759</v>
      </c>
      <c r="F264" s="17" t="s">
        <v>2757</v>
      </c>
      <c r="G264" s="16" t="s">
        <v>2921</v>
      </c>
    </row>
    <row r="265" spans="1:7" ht="18" customHeight="1" x14ac:dyDescent="0.2">
      <c r="A265" s="102" t="s">
        <v>2560</v>
      </c>
      <c r="B265" s="16" t="s">
        <v>2911</v>
      </c>
      <c r="C265" s="15"/>
      <c r="D265" s="15"/>
      <c r="E265" s="17" t="s">
        <v>1759</v>
      </c>
      <c r="F265" s="17" t="s">
        <v>2758</v>
      </c>
      <c r="G265" s="16" t="s">
        <v>2921</v>
      </c>
    </row>
    <row r="266" spans="1:7" ht="18" customHeight="1" x14ac:dyDescent="0.2">
      <c r="A266" s="102" t="s">
        <v>2561</v>
      </c>
      <c r="B266" s="16" t="s">
        <v>2911</v>
      </c>
      <c r="C266" s="15"/>
      <c r="D266" s="15"/>
      <c r="E266" s="17" t="s">
        <v>1759</v>
      </c>
      <c r="F266" s="17" t="s">
        <v>2759</v>
      </c>
      <c r="G266" s="16" t="s">
        <v>2921</v>
      </c>
    </row>
    <row r="267" spans="1:7" ht="18" customHeight="1" x14ac:dyDescent="0.2">
      <c r="A267" s="102" t="s">
        <v>2562</v>
      </c>
      <c r="B267" s="16" t="s">
        <v>2911</v>
      </c>
      <c r="C267" s="15"/>
      <c r="D267" s="15"/>
      <c r="E267" s="17" t="s">
        <v>1759</v>
      </c>
      <c r="F267" s="17" t="s">
        <v>2760</v>
      </c>
      <c r="G267" s="16" t="s">
        <v>2921</v>
      </c>
    </row>
    <row r="268" spans="1:7" ht="18" customHeight="1" x14ac:dyDescent="0.2">
      <c r="A268" s="102" t="s">
        <v>2563</v>
      </c>
      <c r="B268" s="16" t="s">
        <v>2911</v>
      </c>
      <c r="C268" s="15"/>
      <c r="D268" s="15"/>
      <c r="E268" s="17" t="s">
        <v>1759</v>
      </c>
      <c r="F268" s="17" t="s">
        <v>2761</v>
      </c>
      <c r="G268" s="16" t="s">
        <v>2922</v>
      </c>
    </row>
    <row r="269" spans="1:7" ht="18" customHeight="1" x14ac:dyDescent="0.2">
      <c r="A269" s="102" t="s">
        <v>2564</v>
      </c>
      <c r="B269" s="16" t="s">
        <v>2911</v>
      </c>
      <c r="C269" s="15"/>
      <c r="D269" s="15"/>
      <c r="E269" s="17" t="s">
        <v>1759</v>
      </c>
      <c r="F269" s="17" t="s">
        <v>2762</v>
      </c>
      <c r="G269" s="16" t="s">
        <v>2922</v>
      </c>
    </row>
    <row r="270" spans="1:7" ht="18" customHeight="1" x14ac:dyDescent="0.2">
      <c r="A270" s="102" t="s">
        <v>2565</v>
      </c>
      <c r="B270" s="16" t="s">
        <v>2911</v>
      </c>
      <c r="C270" s="15"/>
      <c r="D270" s="15"/>
      <c r="E270" s="17" t="s">
        <v>1759</v>
      </c>
      <c r="F270" s="17" t="s">
        <v>2763</v>
      </c>
      <c r="G270" s="16" t="s">
        <v>2922</v>
      </c>
    </row>
    <row r="271" spans="1:7" ht="18" customHeight="1" x14ac:dyDescent="0.2">
      <c r="A271" s="102" t="s">
        <v>2566</v>
      </c>
      <c r="B271" s="16" t="s">
        <v>2911</v>
      </c>
      <c r="C271" s="15"/>
      <c r="D271" s="15"/>
      <c r="E271" s="17" t="s">
        <v>1759</v>
      </c>
      <c r="F271" s="17" t="s">
        <v>2764</v>
      </c>
      <c r="G271" s="16" t="s">
        <v>2922</v>
      </c>
    </row>
    <row r="272" spans="1:7" ht="18" customHeight="1" x14ac:dyDescent="0.2">
      <c r="A272" s="102" t="s">
        <v>2567</v>
      </c>
      <c r="B272" s="16" t="s">
        <v>2911</v>
      </c>
      <c r="C272" s="15"/>
      <c r="D272" s="15"/>
      <c r="E272" s="17" t="s">
        <v>1759</v>
      </c>
      <c r="F272" s="17" t="s">
        <v>2765</v>
      </c>
      <c r="G272" s="16" t="s">
        <v>2922</v>
      </c>
    </row>
    <row r="273" spans="1:7" ht="18" customHeight="1" x14ac:dyDescent="0.2">
      <c r="A273" s="102" t="s">
        <v>2568</v>
      </c>
      <c r="B273" s="16" t="s">
        <v>2911</v>
      </c>
      <c r="C273" s="15"/>
      <c r="D273" s="15"/>
      <c r="E273" s="17" t="s">
        <v>1759</v>
      </c>
      <c r="F273" s="17" t="s">
        <v>2766</v>
      </c>
      <c r="G273" s="16" t="s">
        <v>2922</v>
      </c>
    </row>
    <row r="274" spans="1:7" ht="18" customHeight="1" x14ac:dyDescent="0.2">
      <c r="A274" s="102" t="s">
        <v>2569</v>
      </c>
      <c r="B274" s="16" t="s">
        <v>2911</v>
      </c>
      <c r="C274" s="15"/>
      <c r="D274" s="15"/>
      <c r="E274" s="17" t="s">
        <v>1759</v>
      </c>
      <c r="F274" s="17" t="s">
        <v>2767</v>
      </c>
      <c r="G274" s="16" t="s">
        <v>2922</v>
      </c>
    </row>
    <row r="275" spans="1:7" ht="18" customHeight="1" x14ac:dyDescent="0.2">
      <c r="A275" s="102" t="s">
        <v>2570</v>
      </c>
      <c r="B275" s="16" t="s">
        <v>2911</v>
      </c>
      <c r="C275" s="15"/>
      <c r="D275" s="15"/>
      <c r="E275" s="17" t="s">
        <v>1759</v>
      </c>
      <c r="F275" s="17" t="s">
        <v>2768</v>
      </c>
      <c r="G275" s="16" t="s">
        <v>2922</v>
      </c>
    </row>
    <row r="276" spans="1:7" ht="18" customHeight="1" x14ac:dyDescent="0.2">
      <c r="A276" s="102" t="s">
        <v>2571</v>
      </c>
      <c r="B276" s="16" t="s">
        <v>2911</v>
      </c>
      <c r="C276" s="15"/>
      <c r="D276" s="15"/>
      <c r="E276" s="17" t="s">
        <v>1759</v>
      </c>
      <c r="F276" s="17" t="s">
        <v>2769</v>
      </c>
      <c r="G276" s="16" t="s">
        <v>2922</v>
      </c>
    </row>
    <row r="277" spans="1:7" ht="18" customHeight="1" x14ac:dyDescent="0.2">
      <c r="A277" s="102" t="s">
        <v>2572</v>
      </c>
      <c r="B277" s="16" t="s">
        <v>2911</v>
      </c>
      <c r="C277" s="15"/>
      <c r="D277" s="15"/>
      <c r="E277" s="17" t="s">
        <v>1759</v>
      </c>
      <c r="F277" s="17" t="s">
        <v>2770</v>
      </c>
      <c r="G277" s="16" t="s">
        <v>2922</v>
      </c>
    </row>
    <row r="278" spans="1:7" ht="18" customHeight="1" x14ac:dyDescent="0.2">
      <c r="A278" s="102" t="s">
        <v>2573</v>
      </c>
      <c r="B278" s="16" t="s">
        <v>2911</v>
      </c>
      <c r="C278" s="15"/>
      <c r="D278" s="15"/>
      <c r="E278" s="17" t="s">
        <v>1759</v>
      </c>
      <c r="F278" s="17" t="s">
        <v>2771</v>
      </c>
      <c r="G278" s="16" t="s">
        <v>2922</v>
      </c>
    </row>
    <row r="279" spans="1:7" ht="18" customHeight="1" x14ac:dyDescent="0.2">
      <c r="A279" s="102" t="s">
        <v>2574</v>
      </c>
      <c r="B279" s="16" t="s">
        <v>2911</v>
      </c>
      <c r="C279" s="15"/>
      <c r="D279" s="15"/>
      <c r="E279" s="17" t="s">
        <v>1759</v>
      </c>
      <c r="F279" s="17" t="s">
        <v>2772</v>
      </c>
      <c r="G279" s="16" t="s">
        <v>2922</v>
      </c>
    </row>
    <row r="280" spans="1:7" ht="18" customHeight="1" x14ac:dyDescent="0.2">
      <c r="A280" s="102" t="s">
        <v>2575</v>
      </c>
      <c r="B280" s="16" t="s">
        <v>2911</v>
      </c>
      <c r="C280" s="15"/>
      <c r="D280" s="15"/>
      <c r="E280" s="17" t="s">
        <v>1759</v>
      </c>
      <c r="F280" s="17" t="s">
        <v>2773</v>
      </c>
      <c r="G280" s="16" t="s">
        <v>2922</v>
      </c>
    </row>
    <row r="281" spans="1:7" ht="18" customHeight="1" x14ac:dyDescent="0.2">
      <c r="A281" s="102" t="s">
        <v>2576</v>
      </c>
      <c r="B281" s="16" t="s">
        <v>2911</v>
      </c>
      <c r="C281" s="15"/>
      <c r="D281" s="15"/>
      <c r="E281" s="17" t="s">
        <v>1759</v>
      </c>
      <c r="F281" s="17" t="s">
        <v>2774</v>
      </c>
      <c r="G281" s="16" t="s">
        <v>2922</v>
      </c>
    </row>
    <row r="282" spans="1:7" ht="18" customHeight="1" x14ac:dyDescent="0.2">
      <c r="A282" s="102" t="s">
        <v>2577</v>
      </c>
      <c r="B282" s="16" t="s">
        <v>2911</v>
      </c>
      <c r="C282" s="15"/>
      <c r="D282" s="15"/>
      <c r="E282" s="17" t="s">
        <v>1759</v>
      </c>
      <c r="F282" s="17" t="s">
        <v>2775</v>
      </c>
      <c r="G282" s="16" t="s">
        <v>2923</v>
      </c>
    </row>
    <row r="283" spans="1:7" ht="18" customHeight="1" x14ac:dyDescent="0.2">
      <c r="A283" s="102" t="s">
        <v>2578</v>
      </c>
      <c r="B283" s="16" t="s">
        <v>2911</v>
      </c>
      <c r="C283" s="15"/>
      <c r="D283" s="15"/>
      <c r="E283" s="17" t="s">
        <v>1759</v>
      </c>
      <c r="F283" s="17" t="s">
        <v>2776</v>
      </c>
      <c r="G283" s="16" t="s">
        <v>2923</v>
      </c>
    </row>
    <row r="284" spans="1:7" ht="18" customHeight="1" x14ac:dyDescent="0.2">
      <c r="A284" s="102" t="s">
        <v>2579</v>
      </c>
      <c r="B284" s="16" t="s">
        <v>2911</v>
      </c>
      <c r="C284" s="15"/>
      <c r="D284" s="15"/>
      <c r="E284" s="17" t="s">
        <v>1759</v>
      </c>
      <c r="F284" s="17" t="s">
        <v>2777</v>
      </c>
      <c r="G284" s="16" t="s">
        <v>2923</v>
      </c>
    </row>
    <row r="285" spans="1:7" ht="18" customHeight="1" x14ac:dyDescent="0.2">
      <c r="A285" s="102" t="s">
        <v>2580</v>
      </c>
      <c r="B285" s="16" t="s">
        <v>2911</v>
      </c>
      <c r="C285" s="15"/>
      <c r="D285" s="15"/>
      <c r="E285" s="17" t="s">
        <v>1759</v>
      </c>
      <c r="F285" s="17" t="s">
        <v>2778</v>
      </c>
      <c r="G285" s="16" t="s">
        <v>2923</v>
      </c>
    </row>
    <row r="286" spans="1:7" ht="18" customHeight="1" x14ac:dyDescent="0.2">
      <c r="A286" s="102" t="s">
        <v>2581</v>
      </c>
      <c r="B286" s="16" t="s">
        <v>2911</v>
      </c>
      <c r="C286" s="15"/>
      <c r="D286" s="15"/>
      <c r="E286" s="17" t="s">
        <v>1759</v>
      </c>
      <c r="F286" s="17" t="s">
        <v>2779</v>
      </c>
      <c r="G286" s="16" t="s">
        <v>2923</v>
      </c>
    </row>
    <row r="287" spans="1:7" ht="18" customHeight="1" x14ac:dyDescent="0.2">
      <c r="A287" s="102" t="s">
        <v>2582</v>
      </c>
      <c r="B287" s="16" t="s">
        <v>2911</v>
      </c>
      <c r="C287" s="15"/>
      <c r="D287" s="15"/>
      <c r="E287" s="17" t="s">
        <v>1759</v>
      </c>
      <c r="F287" s="17" t="s">
        <v>2780</v>
      </c>
      <c r="G287" s="16" t="s">
        <v>2923</v>
      </c>
    </row>
    <row r="288" spans="1:7" ht="18" customHeight="1" x14ac:dyDescent="0.2">
      <c r="A288" s="102" t="s">
        <v>2583</v>
      </c>
      <c r="B288" s="16" t="s">
        <v>2911</v>
      </c>
      <c r="C288" s="15"/>
      <c r="D288" s="15"/>
      <c r="E288" s="17" t="s">
        <v>1759</v>
      </c>
      <c r="F288" s="17" t="s">
        <v>2781</v>
      </c>
      <c r="G288" s="16" t="s">
        <v>2923</v>
      </c>
    </row>
    <row r="289" spans="1:7" ht="18" customHeight="1" x14ac:dyDescent="0.2">
      <c r="A289" s="102" t="s">
        <v>2584</v>
      </c>
      <c r="B289" s="16" t="s">
        <v>2911</v>
      </c>
      <c r="C289" s="15"/>
      <c r="D289" s="15"/>
      <c r="E289" s="17" t="s">
        <v>1759</v>
      </c>
      <c r="F289" s="17" t="s">
        <v>2782</v>
      </c>
      <c r="G289" s="16" t="s">
        <v>2923</v>
      </c>
    </row>
    <row r="290" spans="1:7" ht="18" customHeight="1" x14ac:dyDescent="0.2">
      <c r="A290" s="102" t="s">
        <v>2585</v>
      </c>
      <c r="B290" s="16" t="s">
        <v>2911</v>
      </c>
      <c r="C290" s="15"/>
      <c r="D290" s="15"/>
      <c r="E290" s="17" t="s">
        <v>1759</v>
      </c>
      <c r="F290" s="17" t="s">
        <v>2783</v>
      </c>
      <c r="G290" s="16" t="s">
        <v>2923</v>
      </c>
    </row>
    <row r="291" spans="1:7" ht="18" customHeight="1" x14ac:dyDescent="0.2">
      <c r="A291" s="102" t="s">
        <v>2586</v>
      </c>
      <c r="B291" s="16" t="s">
        <v>2911</v>
      </c>
      <c r="C291" s="15"/>
      <c r="D291" s="15"/>
      <c r="E291" s="17" t="s">
        <v>1759</v>
      </c>
      <c r="F291" s="17" t="s">
        <v>2784</v>
      </c>
      <c r="G291" s="16" t="s">
        <v>2923</v>
      </c>
    </row>
    <row r="292" spans="1:7" ht="18" customHeight="1" x14ac:dyDescent="0.2">
      <c r="A292" s="102" t="s">
        <v>1763</v>
      </c>
      <c r="B292" s="16" t="s">
        <v>2911</v>
      </c>
      <c r="C292" s="15"/>
      <c r="D292" s="15"/>
      <c r="E292" s="17" t="s">
        <v>1759</v>
      </c>
      <c r="F292" s="17" t="s">
        <v>1762</v>
      </c>
      <c r="G292" s="16" t="s">
        <v>2923</v>
      </c>
    </row>
    <row r="293" spans="1:7" ht="18" customHeight="1" x14ac:dyDescent="0.2">
      <c r="A293" s="102" t="s">
        <v>2587</v>
      </c>
      <c r="B293" s="16" t="s">
        <v>2911</v>
      </c>
      <c r="C293" s="15"/>
      <c r="D293" s="15"/>
      <c r="E293" s="17" t="s">
        <v>1759</v>
      </c>
      <c r="F293" s="17" t="s">
        <v>2785</v>
      </c>
      <c r="G293" s="16" t="s">
        <v>2923</v>
      </c>
    </row>
    <row r="294" spans="1:7" ht="18" customHeight="1" x14ac:dyDescent="0.2">
      <c r="A294" s="102" t="s">
        <v>1761</v>
      </c>
      <c r="B294" s="16" t="s">
        <v>2911</v>
      </c>
      <c r="C294" s="15"/>
      <c r="D294" s="15"/>
      <c r="E294" s="17" t="s">
        <v>1759</v>
      </c>
      <c r="F294" s="17" t="s">
        <v>1760</v>
      </c>
      <c r="G294" s="16" t="s">
        <v>2923</v>
      </c>
    </row>
    <row r="295" spans="1:7" ht="18" customHeight="1" x14ac:dyDescent="0.2">
      <c r="A295" s="102" t="s">
        <v>2588</v>
      </c>
      <c r="B295" s="16" t="s">
        <v>2911</v>
      </c>
      <c r="C295" s="15"/>
      <c r="D295" s="15"/>
      <c r="E295" s="17" t="s">
        <v>1759</v>
      </c>
      <c r="F295" s="17" t="s">
        <v>2786</v>
      </c>
      <c r="G295" s="16" t="s">
        <v>2923</v>
      </c>
    </row>
    <row r="296" spans="1:7" ht="18" customHeight="1" x14ac:dyDescent="0.2">
      <c r="A296" s="102" t="s">
        <v>2589</v>
      </c>
      <c r="B296" s="16" t="s">
        <v>2911</v>
      </c>
      <c r="C296" s="15"/>
      <c r="D296" s="15"/>
      <c r="E296" s="17" t="s">
        <v>1759</v>
      </c>
      <c r="F296" s="17" t="s">
        <v>2787</v>
      </c>
      <c r="G296" s="16" t="s">
        <v>2924</v>
      </c>
    </row>
    <row r="297" spans="1:7" ht="18" customHeight="1" x14ac:dyDescent="0.2">
      <c r="A297" s="102" t="s">
        <v>2590</v>
      </c>
      <c r="B297" s="16" t="s">
        <v>2911</v>
      </c>
      <c r="C297" s="15"/>
      <c r="D297" s="15"/>
      <c r="E297" s="17" t="s">
        <v>1759</v>
      </c>
      <c r="F297" s="17" t="s">
        <v>2788</v>
      </c>
      <c r="G297" s="16" t="s">
        <v>2924</v>
      </c>
    </row>
    <row r="298" spans="1:7" ht="18" customHeight="1" x14ac:dyDescent="0.2">
      <c r="A298" s="102" t="s">
        <v>2591</v>
      </c>
      <c r="B298" s="16" t="s">
        <v>2911</v>
      </c>
      <c r="C298" s="15"/>
      <c r="D298" s="15"/>
      <c r="E298" s="17" t="s">
        <v>1759</v>
      </c>
      <c r="F298" s="17" t="s">
        <v>2789</v>
      </c>
      <c r="G298" s="16" t="s">
        <v>2924</v>
      </c>
    </row>
    <row r="299" spans="1:7" ht="18" customHeight="1" x14ac:dyDescent="0.2">
      <c r="A299" s="102" t="s">
        <v>2592</v>
      </c>
      <c r="B299" s="16" t="s">
        <v>2911</v>
      </c>
      <c r="C299" s="15"/>
      <c r="D299" s="15"/>
      <c r="E299" s="17" t="s">
        <v>1759</v>
      </c>
      <c r="F299" s="17" t="s">
        <v>2790</v>
      </c>
      <c r="G299" s="16" t="s">
        <v>2924</v>
      </c>
    </row>
    <row r="300" spans="1:7" ht="18" customHeight="1" x14ac:dyDescent="0.2">
      <c r="A300" s="102" t="s">
        <v>2593</v>
      </c>
      <c r="B300" s="16" t="s">
        <v>2911</v>
      </c>
      <c r="C300" s="15"/>
      <c r="D300" s="15"/>
      <c r="E300" s="17" t="s">
        <v>1759</v>
      </c>
      <c r="F300" s="17" t="s">
        <v>2791</v>
      </c>
      <c r="G300" s="16" t="s">
        <v>2924</v>
      </c>
    </row>
    <row r="301" spans="1:7" ht="18" customHeight="1" x14ac:dyDescent="0.2">
      <c r="A301" s="102" t="s">
        <v>2594</v>
      </c>
      <c r="B301" s="16" t="s">
        <v>2911</v>
      </c>
      <c r="C301" s="15"/>
      <c r="D301" s="15"/>
      <c r="E301" s="17" t="s">
        <v>1759</v>
      </c>
      <c r="F301" s="17" t="s">
        <v>2792</v>
      </c>
      <c r="G301" s="16" t="s">
        <v>2924</v>
      </c>
    </row>
    <row r="302" spans="1:7" ht="18" customHeight="1" x14ac:dyDescent="0.2">
      <c r="A302" s="102" t="s">
        <v>2595</v>
      </c>
      <c r="B302" s="16" t="s">
        <v>2911</v>
      </c>
      <c r="C302" s="15"/>
      <c r="D302" s="15"/>
      <c r="E302" s="17" t="s">
        <v>1759</v>
      </c>
      <c r="F302" s="17" t="s">
        <v>2793</v>
      </c>
      <c r="G302" s="16" t="s">
        <v>2924</v>
      </c>
    </row>
    <row r="303" spans="1:7" ht="18" customHeight="1" x14ac:dyDescent="0.2">
      <c r="A303" s="102" t="s">
        <v>2596</v>
      </c>
      <c r="B303" s="16" t="s">
        <v>2911</v>
      </c>
      <c r="C303" s="15"/>
      <c r="D303" s="15"/>
      <c r="E303" s="17" t="s">
        <v>1759</v>
      </c>
      <c r="F303" s="17" t="s">
        <v>2794</v>
      </c>
      <c r="G303" s="16" t="s">
        <v>2925</v>
      </c>
    </row>
    <row r="304" spans="1:7" ht="18" customHeight="1" x14ac:dyDescent="0.2">
      <c r="A304" s="102" t="s">
        <v>2597</v>
      </c>
      <c r="B304" s="16" t="s">
        <v>2911</v>
      </c>
      <c r="C304" s="15"/>
      <c r="D304" s="15"/>
      <c r="E304" s="17" t="s">
        <v>1759</v>
      </c>
      <c r="F304" s="17" t="s">
        <v>2795</v>
      </c>
      <c r="G304" s="16" t="s">
        <v>2925</v>
      </c>
    </row>
    <row r="305" spans="1:7" ht="18" customHeight="1" x14ac:dyDescent="0.2">
      <c r="A305" s="102" t="s">
        <v>2598</v>
      </c>
      <c r="B305" s="16" t="s">
        <v>2911</v>
      </c>
      <c r="C305" s="15"/>
      <c r="D305" s="15"/>
      <c r="E305" s="17" t="s">
        <v>1759</v>
      </c>
      <c r="F305" s="17" t="s">
        <v>2796</v>
      </c>
      <c r="G305" s="16" t="s">
        <v>2925</v>
      </c>
    </row>
    <row r="306" spans="1:7" ht="18" customHeight="1" x14ac:dyDescent="0.2">
      <c r="A306" s="102" t="s">
        <v>2599</v>
      </c>
      <c r="B306" s="16" t="s">
        <v>2911</v>
      </c>
      <c r="C306" s="15"/>
      <c r="D306" s="15"/>
      <c r="E306" s="17" t="s">
        <v>1759</v>
      </c>
      <c r="F306" s="17" t="s">
        <v>2797</v>
      </c>
      <c r="G306" s="16" t="s">
        <v>2925</v>
      </c>
    </row>
    <row r="307" spans="1:7" ht="18" customHeight="1" x14ac:dyDescent="0.2">
      <c r="A307" s="102" t="s">
        <v>2600</v>
      </c>
      <c r="B307" s="16" t="s">
        <v>2911</v>
      </c>
      <c r="C307" s="15"/>
      <c r="D307" s="15"/>
      <c r="E307" s="17" t="s">
        <v>1759</v>
      </c>
      <c r="F307" s="17" t="s">
        <v>2798</v>
      </c>
      <c r="G307" s="16" t="s">
        <v>2925</v>
      </c>
    </row>
    <row r="308" spans="1:7" ht="18" customHeight="1" x14ac:dyDescent="0.2">
      <c r="A308" s="102" t="s">
        <v>2601</v>
      </c>
      <c r="B308" s="16" t="s">
        <v>2911</v>
      </c>
      <c r="C308" s="15"/>
      <c r="D308" s="15"/>
      <c r="E308" s="17" t="s">
        <v>1759</v>
      </c>
      <c r="F308" s="17" t="s">
        <v>2799</v>
      </c>
      <c r="G308" s="16" t="s">
        <v>2925</v>
      </c>
    </row>
    <row r="309" spans="1:7" ht="18" customHeight="1" x14ac:dyDescent="0.2">
      <c r="A309" s="102" t="s">
        <v>2602</v>
      </c>
      <c r="B309" s="16" t="s">
        <v>2911</v>
      </c>
      <c r="C309" s="15"/>
      <c r="D309" s="15"/>
      <c r="E309" s="17" t="s">
        <v>1759</v>
      </c>
      <c r="F309" s="17" t="s">
        <v>2800</v>
      </c>
      <c r="G309" s="16" t="s">
        <v>2925</v>
      </c>
    </row>
    <row r="310" spans="1:7" ht="18" customHeight="1" x14ac:dyDescent="0.2">
      <c r="A310" s="102" t="s">
        <v>2603</v>
      </c>
      <c r="B310" s="16" t="s">
        <v>2911</v>
      </c>
      <c r="C310" s="15"/>
      <c r="D310" s="15"/>
      <c r="E310" s="17" t="s">
        <v>1759</v>
      </c>
      <c r="F310" s="17" t="s">
        <v>2801</v>
      </c>
      <c r="G310" s="16" t="s">
        <v>2925</v>
      </c>
    </row>
    <row r="311" spans="1:7" ht="18" customHeight="1" x14ac:dyDescent="0.2">
      <c r="A311" s="102" t="s">
        <v>2604</v>
      </c>
      <c r="B311" s="16" t="s">
        <v>2911</v>
      </c>
      <c r="C311" s="15"/>
      <c r="D311" s="15"/>
      <c r="E311" s="17" t="s">
        <v>1759</v>
      </c>
      <c r="F311" s="17" t="s">
        <v>2802</v>
      </c>
      <c r="G311" s="16" t="s">
        <v>2926</v>
      </c>
    </row>
    <row r="312" spans="1:7" ht="18" customHeight="1" x14ac:dyDescent="0.2">
      <c r="A312" s="102" t="s">
        <v>2605</v>
      </c>
      <c r="B312" s="16" t="s">
        <v>2911</v>
      </c>
      <c r="C312" s="15"/>
      <c r="D312" s="15"/>
      <c r="E312" s="17" t="s">
        <v>1759</v>
      </c>
      <c r="F312" s="17" t="s">
        <v>2803</v>
      </c>
      <c r="G312" s="16" t="s">
        <v>2926</v>
      </c>
    </row>
    <row r="313" spans="1:7" ht="18" customHeight="1" x14ac:dyDescent="0.2">
      <c r="A313" s="102" t="s">
        <v>2606</v>
      </c>
      <c r="B313" s="16" t="s">
        <v>2911</v>
      </c>
      <c r="C313" s="15"/>
      <c r="D313" s="15"/>
      <c r="E313" s="17" t="s">
        <v>1759</v>
      </c>
      <c r="F313" s="17" t="s">
        <v>2804</v>
      </c>
      <c r="G313" s="16" t="s">
        <v>2926</v>
      </c>
    </row>
    <row r="314" spans="1:7" ht="18" customHeight="1" x14ac:dyDescent="0.2">
      <c r="A314" s="102" t="s">
        <v>2607</v>
      </c>
      <c r="B314" s="16" t="s">
        <v>2911</v>
      </c>
      <c r="C314" s="15"/>
      <c r="D314" s="15"/>
      <c r="E314" s="17" t="s">
        <v>1759</v>
      </c>
      <c r="F314" s="17" t="s">
        <v>2805</v>
      </c>
      <c r="G314" s="16" t="s">
        <v>2926</v>
      </c>
    </row>
    <row r="315" spans="1:7" ht="18" customHeight="1" x14ac:dyDescent="0.2">
      <c r="A315" s="102" t="s">
        <v>2608</v>
      </c>
      <c r="B315" s="16" t="s">
        <v>2911</v>
      </c>
      <c r="C315" s="15"/>
      <c r="D315" s="15"/>
      <c r="E315" s="17" t="s">
        <v>1759</v>
      </c>
      <c r="F315" s="17" t="s">
        <v>2806</v>
      </c>
      <c r="G315" s="16" t="s">
        <v>2927</v>
      </c>
    </row>
    <row r="316" spans="1:7" ht="18" customHeight="1" x14ac:dyDescent="0.2">
      <c r="A316" s="102" t="s">
        <v>2609</v>
      </c>
      <c r="B316" s="16" t="s">
        <v>2911</v>
      </c>
      <c r="C316" s="15"/>
      <c r="D316" s="15"/>
      <c r="E316" s="17" t="s">
        <v>1759</v>
      </c>
      <c r="F316" s="17" t="s">
        <v>2807</v>
      </c>
      <c r="G316" s="16" t="s">
        <v>2927</v>
      </c>
    </row>
    <row r="317" spans="1:7" ht="18" customHeight="1" x14ac:dyDescent="0.2">
      <c r="A317" s="102" t="s">
        <v>2610</v>
      </c>
      <c r="B317" s="16" t="s">
        <v>2911</v>
      </c>
      <c r="C317" s="15"/>
      <c r="D317" s="15"/>
      <c r="E317" s="17" t="s">
        <v>1759</v>
      </c>
      <c r="F317" s="17" t="s">
        <v>2808</v>
      </c>
      <c r="G317" s="16" t="s">
        <v>2927</v>
      </c>
    </row>
    <row r="318" spans="1:7" ht="18" customHeight="1" x14ac:dyDescent="0.2">
      <c r="A318" s="102" t="s">
        <v>2611</v>
      </c>
      <c r="B318" s="16" t="s">
        <v>2911</v>
      </c>
      <c r="C318" s="15"/>
      <c r="D318" s="15"/>
      <c r="E318" s="17" t="s">
        <v>1759</v>
      </c>
      <c r="F318" s="17" t="s">
        <v>2809</v>
      </c>
      <c r="G318" s="16" t="s">
        <v>2927</v>
      </c>
    </row>
    <row r="319" spans="1:7" ht="18" customHeight="1" x14ac:dyDescent="0.2">
      <c r="A319" s="102" t="s">
        <v>2612</v>
      </c>
      <c r="B319" s="16" t="s">
        <v>2911</v>
      </c>
      <c r="C319" s="15"/>
      <c r="D319" s="15"/>
      <c r="E319" s="17" t="s">
        <v>1759</v>
      </c>
      <c r="F319" s="17" t="s">
        <v>2810</v>
      </c>
      <c r="G319" s="16" t="s">
        <v>2928</v>
      </c>
    </row>
    <row r="320" spans="1:7" ht="18" customHeight="1" x14ac:dyDescent="0.2">
      <c r="A320" s="102" t="s">
        <v>2613</v>
      </c>
      <c r="B320" s="16" t="s">
        <v>2911</v>
      </c>
      <c r="C320" s="15"/>
      <c r="D320" s="15"/>
      <c r="E320" s="17" t="s">
        <v>1759</v>
      </c>
      <c r="F320" s="17" t="s">
        <v>2811</v>
      </c>
      <c r="G320" s="16" t="s">
        <v>2928</v>
      </c>
    </row>
    <row r="321" spans="1:7" ht="18" customHeight="1" x14ac:dyDescent="0.2">
      <c r="A321" s="102" t="s">
        <v>2614</v>
      </c>
      <c r="B321" s="16" t="s">
        <v>2911</v>
      </c>
      <c r="C321" s="15"/>
      <c r="D321" s="15"/>
      <c r="E321" s="17" t="s">
        <v>1759</v>
      </c>
      <c r="F321" s="17" t="s">
        <v>2812</v>
      </c>
      <c r="G321" s="16" t="s">
        <v>2928</v>
      </c>
    </row>
    <row r="322" spans="1:7" ht="18" customHeight="1" x14ac:dyDescent="0.2">
      <c r="A322" s="102" t="s">
        <v>2615</v>
      </c>
      <c r="B322" s="16" t="s">
        <v>2911</v>
      </c>
      <c r="C322" s="15"/>
      <c r="D322" s="15"/>
      <c r="E322" s="17" t="s">
        <v>1759</v>
      </c>
      <c r="F322" s="17" t="s">
        <v>2813</v>
      </c>
      <c r="G322" s="16" t="s">
        <v>2929</v>
      </c>
    </row>
    <row r="323" spans="1:7" ht="18" customHeight="1" x14ac:dyDescent="0.2">
      <c r="A323" s="102" t="s">
        <v>2616</v>
      </c>
      <c r="B323" s="16" t="s">
        <v>2911</v>
      </c>
      <c r="C323" s="15"/>
      <c r="D323" s="15"/>
      <c r="E323" s="17" t="s">
        <v>1759</v>
      </c>
      <c r="F323" s="17" t="s">
        <v>2814</v>
      </c>
      <c r="G323" s="16" t="s">
        <v>2929</v>
      </c>
    </row>
    <row r="324" spans="1:7" ht="18" customHeight="1" x14ac:dyDescent="0.2">
      <c r="A324" s="102" t="s">
        <v>2617</v>
      </c>
      <c r="B324" s="16" t="s">
        <v>2911</v>
      </c>
      <c r="C324" s="15"/>
      <c r="D324" s="15"/>
      <c r="E324" s="17" t="s">
        <v>1759</v>
      </c>
      <c r="F324" s="17" t="s">
        <v>2815</v>
      </c>
      <c r="G324" s="16" t="s">
        <v>2929</v>
      </c>
    </row>
    <row r="325" spans="1:7" ht="18" customHeight="1" x14ac:dyDescent="0.2">
      <c r="A325" s="102" t="s">
        <v>2618</v>
      </c>
      <c r="B325" s="16" t="s">
        <v>2911</v>
      </c>
      <c r="C325" s="15"/>
      <c r="D325" s="15"/>
      <c r="E325" s="17" t="s">
        <v>1759</v>
      </c>
      <c r="F325" s="17" t="s">
        <v>2816</v>
      </c>
      <c r="G325" s="16" t="s">
        <v>2930</v>
      </c>
    </row>
    <row r="326" spans="1:7" ht="18" customHeight="1" x14ac:dyDescent="0.2">
      <c r="A326" s="102" t="s">
        <v>2619</v>
      </c>
      <c r="B326" s="16" t="s">
        <v>2911</v>
      </c>
      <c r="C326" s="15"/>
      <c r="D326" s="15"/>
      <c r="E326" s="17" t="s">
        <v>1759</v>
      </c>
      <c r="F326" s="17" t="s">
        <v>2817</v>
      </c>
      <c r="G326" s="16" t="s">
        <v>2930</v>
      </c>
    </row>
    <row r="327" spans="1:7" ht="18" customHeight="1" x14ac:dyDescent="0.2">
      <c r="A327" s="102" t="s">
        <v>2620</v>
      </c>
      <c r="B327" s="16" t="s">
        <v>2911</v>
      </c>
      <c r="C327" s="15"/>
      <c r="D327" s="15"/>
      <c r="E327" s="17" t="s">
        <v>1759</v>
      </c>
      <c r="F327" s="17" t="s">
        <v>2818</v>
      </c>
      <c r="G327" s="16" t="s">
        <v>2931</v>
      </c>
    </row>
    <row r="328" spans="1:7" ht="18" customHeight="1" x14ac:dyDescent="0.2">
      <c r="A328" s="102" t="s">
        <v>2621</v>
      </c>
      <c r="B328" s="16" t="s">
        <v>2911</v>
      </c>
      <c r="C328" s="15"/>
      <c r="D328" s="15"/>
      <c r="E328" s="17" t="s">
        <v>1759</v>
      </c>
      <c r="F328" s="17" t="s">
        <v>2819</v>
      </c>
      <c r="G328" s="16" t="s">
        <v>2931</v>
      </c>
    </row>
    <row r="329" spans="1:7" ht="18" customHeight="1" x14ac:dyDescent="0.2">
      <c r="A329" s="102" t="s">
        <v>2622</v>
      </c>
      <c r="B329" s="16" t="s">
        <v>2911</v>
      </c>
      <c r="C329" s="15"/>
      <c r="D329" s="15"/>
      <c r="E329" s="17" t="s">
        <v>1759</v>
      </c>
      <c r="F329" s="17" t="s">
        <v>2820</v>
      </c>
      <c r="G329" s="16"/>
    </row>
    <row r="330" spans="1:7" ht="18" customHeight="1" x14ac:dyDescent="0.2">
      <c r="A330" s="102" t="s">
        <v>2623</v>
      </c>
      <c r="B330" s="16" t="s">
        <v>2912</v>
      </c>
      <c r="C330" s="15"/>
      <c r="D330" s="15"/>
      <c r="E330" s="17" t="s">
        <v>1759</v>
      </c>
      <c r="F330" s="17" t="s">
        <v>2821</v>
      </c>
      <c r="G330" s="16"/>
    </row>
    <row r="331" spans="1:7" ht="18" customHeight="1" x14ac:dyDescent="0.2">
      <c r="A331" s="102" t="s">
        <v>2624</v>
      </c>
      <c r="B331" s="16" t="s">
        <v>2913</v>
      </c>
      <c r="C331" s="15"/>
      <c r="D331" s="15"/>
      <c r="E331" s="17" t="s">
        <v>1759</v>
      </c>
      <c r="F331" s="17" t="s">
        <v>2822</v>
      </c>
      <c r="G331" s="16"/>
    </row>
    <row r="332" spans="1:7" ht="18" customHeight="1" x14ac:dyDescent="0.2">
      <c r="A332" s="102" t="s">
        <v>2625</v>
      </c>
      <c r="B332" s="16" t="s">
        <v>2914</v>
      </c>
      <c r="C332" s="15"/>
      <c r="D332" s="15"/>
      <c r="E332" s="17" t="s">
        <v>1759</v>
      </c>
      <c r="F332" s="17" t="s">
        <v>2823</v>
      </c>
      <c r="G332" s="16"/>
    </row>
    <row r="333" spans="1:7" ht="18" customHeight="1" x14ac:dyDescent="0.2">
      <c r="A333" s="102" t="s">
        <v>2626</v>
      </c>
      <c r="B333" s="16" t="s">
        <v>2915</v>
      </c>
      <c r="C333" s="16"/>
      <c r="D333" s="16"/>
      <c r="E333" s="17" t="s">
        <v>1759</v>
      </c>
      <c r="F333" s="17" t="s">
        <v>2824</v>
      </c>
      <c r="G333" s="11" t="s">
        <v>539</v>
      </c>
    </row>
    <row r="334" spans="1:7" ht="18" customHeight="1" x14ac:dyDescent="0.2">
      <c r="A334" s="102" t="s">
        <v>2627</v>
      </c>
      <c r="B334" s="16" t="s">
        <v>2915</v>
      </c>
      <c r="C334" s="16"/>
      <c r="D334" s="16"/>
      <c r="E334" s="17" t="s">
        <v>1759</v>
      </c>
      <c r="F334" s="17" t="s">
        <v>2825</v>
      </c>
      <c r="G334" s="11" t="s">
        <v>539</v>
      </c>
    </row>
    <row r="335" spans="1:7" ht="18" customHeight="1" x14ac:dyDescent="0.2">
      <c r="A335" s="102" t="s">
        <v>2628</v>
      </c>
      <c r="B335" s="16" t="s">
        <v>2915</v>
      </c>
      <c r="C335" s="16"/>
      <c r="D335" s="16"/>
      <c r="E335" s="17" t="s">
        <v>1759</v>
      </c>
      <c r="F335" s="17" t="s">
        <v>2826</v>
      </c>
      <c r="G335" s="11" t="s">
        <v>539</v>
      </c>
    </row>
    <row r="336" spans="1:7" ht="18" customHeight="1" x14ac:dyDescent="0.2">
      <c r="A336" s="102" t="s">
        <v>2629</v>
      </c>
      <c r="B336" s="16" t="s">
        <v>2915</v>
      </c>
      <c r="C336" s="16"/>
      <c r="D336" s="16"/>
      <c r="E336" s="17" t="s">
        <v>1759</v>
      </c>
      <c r="F336" s="17" t="s">
        <v>2827</v>
      </c>
      <c r="G336" s="11" t="s">
        <v>539</v>
      </c>
    </row>
    <row r="337" spans="1:7" ht="18" customHeight="1" x14ac:dyDescent="0.2">
      <c r="A337" s="102" t="s">
        <v>2630</v>
      </c>
      <c r="B337" s="16" t="s">
        <v>2915</v>
      </c>
      <c r="C337" s="16"/>
      <c r="D337" s="16"/>
      <c r="E337" s="17" t="s">
        <v>1759</v>
      </c>
      <c r="F337" s="17" t="s">
        <v>2828</v>
      </c>
      <c r="G337" s="11" t="s">
        <v>539</v>
      </c>
    </row>
    <row r="338" spans="1:7" ht="18" customHeight="1" x14ac:dyDescent="0.2">
      <c r="A338" s="102" t="s">
        <v>2631</v>
      </c>
      <c r="B338" s="16" t="s">
        <v>2915</v>
      </c>
      <c r="C338" s="16"/>
      <c r="D338" s="16"/>
      <c r="E338" s="17" t="s">
        <v>1759</v>
      </c>
      <c r="F338" s="17" t="s">
        <v>2829</v>
      </c>
      <c r="G338" s="11" t="s">
        <v>539</v>
      </c>
    </row>
    <row r="339" spans="1:7" ht="18" customHeight="1" x14ac:dyDescent="0.2">
      <c r="A339" s="102" t="s">
        <v>2632</v>
      </c>
      <c r="B339" s="16" t="s">
        <v>2915</v>
      </c>
      <c r="C339" s="16"/>
      <c r="D339" s="16"/>
      <c r="E339" s="17" t="s">
        <v>1759</v>
      </c>
      <c r="F339" s="17" t="s">
        <v>2830</v>
      </c>
      <c r="G339" s="11" t="s">
        <v>539</v>
      </c>
    </row>
    <row r="340" spans="1:7" ht="18" customHeight="1" x14ac:dyDescent="0.2">
      <c r="A340" s="102" t="s">
        <v>2633</v>
      </c>
      <c r="B340" s="16" t="s">
        <v>2915</v>
      </c>
      <c r="C340" s="16"/>
      <c r="D340" s="16"/>
      <c r="E340" s="17" t="s">
        <v>1759</v>
      </c>
      <c r="F340" s="17" t="s">
        <v>2831</v>
      </c>
      <c r="G340" s="11" t="s">
        <v>540</v>
      </c>
    </row>
    <row r="341" spans="1:7" ht="18" customHeight="1" x14ac:dyDescent="0.2">
      <c r="A341" s="102" t="s">
        <v>2634</v>
      </c>
      <c r="B341" s="16" t="s">
        <v>2915</v>
      </c>
      <c r="C341" s="16"/>
      <c r="D341" s="16"/>
      <c r="E341" s="17" t="s">
        <v>1759</v>
      </c>
      <c r="F341" s="17" t="s">
        <v>2832</v>
      </c>
      <c r="G341" s="11" t="s">
        <v>540</v>
      </c>
    </row>
    <row r="342" spans="1:7" ht="18" customHeight="1" x14ac:dyDescent="0.2">
      <c r="A342" s="102" t="s">
        <v>2635</v>
      </c>
      <c r="B342" s="16" t="s">
        <v>2915</v>
      </c>
      <c r="C342" s="16"/>
      <c r="D342" s="16"/>
      <c r="E342" s="17" t="s">
        <v>1759</v>
      </c>
      <c r="F342" s="17" t="s">
        <v>2833</v>
      </c>
      <c r="G342" s="11" t="s">
        <v>540</v>
      </c>
    </row>
    <row r="343" spans="1:7" ht="18" customHeight="1" x14ac:dyDescent="0.2">
      <c r="A343" s="102" t="s">
        <v>2636</v>
      </c>
      <c r="B343" s="16" t="s">
        <v>2915</v>
      </c>
      <c r="C343" s="16"/>
      <c r="D343" s="16"/>
      <c r="E343" s="17" t="s">
        <v>1759</v>
      </c>
      <c r="F343" s="17" t="s">
        <v>2834</v>
      </c>
      <c r="G343" s="11" t="s">
        <v>540</v>
      </c>
    </row>
    <row r="344" spans="1:7" ht="18" customHeight="1" x14ac:dyDescent="0.2">
      <c r="A344" s="102" t="s">
        <v>1767</v>
      </c>
      <c r="B344" s="16" t="s">
        <v>2915</v>
      </c>
      <c r="C344" s="16"/>
      <c r="D344" s="16"/>
      <c r="E344" s="17" t="s">
        <v>1759</v>
      </c>
      <c r="F344" s="17" t="s">
        <v>1766</v>
      </c>
      <c r="G344" s="11" t="s">
        <v>540</v>
      </c>
    </row>
    <row r="345" spans="1:7" ht="18" customHeight="1" x14ac:dyDescent="0.2">
      <c r="A345" s="102" t="s">
        <v>2637</v>
      </c>
      <c r="B345" s="16" t="s">
        <v>2915</v>
      </c>
      <c r="C345" s="16"/>
      <c r="D345" s="16"/>
      <c r="E345" s="17" t="s">
        <v>1759</v>
      </c>
      <c r="F345" s="17" t="s">
        <v>2835</v>
      </c>
      <c r="G345" s="11" t="s">
        <v>540</v>
      </c>
    </row>
    <row r="346" spans="1:7" ht="18" customHeight="1" x14ac:dyDescent="0.2">
      <c r="A346" s="102" t="s">
        <v>2638</v>
      </c>
      <c r="B346" s="16" t="s">
        <v>2915</v>
      </c>
      <c r="C346" s="16"/>
      <c r="D346" s="16"/>
      <c r="E346" s="17" t="s">
        <v>1759</v>
      </c>
      <c r="F346" s="17" t="s">
        <v>2836</v>
      </c>
      <c r="G346" s="11" t="s">
        <v>540</v>
      </c>
    </row>
    <row r="347" spans="1:7" ht="18" customHeight="1" x14ac:dyDescent="0.2">
      <c r="A347" s="102" t="s">
        <v>2639</v>
      </c>
      <c r="B347" s="16" t="s">
        <v>2915</v>
      </c>
      <c r="C347" s="16"/>
      <c r="D347" s="16"/>
      <c r="E347" s="17" t="s">
        <v>1759</v>
      </c>
      <c r="F347" s="17" t="s">
        <v>2837</v>
      </c>
      <c r="G347" s="11" t="s">
        <v>541</v>
      </c>
    </row>
    <row r="348" spans="1:7" ht="18" customHeight="1" x14ac:dyDescent="0.2">
      <c r="A348" s="102" t="s">
        <v>2640</v>
      </c>
      <c r="B348" s="16" t="s">
        <v>2915</v>
      </c>
      <c r="C348" s="16"/>
      <c r="D348" s="16"/>
      <c r="E348" s="17" t="s">
        <v>1759</v>
      </c>
      <c r="F348" s="17" t="s">
        <v>2838</v>
      </c>
      <c r="G348" s="11" t="s">
        <v>541</v>
      </c>
    </row>
    <row r="349" spans="1:7" ht="18" customHeight="1" x14ac:dyDescent="0.2">
      <c r="A349" s="102" t="s">
        <v>2641</v>
      </c>
      <c r="B349" s="16" t="s">
        <v>2915</v>
      </c>
      <c r="C349" s="16"/>
      <c r="D349" s="16"/>
      <c r="E349" s="17" t="s">
        <v>1759</v>
      </c>
      <c r="F349" s="17" t="s">
        <v>2839</v>
      </c>
      <c r="G349" s="11" t="s">
        <v>541</v>
      </c>
    </row>
    <row r="350" spans="1:7" ht="18" customHeight="1" x14ac:dyDescent="0.2">
      <c r="A350" s="102" t="s">
        <v>2642</v>
      </c>
      <c r="B350" s="16" t="s">
        <v>2915</v>
      </c>
      <c r="C350" s="16"/>
      <c r="D350" s="16"/>
      <c r="E350" s="17" t="s">
        <v>1759</v>
      </c>
      <c r="F350" s="17" t="s">
        <v>2840</v>
      </c>
      <c r="G350" s="11" t="s">
        <v>541</v>
      </c>
    </row>
    <row r="351" spans="1:7" ht="18" customHeight="1" x14ac:dyDescent="0.2">
      <c r="A351" s="102" t="s">
        <v>2643</v>
      </c>
      <c r="B351" s="16" t="s">
        <v>2915</v>
      </c>
      <c r="C351" s="16"/>
      <c r="D351" s="16"/>
      <c r="E351" s="17" t="s">
        <v>1759</v>
      </c>
      <c r="F351" s="17" t="s">
        <v>2841</v>
      </c>
      <c r="G351" s="11" t="s">
        <v>541</v>
      </c>
    </row>
    <row r="352" spans="1:7" ht="18" customHeight="1" x14ac:dyDescent="0.2">
      <c r="A352" s="102" t="s">
        <v>2644</v>
      </c>
      <c r="B352" s="16" t="s">
        <v>2915</v>
      </c>
      <c r="C352" s="16"/>
      <c r="D352" s="16"/>
      <c r="E352" s="17" t="s">
        <v>1759</v>
      </c>
      <c r="F352" s="17" t="s">
        <v>2842</v>
      </c>
      <c r="G352" s="11" t="s">
        <v>541</v>
      </c>
    </row>
    <row r="353" spans="1:7" ht="18" customHeight="1" x14ac:dyDescent="0.2">
      <c r="A353" s="102" t="s">
        <v>2645</v>
      </c>
      <c r="B353" s="16" t="s">
        <v>2915</v>
      </c>
      <c r="C353" s="16"/>
      <c r="D353" s="16"/>
      <c r="E353" s="17" t="s">
        <v>1759</v>
      </c>
      <c r="F353" s="17" t="s">
        <v>2843</v>
      </c>
      <c r="G353" s="11" t="s">
        <v>541</v>
      </c>
    </row>
    <row r="354" spans="1:7" ht="18" customHeight="1" x14ac:dyDescent="0.2">
      <c r="A354" s="102" t="s">
        <v>2646</v>
      </c>
      <c r="B354" s="16" t="s">
        <v>2915</v>
      </c>
      <c r="C354" s="16"/>
      <c r="D354" s="16"/>
      <c r="E354" s="17" t="s">
        <v>1759</v>
      </c>
      <c r="F354" s="17" t="s">
        <v>2844</v>
      </c>
      <c r="G354" s="11" t="s">
        <v>541</v>
      </c>
    </row>
    <row r="355" spans="1:7" ht="18" customHeight="1" x14ac:dyDescent="0.2">
      <c r="A355" s="102" t="s">
        <v>2647</v>
      </c>
      <c r="B355" s="16" t="s">
        <v>2915</v>
      </c>
      <c r="C355" s="16"/>
      <c r="D355" s="16"/>
      <c r="E355" s="17" t="s">
        <v>1759</v>
      </c>
      <c r="F355" s="17" t="s">
        <v>2845</v>
      </c>
      <c r="G355" s="11" t="s">
        <v>543</v>
      </c>
    </row>
    <row r="356" spans="1:7" ht="18" customHeight="1" x14ac:dyDescent="0.2">
      <c r="A356" s="102" t="s">
        <v>2648</v>
      </c>
      <c r="B356" s="16" t="s">
        <v>2915</v>
      </c>
      <c r="C356" s="16"/>
      <c r="D356" s="16"/>
      <c r="E356" s="17" t="s">
        <v>1759</v>
      </c>
      <c r="F356" s="17" t="s">
        <v>2846</v>
      </c>
      <c r="G356" s="11" t="s">
        <v>543</v>
      </c>
    </row>
    <row r="357" spans="1:7" ht="18" customHeight="1" x14ac:dyDescent="0.2">
      <c r="A357" s="102" t="s">
        <v>2649</v>
      </c>
      <c r="B357" s="16" t="s">
        <v>2915</v>
      </c>
      <c r="C357" s="16"/>
      <c r="D357" s="16"/>
      <c r="E357" s="17" t="s">
        <v>1759</v>
      </c>
      <c r="F357" s="17" t="s">
        <v>2847</v>
      </c>
      <c r="G357" s="11" t="s">
        <v>543</v>
      </c>
    </row>
    <row r="358" spans="1:7" ht="18" customHeight="1" x14ac:dyDescent="0.2">
      <c r="A358" s="102" t="s">
        <v>2650</v>
      </c>
      <c r="B358" s="16" t="s">
        <v>2915</v>
      </c>
      <c r="C358" s="16"/>
      <c r="D358" s="16"/>
      <c r="E358" s="17" t="s">
        <v>1759</v>
      </c>
      <c r="F358" s="17" t="s">
        <v>2848</v>
      </c>
      <c r="G358" s="11" t="s">
        <v>543</v>
      </c>
    </row>
    <row r="359" spans="1:7" ht="18" customHeight="1" x14ac:dyDescent="0.2">
      <c r="A359" s="102" t="s">
        <v>2651</v>
      </c>
      <c r="B359" s="16" t="s">
        <v>2915</v>
      </c>
      <c r="C359" s="16"/>
      <c r="D359" s="16"/>
      <c r="E359" s="17" t="s">
        <v>1759</v>
      </c>
      <c r="F359" s="17" t="s">
        <v>2849</v>
      </c>
      <c r="G359" s="11" t="s">
        <v>543</v>
      </c>
    </row>
    <row r="360" spans="1:7" ht="18" customHeight="1" x14ac:dyDescent="0.2">
      <c r="A360" s="102" t="s">
        <v>2652</v>
      </c>
      <c r="B360" s="16" t="s">
        <v>2915</v>
      </c>
      <c r="C360" s="16"/>
      <c r="D360" s="16"/>
      <c r="E360" s="17" t="s">
        <v>1759</v>
      </c>
      <c r="F360" s="17" t="s">
        <v>2850</v>
      </c>
      <c r="G360" s="11" t="s">
        <v>543</v>
      </c>
    </row>
    <row r="361" spans="1:7" ht="18" customHeight="1" x14ac:dyDescent="0.2">
      <c r="A361" s="102" t="s">
        <v>2653</v>
      </c>
      <c r="B361" s="16" t="s">
        <v>2915</v>
      </c>
      <c r="C361" s="16"/>
      <c r="D361" s="16"/>
      <c r="E361" s="17" t="s">
        <v>1759</v>
      </c>
      <c r="F361" s="17" t="s">
        <v>2851</v>
      </c>
      <c r="G361" s="11" t="s">
        <v>543</v>
      </c>
    </row>
    <row r="362" spans="1:7" ht="18" customHeight="1" x14ac:dyDescent="0.2">
      <c r="A362" s="102" t="s">
        <v>2654</v>
      </c>
      <c r="B362" s="16" t="s">
        <v>2915</v>
      </c>
      <c r="C362" s="16"/>
      <c r="D362" s="16"/>
      <c r="E362" s="17" t="s">
        <v>1759</v>
      </c>
      <c r="F362" s="17" t="s">
        <v>2852</v>
      </c>
      <c r="G362" s="11" t="s">
        <v>543</v>
      </c>
    </row>
    <row r="363" spans="1:7" ht="18" customHeight="1" x14ac:dyDescent="0.2">
      <c r="A363" s="102" t="s">
        <v>2655</v>
      </c>
      <c r="B363" s="16" t="s">
        <v>2915</v>
      </c>
      <c r="C363" s="16"/>
      <c r="D363" s="16"/>
      <c r="E363" s="17" t="s">
        <v>1759</v>
      </c>
      <c r="F363" s="17" t="s">
        <v>2853</v>
      </c>
      <c r="G363" s="11" t="s">
        <v>545</v>
      </c>
    </row>
    <row r="364" spans="1:7" ht="18" customHeight="1" x14ac:dyDescent="0.2">
      <c r="A364" s="102" t="s">
        <v>2656</v>
      </c>
      <c r="B364" s="16" t="s">
        <v>2915</v>
      </c>
      <c r="C364" s="16"/>
      <c r="D364" s="16"/>
      <c r="E364" s="17" t="s">
        <v>1759</v>
      </c>
      <c r="F364" s="17" t="s">
        <v>2854</v>
      </c>
      <c r="G364" s="11" t="s">
        <v>547</v>
      </c>
    </row>
    <row r="365" spans="1:7" ht="18" customHeight="1" x14ac:dyDescent="0.2">
      <c r="A365" s="102" t="s">
        <v>2657</v>
      </c>
      <c r="B365" s="16" t="s">
        <v>2915</v>
      </c>
      <c r="C365" s="16"/>
      <c r="D365" s="16"/>
      <c r="E365" s="17" t="s">
        <v>1759</v>
      </c>
      <c r="F365" s="17" t="s">
        <v>2855</v>
      </c>
      <c r="G365" s="11" t="s">
        <v>195</v>
      </c>
    </row>
    <row r="366" spans="1:7" ht="18" customHeight="1" x14ac:dyDescent="0.2">
      <c r="A366" s="102" t="s">
        <v>2658</v>
      </c>
      <c r="B366" s="16" t="s">
        <v>2915</v>
      </c>
      <c r="C366" s="16"/>
      <c r="D366" s="16"/>
      <c r="E366" s="17" t="s">
        <v>1759</v>
      </c>
      <c r="F366" s="17" t="s">
        <v>2856</v>
      </c>
      <c r="G366" s="11" t="s">
        <v>195</v>
      </c>
    </row>
    <row r="367" spans="1:7" ht="18" customHeight="1" x14ac:dyDescent="0.2">
      <c r="A367" s="102" t="s">
        <v>2659</v>
      </c>
      <c r="B367" s="16" t="s">
        <v>2915</v>
      </c>
      <c r="C367" s="16"/>
      <c r="D367" s="16"/>
      <c r="E367" s="17" t="s">
        <v>1759</v>
      </c>
      <c r="F367" s="17" t="s">
        <v>2857</v>
      </c>
      <c r="G367" s="11" t="s">
        <v>195</v>
      </c>
    </row>
    <row r="368" spans="1:7" ht="18" customHeight="1" x14ac:dyDescent="0.2">
      <c r="A368" s="102" t="s">
        <v>2660</v>
      </c>
      <c r="B368" s="16" t="s">
        <v>2915</v>
      </c>
      <c r="C368" s="16"/>
      <c r="D368" s="16"/>
      <c r="E368" s="17" t="s">
        <v>1759</v>
      </c>
      <c r="F368" s="17" t="s">
        <v>2858</v>
      </c>
      <c r="G368" s="11" t="s">
        <v>195</v>
      </c>
    </row>
    <row r="369" spans="1:7" ht="18" customHeight="1" x14ac:dyDescent="0.2">
      <c r="A369" s="102" t="s">
        <v>2661</v>
      </c>
      <c r="B369" s="16" t="s">
        <v>2915</v>
      </c>
      <c r="C369" s="16"/>
      <c r="D369" s="16"/>
      <c r="E369" s="17" t="s">
        <v>1759</v>
      </c>
      <c r="F369" s="17" t="s">
        <v>2859</v>
      </c>
      <c r="G369" s="11" t="s">
        <v>195</v>
      </c>
    </row>
    <row r="370" spans="1:7" ht="18" customHeight="1" x14ac:dyDescent="0.2">
      <c r="A370" s="102" t="s">
        <v>2662</v>
      </c>
      <c r="B370" s="16" t="s">
        <v>2915</v>
      </c>
      <c r="C370" s="16"/>
      <c r="D370" s="16"/>
      <c r="E370" s="17" t="s">
        <v>1759</v>
      </c>
      <c r="F370" s="17" t="s">
        <v>2860</v>
      </c>
      <c r="G370" s="11" t="s">
        <v>195</v>
      </c>
    </row>
    <row r="371" spans="1:7" ht="18" customHeight="1" x14ac:dyDescent="0.2">
      <c r="A371" s="102" t="s">
        <v>2663</v>
      </c>
      <c r="B371" s="16" t="s">
        <v>2915</v>
      </c>
      <c r="C371" s="16"/>
      <c r="D371" s="16"/>
      <c r="E371" s="17" t="s">
        <v>1759</v>
      </c>
      <c r="F371" s="17" t="s">
        <v>2861</v>
      </c>
      <c r="G371" s="11" t="s">
        <v>195</v>
      </c>
    </row>
    <row r="372" spans="1:7" ht="18" customHeight="1" x14ac:dyDescent="0.2">
      <c r="A372" s="102" t="s">
        <v>2664</v>
      </c>
      <c r="B372" s="16" t="s">
        <v>2915</v>
      </c>
      <c r="C372" s="16"/>
      <c r="D372" s="16"/>
      <c r="E372" s="17" t="s">
        <v>1759</v>
      </c>
      <c r="F372" s="17" t="s">
        <v>2862</v>
      </c>
      <c r="G372" s="11" t="s">
        <v>195</v>
      </c>
    </row>
    <row r="373" spans="1:7" ht="18" customHeight="1" x14ac:dyDescent="0.2">
      <c r="A373" s="102" t="s">
        <v>2665</v>
      </c>
      <c r="B373" s="16" t="s">
        <v>2915</v>
      </c>
      <c r="C373" s="16"/>
      <c r="D373" s="16"/>
      <c r="E373" s="17" t="s">
        <v>1759</v>
      </c>
      <c r="F373" s="17" t="s">
        <v>2863</v>
      </c>
      <c r="G373" s="11" t="s">
        <v>195</v>
      </c>
    </row>
    <row r="374" spans="1:7" ht="18" customHeight="1" x14ac:dyDescent="0.2">
      <c r="A374" s="102" t="s">
        <v>2666</v>
      </c>
      <c r="B374" s="16" t="s">
        <v>2915</v>
      </c>
      <c r="C374" s="16"/>
      <c r="D374" s="16"/>
      <c r="E374" s="17" t="s">
        <v>1759</v>
      </c>
      <c r="F374" s="17" t="s">
        <v>2864</v>
      </c>
      <c r="G374" s="11" t="s">
        <v>195</v>
      </c>
    </row>
    <row r="375" spans="1:7" ht="18" customHeight="1" x14ac:dyDescent="0.2">
      <c r="A375" s="102" t="s">
        <v>2667</v>
      </c>
      <c r="B375" s="16" t="s">
        <v>2915</v>
      </c>
      <c r="C375" s="16"/>
      <c r="D375" s="16"/>
      <c r="E375" s="17" t="s">
        <v>1759</v>
      </c>
      <c r="F375" s="17" t="s">
        <v>2865</v>
      </c>
      <c r="G375" s="11" t="s">
        <v>195</v>
      </c>
    </row>
    <row r="376" spans="1:7" ht="18" customHeight="1" x14ac:dyDescent="0.2">
      <c r="A376" s="102" t="s">
        <v>2668</v>
      </c>
      <c r="B376" s="16" t="s">
        <v>2915</v>
      </c>
      <c r="C376" s="16"/>
      <c r="D376" s="16"/>
      <c r="E376" s="17" t="s">
        <v>1759</v>
      </c>
      <c r="F376" s="17" t="s">
        <v>2866</v>
      </c>
      <c r="G376" s="11" t="s">
        <v>195</v>
      </c>
    </row>
    <row r="377" spans="1:7" ht="18" customHeight="1" x14ac:dyDescent="0.2">
      <c r="A377" s="102" t="s">
        <v>2669</v>
      </c>
      <c r="B377" s="16" t="s">
        <v>2915</v>
      </c>
      <c r="C377" s="16"/>
      <c r="D377" s="16"/>
      <c r="E377" s="17" t="s">
        <v>1759</v>
      </c>
      <c r="F377" s="17" t="s">
        <v>2867</v>
      </c>
      <c r="G377" s="11" t="s">
        <v>195</v>
      </c>
    </row>
    <row r="378" spans="1:7" ht="18" customHeight="1" x14ac:dyDescent="0.2">
      <c r="A378" s="102" t="s">
        <v>2670</v>
      </c>
      <c r="B378" s="16" t="s">
        <v>2915</v>
      </c>
      <c r="C378" s="16"/>
      <c r="D378" s="16"/>
      <c r="E378" s="17" t="s">
        <v>1759</v>
      </c>
      <c r="F378" s="17" t="s">
        <v>2868</v>
      </c>
      <c r="G378" s="11" t="s">
        <v>195</v>
      </c>
    </row>
    <row r="379" spans="1:7" ht="18" customHeight="1" x14ac:dyDescent="0.2">
      <c r="A379" s="102" t="s">
        <v>2671</v>
      </c>
      <c r="B379" s="16" t="s">
        <v>2915</v>
      </c>
      <c r="C379" s="16"/>
      <c r="D379" s="16"/>
      <c r="E379" s="17" t="s">
        <v>1759</v>
      </c>
      <c r="F379" s="17" t="s">
        <v>2869</v>
      </c>
      <c r="G379" s="11" t="s">
        <v>196</v>
      </c>
    </row>
    <row r="380" spans="1:7" ht="18" customHeight="1" x14ac:dyDescent="0.2">
      <c r="A380" s="102" t="s">
        <v>2672</v>
      </c>
      <c r="B380" s="16" t="s">
        <v>2915</v>
      </c>
      <c r="C380" s="16"/>
      <c r="D380" s="16"/>
      <c r="E380" s="17" t="s">
        <v>1759</v>
      </c>
      <c r="F380" s="17" t="s">
        <v>2870</v>
      </c>
      <c r="G380" s="11" t="s">
        <v>196</v>
      </c>
    </row>
    <row r="381" spans="1:7" ht="18" customHeight="1" x14ac:dyDescent="0.2">
      <c r="A381" s="102" t="s">
        <v>2673</v>
      </c>
      <c r="B381" s="16" t="s">
        <v>2915</v>
      </c>
      <c r="C381" s="16"/>
      <c r="D381" s="16"/>
      <c r="E381" s="17" t="s">
        <v>1759</v>
      </c>
      <c r="F381" s="17" t="s">
        <v>2871</v>
      </c>
      <c r="G381" s="11" t="s">
        <v>196</v>
      </c>
    </row>
    <row r="382" spans="1:7" ht="18" customHeight="1" x14ac:dyDescent="0.2">
      <c r="A382" s="102" t="s">
        <v>2674</v>
      </c>
      <c r="B382" s="16" t="s">
        <v>2915</v>
      </c>
      <c r="C382" s="16"/>
      <c r="D382" s="16"/>
      <c r="E382" s="17" t="s">
        <v>1759</v>
      </c>
      <c r="F382" s="17" t="s">
        <v>2872</v>
      </c>
      <c r="G382" s="11" t="s">
        <v>196</v>
      </c>
    </row>
    <row r="383" spans="1:7" ht="18" customHeight="1" x14ac:dyDescent="0.2">
      <c r="A383" s="102" t="s">
        <v>2675</v>
      </c>
      <c r="B383" s="16" t="s">
        <v>2915</v>
      </c>
      <c r="C383" s="16"/>
      <c r="D383" s="16"/>
      <c r="E383" s="17" t="s">
        <v>1759</v>
      </c>
      <c r="F383" s="17" t="s">
        <v>2873</v>
      </c>
      <c r="G383" s="11" t="s">
        <v>196</v>
      </c>
    </row>
    <row r="384" spans="1:7" ht="18" customHeight="1" x14ac:dyDescent="0.2">
      <c r="A384" s="102" t="s">
        <v>2676</v>
      </c>
      <c r="B384" s="16" t="s">
        <v>2915</v>
      </c>
      <c r="C384" s="16"/>
      <c r="D384" s="16"/>
      <c r="E384" s="17" t="s">
        <v>1759</v>
      </c>
      <c r="F384" s="17" t="s">
        <v>2874</v>
      </c>
      <c r="G384" s="11" t="s">
        <v>196</v>
      </c>
    </row>
    <row r="385" spans="1:7" ht="18" customHeight="1" x14ac:dyDescent="0.2">
      <c r="A385" s="102" t="s">
        <v>2677</v>
      </c>
      <c r="B385" s="16" t="s">
        <v>2915</v>
      </c>
      <c r="C385" s="16"/>
      <c r="D385" s="16"/>
      <c r="E385" s="17" t="s">
        <v>1759</v>
      </c>
      <c r="F385" s="17" t="s">
        <v>2875</v>
      </c>
      <c r="G385" s="11" t="s">
        <v>196</v>
      </c>
    </row>
    <row r="386" spans="1:7" ht="18" customHeight="1" x14ac:dyDescent="0.2">
      <c r="A386" s="102" t="s">
        <v>2678</v>
      </c>
      <c r="B386" s="16" t="s">
        <v>2915</v>
      </c>
      <c r="C386" s="16"/>
      <c r="D386" s="16"/>
      <c r="E386" s="17" t="s">
        <v>1759</v>
      </c>
      <c r="F386" s="17" t="s">
        <v>2876</v>
      </c>
      <c r="G386" s="11" t="s">
        <v>196</v>
      </c>
    </row>
    <row r="387" spans="1:7" ht="18" customHeight="1" x14ac:dyDescent="0.2">
      <c r="A387" s="102" t="s">
        <v>2679</v>
      </c>
      <c r="B387" s="16" t="s">
        <v>2915</v>
      </c>
      <c r="C387" s="16"/>
      <c r="D387" s="16"/>
      <c r="E387" s="17" t="s">
        <v>1759</v>
      </c>
      <c r="F387" s="17" t="s">
        <v>2877</v>
      </c>
      <c r="G387" s="11" t="s">
        <v>196</v>
      </c>
    </row>
    <row r="388" spans="1:7" ht="18" customHeight="1" x14ac:dyDescent="0.2">
      <c r="A388" s="102" t="s">
        <v>2680</v>
      </c>
      <c r="B388" s="16" t="s">
        <v>2915</v>
      </c>
      <c r="C388" s="16"/>
      <c r="D388" s="16"/>
      <c r="E388" s="17" t="s">
        <v>1759</v>
      </c>
      <c r="F388" s="17" t="s">
        <v>2878</v>
      </c>
      <c r="G388" s="11" t="s">
        <v>196</v>
      </c>
    </row>
    <row r="389" spans="1:7" ht="18" customHeight="1" x14ac:dyDescent="0.2">
      <c r="A389" s="102" t="s">
        <v>2681</v>
      </c>
      <c r="B389" s="16" t="s">
        <v>2915</v>
      </c>
      <c r="C389" s="16"/>
      <c r="D389" s="16"/>
      <c r="E389" s="17" t="s">
        <v>1759</v>
      </c>
      <c r="F389" s="17" t="s">
        <v>2879</v>
      </c>
      <c r="G389" s="11" t="s">
        <v>196</v>
      </c>
    </row>
    <row r="390" spans="1:7" ht="18" customHeight="1" x14ac:dyDescent="0.2">
      <c r="A390" s="102" t="s">
        <v>2682</v>
      </c>
      <c r="B390" s="16" t="s">
        <v>2915</v>
      </c>
      <c r="C390" s="16"/>
      <c r="D390" s="16"/>
      <c r="E390" s="17" t="s">
        <v>1759</v>
      </c>
      <c r="F390" s="17" t="s">
        <v>2880</v>
      </c>
      <c r="G390" s="11" t="s">
        <v>196</v>
      </c>
    </row>
    <row r="391" spans="1:7" ht="18" customHeight="1" x14ac:dyDescent="0.2">
      <c r="A391" s="102" t="s">
        <v>2683</v>
      </c>
      <c r="B391" s="16" t="s">
        <v>2915</v>
      </c>
      <c r="C391" s="16"/>
      <c r="D391" s="16"/>
      <c r="E391" s="17" t="s">
        <v>1759</v>
      </c>
      <c r="F391" s="17" t="s">
        <v>2881</v>
      </c>
      <c r="G391" s="11" t="s">
        <v>196</v>
      </c>
    </row>
    <row r="392" spans="1:7" ht="18" customHeight="1" x14ac:dyDescent="0.2">
      <c r="A392" s="102" t="s">
        <v>2684</v>
      </c>
      <c r="B392" s="16" t="s">
        <v>2915</v>
      </c>
      <c r="C392" s="16"/>
      <c r="D392" s="16"/>
      <c r="E392" s="17" t="s">
        <v>1759</v>
      </c>
      <c r="F392" s="17" t="s">
        <v>2882</v>
      </c>
      <c r="G392" s="11" t="s">
        <v>196</v>
      </c>
    </row>
    <row r="393" spans="1:7" ht="18" customHeight="1" x14ac:dyDescent="0.2">
      <c r="A393" s="102" t="s">
        <v>2685</v>
      </c>
      <c r="B393" s="16" t="s">
        <v>2915</v>
      </c>
      <c r="C393" s="16"/>
      <c r="D393" s="16"/>
      <c r="E393" s="17" t="s">
        <v>1759</v>
      </c>
      <c r="F393" s="17" t="s">
        <v>2883</v>
      </c>
      <c r="G393" s="11" t="s">
        <v>197</v>
      </c>
    </row>
    <row r="394" spans="1:7" ht="18" customHeight="1" x14ac:dyDescent="0.2">
      <c r="A394" s="102" t="s">
        <v>2686</v>
      </c>
      <c r="B394" s="16" t="s">
        <v>2915</v>
      </c>
      <c r="C394" s="16"/>
      <c r="D394" s="16"/>
      <c r="E394" s="17" t="s">
        <v>1759</v>
      </c>
      <c r="F394" s="17" t="s">
        <v>2884</v>
      </c>
      <c r="G394" s="11" t="s">
        <v>197</v>
      </c>
    </row>
    <row r="395" spans="1:7" ht="18" customHeight="1" x14ac:dyDescent="0.2">
      <c r="A395" s="102" t="s">
        <v>2687</v>
      </c>
      <c r="B395" s="16" t="s">
        <v>2915</v>
      </c>
      <c r="C395" s="16"/>
      <c r="D395" s="16"/>
      <c r="E395" s="17" t="s">
        <v>1759</v>
      </c>
      <c r="F395" s="17" t="s">
        <v>2885</v>
      </c>
      <c r="G395" s="11" t="s">
        <v>197</v>
      </c>
    </row>
    <row r="396" spans="1:7" ht="18" customHeight="1" x14ac:dyDescent="0.2">
      <c r="A396" s="102" t="s">
        <v>2688</v>
      </c>
      <c r="B396" s="16" t="s">
        <v>2915</v>
      </c>
      <c r="C396" s="16"/>
      <c r="D396" s="16"/>
      <c r="E396" s="17" t="s">
        <v>1759</v>
      </c>
      <c r="F396" s="17" t="s">
        <v>2886</v>
      </c>
      <c r="G396" s="11" t="s">
        <v>197</v>
      </c>
    </row>
    <row r="397" spans="1:7" ht="18" customHeight="1" x14ac:dyDescent="0.2">
      <c r="A397" s="102" t="s">
        <v>2689</v>
      </c>
      <c r="B397" s="16" t="s">
        <v>2915</v>
      </c>
      <c r="C397" s="15"/>
      <c r="D397" s="15"/>
      <c r="E397" s="17" t="s">
        <v>1759</v>
      </c>
      <c r="F397" s="17" t="s">
        <v>2887</v>
      </c>
      <c r="G397" s="11" t="s">
        <v>197</v>
      </c>
    </row>
    <row r="398" spans="1:7" ht="18" customHeight="1" x14ac:dyDescent="0.2">
      <c r="A398" s="102" t="s">
        <v>2690</v>
      </c>
      <c r="B398" s="16" t="s">
        <v>2915</v>
      </c>
      <c r="C398" s="15"/>
      <c r="D398" s="15"/>
      <c r="E398" s="17" t="s">
        <v>1759</v>
      </c>
      <c r="F398" s="17" t="s">
        <v>2888</v>
      </c>
      <c r="G398" s="11" t="s">
        <v>197</v>
      </c>
    </row>
    <row r="399" spans="1:7" ht="18" customHeight="1" x14ac:dyDescent="0.2">
      <c r="A399" s="102" t="s">
        <v>2691</v>
      </c>
      <c r="B399" s="16" t="s">
        <v>2915</v>
      </c>
      <c r="C399" s="15"/>
      <c r="D399" s="15"/>
      <c r="E399" s="17" t="s">
        <v>1759</v>
      </c>
      <c r="F399" s="17" t="s">
        <v>2889</v>
      </c>
      <c r="G399" s="11" t="s">
        <v>197</v>
      </c>
    </row>
    <row r="400" spans="1:7" ht="18" customHeight="1" x14ac:dyDescent="0.2">
      <c r="A400" s="102" t="s">
        <v>2692</v>
      </c>
      <c r="B400" s="16" t="s">
        <v>2915</v>
      </c>
      <c r="C400" s="15"/>
      <c r="D400" s="15"/>
      <c r="E400" s="17" t="s">
        <v>1759</v>
      </c>
      <c r="F400" s="17" t="s">
        <v>2890</v>
      </c>
      <c r="G400" s="11" t="s">
        <v>197</v>
      </c>
    </row>
    <row r="401" spans="1:7" ht="18" customHeight="1" x14ac:dyDescent="0.2">
      <c r="A401" s="102" t="s">
        <v>2692</v>
      </c>
      <c r="B401" s="16" t="s">
        <v>2915</v>
      </c>
      <c r="C401" s="15"/>
      <c r="D401" s="15"/>
      <c r="E401" s="17" t="s">
        <v>1759</v>
      </c>
      <c r="F401" s="17" t="s">
        <v>2890</v>
      </c>
      <c r="G401" s="11" t="s">
        <v>197</v>
      </c>
    </row>
    <row r="402" spans="1:7" ht="18" customHeight="1" x14ac:dyDescent="0.2">
      <c r="A402" s="102" t="s">
        <v>2693</v>
      </c>
      <c r="B402" s="16" t="s">
        <v>2915</v>
      </c>
      <c r="C402" s="15"/>
      <c r="D402" s="15"/>
      <c r="E402" s="17" t="s">
        <v>1759</v>
      </c>
      <c r="F402" s="17" t="s">
        <v>2891</v>
      </c>
      <c r="G402" s="11" t="s">
        <v>198</v>
      </c>
    </row>
    <row r="403" spans="1:7" ht="18" customHeight="1" x14ac:dyDescent="0.2">
      <c r="A403" s="102" t="s">
        <v>2694</v>
      </c>
      <c r="B403" s="16" t="s">
        <v>2915</v>
      </c>
      <c r="C403" s="15"/>
      <c r="D403" s="15"/>
      <c r="E403" s="17" t="s">
        <v>1759</v>
      </c>
      <c r="F403" s="17" t="s">
        <v>2892</v>
      </c>
      <c r="G403" s="11" t="s">
        <v>198</v>
      </c>
    </row>
    <row r="404" spans="1:7" ht="18" customHeight="1" x14ac:dyDescent="0.2">
      <c r="A404" s="102" t="s">
        <v>2695</v>
      </c>
      <c r="B404" s="16" t="s">
        <v>2915</v>
      </c>
      <c r="C404" s="15"/>
      <c r="D404" s="15"/>
      <c r="E404" s="17" t="s">
        <v>1759</v>
      </c>
      <c r="F404" s="17" t="s">
        <v>2893</v>
      </c>
      <c r="G404" s="11" t="s">
        <v>198</v>
      </c>
    </row>
    <row r="405" spans="1:7" ht="18" customHeight="1" x14ac:dyDescent="0.2">
      <c r="A405" s="102" t="s">
        <v>2696</v>
      </c>
      <c r="B405" s="16" t="s">
        <v>2915</v>
      </c>
      <c r="C405" s="15"/>
      <c r="D405" s="15"/>
      <c r="E405" s="17" t="s">
        <v>1759</v>
      </c>
      <c r="F405" s="17" t="s">
        <v>2894</v>
      </c>
      <c r="G405" s="11" t="s">
        <v>198</v>
      </c>
    </row>
    <row r="406" spans="1:7" ht="18" customHeight="1" x14ac:dyDescent="0.2">
      <c r="A406" s="102" t="s">
        <v>2697</v>
      </c>
      <c r="B406" s="16" t="s">
        <v>2915</v>
      </c>
      <c r="C406" s="15"/>
      <c r="D406" s="15"/>
      <c r="E406" s="17" t="s">
        <v>1759</v>
      </c>
      <c r="F406" s="17" t="s">
        <v>2895</v>
      </c>
      <c r="G406" s="11" t="s">
        <v>198</v>
      </c>
    </row>
    <row r="407" spans="1:7" ht="18" customHeight="1" x14ac:dyDescent="0.2">
      <c r="A407" s="102" t="s">
        <v>2698</v>
      </c>
      <c r="B407" s="16" t="s">
        <v>2915</v>
      </c>
      <c r="C407" s="15"/>
      <c r="D407" s="15"/>
      <c r="E407" s="17" t="s">
        <v>1759</v>
      </c>
      <c r="F407" s="17" t="s">
        <v>2896</v>
      </c>
      <c r="G407" s="11" t="s">
        <v>198</v>
      </c>
    </row>
    <row r="408" spans="1:7" ht="18" customHeight="1" x14ac:dyDescent="0.2">
      <c r="A408" s="102" t="s">
        <v>2699</v>
      </c>
      <c r="B408" s="16" t="s">
        <v>2915</v>
      </c>
      <c r="C408" s="15"/>
      <c r="D408" s="15"/>
      <c r="E408" s="17" t="s">
        <v>1759</v>
      </c>
      <c r="F408" s="17" t="s">
        <v>2897</v>
      </c>
      <c r="G408" s="11" t="s">
        <v>198</v>
      </c>
    </row>
    <row r="409" spans="1:7" ht="18" customHeight="1" x14ac:dyDescent="0.2">
      <c r="A409" s="102" t="s">
        <v>2700</v>
      </c>
      <c r="B409" s="16" t="s">
        <v>2915</v>
      </c>
      <c r="C409" s="15"/>
      <c r="D409" s="15"/>
      <c r="E409" s="17" t="s">
        <v>1759</v>
      </c>
      <c r="F409" s="17" t="s">
        <v>2898</v>
      </c>
      <c r="G409" s="11" t="s">
        <v>198</v>
      </c>
    </row>
    <row r="410" spans="1:7" ht="18" customHeight="1" x14ac:dyDescent="0.2">
      <c r="A410" s="102" t="s">
        <v>2701</v>
      </c>
      <c r="B410" s="16" t="s">
        <v>2915</v>
      </c>
      <c r="C410" s="15"/>
      <c r="D410" s="15"/>
      <c r="E410" s="17" t="s">
        <v>1759</v>
      </c>
      <c r="F410" s="17" t="s">
        <v>2899</v>
      </c>
      <c r="G410" s="11" t="s">
        <v>198</v>
      </c>
    </row>
    <row r="411" spans="1:7" ht="18" customHeight="1" x14ac:dyDescent="0.2">
      <c r="A411" s="102" t="s">
        <v>2702</v>
      </c>
      <c r="B411" s="16" t="s">
        <v>2915</v>
      </c>
      <c r="C411" s="15"/>
      <c r="D411" s="15"/>
      <c r="E411" s="17" t="s">
        <v>1759</v>
      </c>
      <c r="F411" s="17" t="s">
        <v>2900</v>
      </c>
      <c r="G411" s="11" t="s">
        <v>198</v>
      </c>
    </row>
    <row r="412" spans="1:7" ht="18" customHeight="1" x14ac:dyDescent="0.2">
      <c r="A412" s="102" t="s">
        <v>2703</v>
      </c>
      <c r="B412" s="16" t="s">
        <v>2915</v>
      </c>
      <c r="C412" s="15"/>
      <c r="D412" s="15"/>
      <c r="E412" s="17" t="s">
        <v>1759</v>
      </c>
      <c r="F412" s="17" t="s">
        <v>2901</v>
      </c>
      <c r="G412" s="11" t="s">
        <v>198</v>
      </c>
    </row>
    <row r="413" spans="1:7" ht="18" customHeight="1" x14ac:dyDescent="0.2">
      <c r="A413" s="102" t="s">
        <v>2704</v>
      </c>
      <c r="B413" s="16" t="s">
        <v>2915</v>
      </c>
      <c r="C413" s="15"/>
      <c r="D413" s="15"/>
      <c r="E413" s="17" t="s">
        <v>1759</v>
      </c>
      <c r="F413" s="17" t="s">
        <v>2902</v>
      </c>
      <c r="G413" s="11" t="s">
        <v>198</v>
      </c>
    </row>
    <row r="414" spans="1:7" ht="18" customHeight="1" x14ac:dyDescent="0.2">
      <c r="A414" s="102" t="s">
        <v>2705</v>
      </c>
      <c r="B414" s="16" t="s">
        <v>2915</v>
      </c>
      <c r="C414" s="15"/>
      <c r="D414" s="15"/>
      <c r="E414" s="17" t="s">
        <v>1759</v>
      </c>
      <c r="F414" s="17" t="s">
        <v>2903</v>
      </c>
      <c r="G414" s="11" t="s">
        <v>199</v>
      </c>
    </row>
    <row r="415" spans="1:7" ht="18" customHeight="1" x14ac:dyDescent="0.2">
      <c r="A415" s="102" t="s">
        <v>2706</v>
      </c>
      <c r="B415" s="16" t="s">
        <v>2915</v>
      </c>
      <c r="C415" s="15"/>
      <c r="D415" s="15"/>
      <c r="E415" s="17" t="s">
        <v>1759</v>
      </c>
      <c r="F415" s="17" t="s">
        <v>2904</v>
      </c>
      <c r="G415" s="11" t="s">
        <v>199</v>
      </c>
    </row>
    <row r="416" spans="1:7" ht="18" customHeight="1" x14ac:dyDescent="0.2">
      <c r="A416" s="102" t="s">
        <v>2707</v>
      </c>
      <c r="B416" s="16" t="s">
        <v>2915</v>
      </c>
      <c r="C416" s="15"/>
      <c r="D416" s="15"/>
      <c r="E416" s="17" t="s">
        <v>1759</v>
      </c>
      <c r="F416" s="17" t="s">
        <v>2905</v>
      </c>
      <c r="G416" s="11" t="s">
        <v>199</v>
      </c>
    </row>
    <row r="417" spans="1:7" ht="18" customHeight="1" x14ac:dyDescent="0.2">
      <c r="A417" s="102" t="s">
        <v>2708</v>
      </c>
      <c r="B417" s="16" t="s">
        <v>2915</v>
      </c>
      <c r="C417" s="15"/>
      <c r="D417" s="15"/>
      <c r="E417" s="17" t="s">
        <v>1759</v>
      </c>
      <c r="F417" s="17" t="s">
        <v>2906</v>
      </c>
      <c r="G417" s="11" t="s">
        <v>199</v>
      </c>
    </row>
    <row r="418" spans="1:7" ht="18" customHeight="1" x14ac:dyDescent="0.2">
      <c r="A418" s="102" t="s">
        <v>2709</v>
      </c>
      <c r="B418" s="16" t="s">
        <v>2915</v>
      </c>
      <c r="C418" s="15"/>
      <c r="D418" s="15"/>
      <c r="E418" s="17" t="s">
        <v>1759</v>
      </c>
      <c r="F418" s="17" t="s">
        <v>2907</v>
      </c>
      <c r="G418" s="11" t="s">
        <v>200</v>
      </c>
    </row>
    <row r="419" spans="1:7" ht="18" customHeight="1" x14ac:dyDescent="0.2">
      <c r="A419" s="102" t="s">
        <v>2710</v>
      </c>
      <c r="B419" s="16" t="s">
        <v>2915</v>
      </c>
      <c r="C419" s="16"/>
      <c r="D419" s="16"/>
      <c r="E419" s="17" t="s">
        <v>1759</v>
      </c>
      <c r="F419" s="17" t="s">
        <v>2908</v>
      </c>
      <c r="G419" s="11" t="s">
        <v>200</v>
      </c>
    </row>
    <row r="420" spans="1:7" ht="18" customHeight="1" x14ac:dyDescent="0.2">
      <c r="A420" s="102" t="s">
        <v>2711</v>
      </c>
      <c r="B420" s="16" t="s">
        <v>2915</v>
      </c>
      <c r="C420" s="16"/>
      <c r="D420" s="16"/>
      <c r="E420" s="17" t="s">
        <v>1759</v>
      </c>
      <c r="F420" s="17" t="s">
        <v>2909</v>
      </c>
      <c r="G420" s="11" t="s">
        <v>201</v>
      </c>
    </row>
    <row r="421" spans="1:7" ht="18" customHeight="1" x14ac:dyDescent="0.2">
      <c r="A421" s="102" t="s">
        <v>2712</v>
      </c>
      <c r="B421" s="16" t="s">
        <v>2915</v>
      </c>
      <c r="C421" s="16"/>
      <c r="D421" s="16"/>
      <c r="E421" s="17" t="s">
        <v>1759</v>
      </c>
      <c r="F421" s="17" t="s">
        <v>2910</v>
      </c>
      <c r="G421" s="11" t="s">
        <v>201</v>
      </c>
    </row>
    <row r="422" spans="1:7" ht="18" customHeight="1" x14ac:dyDescent="0.2">
      <c r="A422" s="102" t="s">
        <v>1998</v>
      </c>
      <c r="B422" s="16" t="s">
        <v>2916</v>
      </c>
      <c r="C422" s="16"/>
      <c r="D422" s="16"/>
      <c r="E422" s="17" t="s">
        <v>1759</v>
      </c>
      <c r="F422" s="17" t="s">
        <v>1833</v>
      </c>
      <c r="G422" s="16"/>
    </row>
    <row r="423" spans="1:7" ht="18" customHeight="1" x14ac:dyDescent="0.3">
      <c r="A423" s="16"/>
      <c r="B423" s="16"/>
      <c r="C423" s="16"/>
      <c r="D423" s="16"/>
      <c r="E423" s="17"/>
      <c r="F423" s="17"/>
      <c r="G423" s="16"/>
    </row>
    <row r="424" spans="1:7" ht="18" customHeight="1" x14ac:dyDescent="0.3">
      <c r="A424" s="16"/>
      <c r="B424" s="16"/>
      <c r="C424" s="16"/>
      <c r="D424" s="16"/>
      <c r="E424" s="17"/>
      <c r="F424" s="17"/>
      <c r="G424" s="16"/>
    </row>
    <row r="425" spans="1:7" ht="18" customHeight="1" x14ac:dyDescent="0.3">
      <c r="A425" s="16"/>
      <c r="B425" s="16"/>
      <c r="C425" s="16"/>
      <c r="D425" s="16"/>
      <c r="E425" s="17"/>
      <c r="F425" s="17"/>
      <c r="G425" s="16"/>
    </row>
    <row r="426" spans="1:7" ht="18" customHeight="1" x14ac:dyDescent="0.3">
      <c r="A426" s="16"/>
      <c r="B426" s="16"/>
      <c r="C426" s="16"/>
      <c r="D426" s="16"/>
      <c r="E426" s="17"/>
      <c r="F426" s="17"/>
      <c r="G426" s="16"/>
    </row>
    <row r="427" spans="1:7" ht="18" customHeight="1" x14ac:dyDescent="0.3">
      <c r="A427" s="16"/>
      <c r="B427" s="16"/>
      <c r="C427" s="16"/>
      <c r="D427" s="16"/>
      <c r="E427" s="17"/>
      <c r="F427" s="17"/>
      <c r="G427" s="16"/>
    </row>
    <row r="428" spans="1:7" ht="18" customHeight="1" x14ac:dyDescent="0.3">
      <c r="A428" s="16"/>
      <c r="B428" s="16"/>
      <c r="C428" s="16"/>
      <c r="D428" s="16"/>
      <c r="E428" s="17"/>
      <c r="F428" s="17"/>
      <c r="G428" s="16"/>
    </row>
    <row r="429" spans="1:7" ht="18" customHeight="1" x14ac:dyDescent="0.3">
      <c r="A429" s="16"/>
      <c r="B429" s="16"/>
      <c r="C429" s="16"/>
      <c r="D429" s="16"/>
      <c r="E429" s="17"/>
      <c r="F429" s="17"/>
      <c r="G429" s="16"/>
    </row>
    <row r="430" spans="1:7" ht="18" customHeight="1" x14ac:dyDescent="0.3">
      <c r="A430" s="16"/>
      <c r="B430" s="16"/>
      <c r="C430" s="16"/>
      <c r="D430" s="16"/>
      <c r="E430" s="17"/>
      <c r="F430" s="17"/>
      <c r="G430" s="16"/>
    </row>
    <row r="431" spans="1:7" ht="18" customHeight="1" x14ac:dyDescent="0.3">
      <c r="A431" s="16"/>
      <c r="B431" s="16"/>
      <c r="C431" s="16"/>
      <c r="D431" s="16"/>
      <c r="E431" s="17"/>
      <c r="F431" s="17"/>
      <c r="G431" s="16"/>
    </row>
    <row r="432" spans="1:7" ht="18" customHeight="1" x14ac:dyDescent="0.3">
      <c r="A432" s="16"/>
      <c r="B432" s="16"/>
      <c r="C432" s="16"/>
      <c r="D432" s="16"/>
      <c r="E432" s="17"/>
      <c r="F432" s="17"/>
      <c r="G432" s="16"/>
    </row>
    <row r="433" spans="1:7" ht="18" customHeight="1" x14ac:dyDescent="0.3">
      <c r="A433" s="16"/>
      <c r="B433" s="16"/>
      <c r="C433" s="16"/>
      <c r="D433" s="16"/>
      <c r="E433" s="17"/>
      <c r="F433" s="17"/>
      <c r="G433" s="16"/>
    </row>
    <row r="434" spans="1:7" ht="18" customHeight="1" x14ac:dyDescent="0.3">
      <c r="A434" s="16"/>
      <c r="B434" s="16"/>
      <c r="C434" s="16"/>
      <c r="D434" s="16"/>
      <c r="E434" s="17"/>
      <c r="F434" s="17"/>
      <c r="G434" s="16"/>
    </row>
    <row r="435" spans="1:7" ht="18" customHeight="1" x14ac:dyDescent="0.3">
      <c r="A435" s="16"/>
      <c r="B435" s="16"/>
      <c r="C435" s="16"/>
      <c r="D435" s="16"/>
      <c r="E435" s="17"/>
      <c r="F435" s="17"/>
      <c r="G435" s="16"/>
    </row>
    <row r="436" spans="1:7" ht="18" customHeight="1" x14ac:dyDescent="0.3">
      <c r="A436" s="16"/>
      <c r="B436" s="16"/>
      <c r="C436" s="16"/>
      <c r="D436" s="16"/>
      <c r="E436" s="17"/>
      <c r="F436" s="17"/>
      <c r="G436" s="16"/>
    </row>
    <row r="437" spans="1:7" ht="18" customHeight="1" x14ac:dyDescent="0.3">
      <c r="A437" s="16"/>
      <c r="B437" s="16"/>
      <c r="C437" s="16"/>
      <c r="D437" s="16"/>
      <c r="E437" s="17"/>
      <c r="F437" s="17"/>
      <c r="G437" s="16"/>
    </row>
    <row r="438" spans="1:7" ht="18" customHeight="1" x14ac:dyDescent="0.3">
      <c r="A438" s="16"/>
      <c r="B438" s="16"/>
      <c r="C438" s="16"/>
      <c r="D438" s="16"/>
      <c r="E438" s="17"/>
      <c r="F438" s="17"/>
      <c r="G438" s="16"/>
    </row>
    <row r="439" spans="1:7" ht="18" customHeight="1" x14ac:dyDescent="0.3">
      <c r="A439" s="16"/>
      <c r="B439" s="16"/>
      <c r="C439" s="16"/>
      <c r="D439" s="16"/>
      <c r="E439" s="17"/>
      <c r="F439" s="17"/>
      <c r="G439" s="16"/>
    </row>
    <row r="440" spans="1:7" ht="18" customHeight="1" x14ac:dyDescent="0.3">
      <c r="A440" s="16"/>
      <c r="B440" s="16"/>
      <c r="C440" s="16"/>
      <c r="D440" s="16"/>
      <c r="E440" s="17"/>
      <c r="F440" s="17"/>
      <c r="G440" s="16"/>
    </row>
    <row r="441" spans="1:7" ht="18" customHeight="1" x14ac:dyDescent="0.3">
      <c r="A441" s="16"/>
      <c r="B441" s="16"/>
      <c r="C441" s="16"/>
      <c r="D441" s="16"/>
      <c r="E441" s="17"/>
      <c r="F441" s="17"/>
      <c r="G441" s="16"/>
    </row>
    <row r="442" spans="1:7" ht="18" customHeight="1" x14ac:dyDescent="0.3">
      <c r="A442" s="16"/>
      <c r="B442" s="16"/>
      <c r="C442" s="16"/>
      <c r="D442" s="16"/>
      <c r="E442" s="17"/>
      <c r="F442" s="17"/>
      <c r="G442" s="16"/>
    </row>
    <row r="443" spans="1:7" ht="18" customHeight="1" x14ac:dyDescent="0.3">
      <c r="A443" s="16"/>
      <c r="B443" s="16"/>
      <c r="C443" s="16"/>
      <c r="D443" s="16"/>
      <c r="E443" s="17"/>
      <c r="F443" s="17"/>
      <c r="G443" s="16"/>
    </row>
    <row r="444" spans="1:7" ht="18" customHeight="1" x14ac:dyDescent="0.3">
      <c r="A444" s="16"/>
      <c r="B444" s="16"/>
      <c r="C444" s="16"/>
      <c r="D444" s="16"/>
      <c r="E444" s="17"/>
      <c r="F444" s="17"/>
      <c r="G444" s="16"/>
    </row>
    <row r="445" spans="1:7" ht="18" customHeight="1" x14ac:dyDescent="0.3">
      <c r="A445" s="16"/>
      <c r="B445" s="16"/>
      <c r="C445" s="16"/>
      <c r="D445" s="16"/>
      <c r="E445" s="17"/>
      <c r="F445" s="17"/>
      <c r="G445" s="16"/>
    </row>
    <row r="446" spans="1:7" ht="18" customHeight="1" x14ac:dyDescent="0.3">
      <c r="A446" s="16"/>
      <c r="B446" s="16"/>
      <c r="C446" s="16"/>
      <c r="D446" s="16"/>
      <c r="E446" s="17"/>
      <c r="F446" s="17"/>
      <c r="G446" s="16"/>
    </row>
    <row r="447" spans="1:7" ht="18" customHeight="1" x14ac:dyDescent="0.3">
      <c r="A447" s="16"/>
      <c r="B447" s="16"/>
      <c r="C447" s="16"/>
      <c r="D447" s="16"/>
      <c r="E447" s="17"/>
      <c r="F447" s="17"/>
      <c r="G447" s="16"/>
    </row>
    <row r="448" spans="1:7" ht="18" customHeight="1" x14ac:dyDescent="0.3">
      <c r="A448" s="16"/>
      <c r="B448" s="16"/>
      <c r="C448" s="16"/>
      <c r="D448" s="16"/>
      <c r="E448" s="17"/>
      <c r="F448" s="17"/>
    </row>
    <row r="449" spans="1:6" ht="18" customHeight="1" x14ac:dyDescent="0.3">
      <c r="A449" s="16"/>
      <c r="B449" s="16"/>
      <c r="C449" s="16"/>
      <c r="D449" s="16"/>
      <c r="E449" s="17"/>
      <c r="F449" s="17"/>
    </row>
    <row r="450" spans="1:6" ht="18" customHeight="1" x14ac:dyDescent="0.3">
      <c r="A450" s="16"/>
      <c r="B450" s="16"/>
      <c r="C450" s="16"/>
      <c r="D450" s="16"/>
      <c r="E450" s="17"/>
      <c r="F450" s="17"/>
    </row>
    <row r="451" spans="1:6" ht="18" customHeight="1" x14ac:dyDescent="0.3">
      <c r="A451" s="16"/>
      <c r="B451" s="16"/>
      <c r="C451" s="16"/>
      <c r="D451" s="16"/>
      <c r="E451" s="17"/>
      <c r="F451" s="17"/>
    </row>
    <row r="452" spans="1:6" ht="18" customHeight="1" x14ac:dyDescent="0.3">
      <c r="A452" s="16"/>
      <c r="B452" s="16"/>
      <c r="C452" s="16"/>
      <c r="D452" s="16"/>
      <c r="E452" s="17"/>
      <c r="F452" s="17"/>
    </row>
    <row r="453" spans="1:6" ht="18" customHeight="1" x14ac:dyDescent="0.3">
      <c r="A453" s="16"/>
      <c r="B453" s="16"/>
      <c r="C453" s="16"/>
      <c r="D453" s="16"/>
      <c r="E453" s="17"/>
      <c r="F453" s="17"/>
    </row>
    <row r="454" spans="1:6" ht="18" customHeight="1" x14ac:dyDescent="0.3">
      <c r="A454" s="16"/>
      <c r="B454" s="16"/>
      <c r="C454" s="16"/>
      <c r="D454" s="16"/>
      <c r="E454" s="17"/>
      <c r="F454" s="17"/>
    </row>
    <row r="455" spans="1:6" ht="18" customHeight="1" x14ac:dyDescent="0.3">
      <c r="A455" s="16"/>
      <c r="B455" s="16"/>
      <c r="C455" s="16"/>
      <c r="D455" s="16"/>
      <c r="E455" s="17"/>
      <c r="F455" s="17"/>
    </row>
    <row r="456" spans="1:6" ht="18" customHeight="1" x14ac:dyDescent="0.3">
      <c r="A456" s="16"/>
      <c r="B456" s="16"/>
      <c r="C456" s="16"/>
      <c r="D456" s="16"/>
      <c r="E456" s="17"/>
      <c r="F456" s="17"/>
    </row>
    <row r="457" spans="1:6" ht="18" customHeight="1" x14ac:dyDescent="0.3">
      <c r="A457" s="16"/>
      <c r="B457" s="16"/>
      <c r="C457" s="16"/>
      <c r="D457" s="16"/>
      <c r="E457" s="17"/>
      <c r="F457" s="17"/>
    </row>
    <row r="458" spans="1:6" ht="18" customHeight="1" x14ac:dyDescent="0.3">
      <c r="A458" s="16"/>
      <c r="B458" s="16"/>
      <c r="C458" s="16"/>
      <c r="D458" s="16"/>
      <c r="E458" s="17"/>
      <c r="F458" s="17"/>
    </row>
    <row r="459" spans="1:6" ht="18" customHeight="1" x14ac:dyDescent="0.3">
      <c r="A459" s="16"/>
      <c r="B459" s="16"/>
      <c r="C459" s="16"/>
      <c r="D459" s="16"/>
      <c r="E459" s="17"/>
      <c r="F459" s="17"/>
    </row>
    <row r="460" spans="1:6" ht="18" customHeight="1" x14ac:dyDescent="0.3">
      <c r="A460" s="16"/>
      <c r="B460" s="16"/>
      <c r="C460" s="16"/>
      <c r="D460" s="16"/>
      <c r="E460" s="17"/>
      <c r="F460" s="17"/>
    </row>
    <row r="461" spans="1:6" ht="18" customHeight="1" x14ac:dyDescent="0.3">
      <c r="A461" s="16"/>
      <c r="B461" s="16"/>
      <c r="C461" s="16"/>
      <c r="D461" s="16"/>
      <c r="E461" s="17"/>
      <c r="F461" s="17"/>
    </row>
    <row r="462" spans="1:6" ht="18" customHeight="1" x14ac:dyDescent="0.3">
      <c r="A462" s="16"/>
      <c r="B462" s="16"/>
      <c r="C462" s="16"/>
      <c r="D462" s="16"/>
      <c r="E462" s="17"/>
      <c r="F462" s="17"/>
    </row>
    <row r="463" spans="1:6" ht="18" customHeight="1" x14ac:dyDescent="0.3">
      <c r="A463" s="16"/>
      <c r="B463" s="16"/>
      <c r="C463" s="16"/>
      <c r="D463" s="16"/>
      <c r="E463" s="17"/>
      <c r="F463" s="17"/>
    </row>
    <row r="464" spans="1:6" ht="18" customHeight="1" x14ac:dyDescent="0.3">
      <c r="A464" s="16"/>
      <c r="B464" s="16"/>
      <c r="C464" s="16"/>
      <c r="D464" s="16"/>
      <c r="E464" s="17"/>
      <c r="F464" s="17"/>
    </row>
    <row r="465" spans="1:6" ht="18" customHeight="1" x14ac:dyDescent="0.3">
      <c r="A465" s="16"/>
      <c r="B465" s="16"/>
      <c r="C465" s="16"/>
      <c r="D465" s="16"/>
      <c r="E465" s="17"/>
      <c r="F465" s="17"/>
    </row>
    <row r="466" spans="1:6" ht="18" customHeight="1" x14ac:dyDescent="0.3">
      <c r="A466" s="16"/>
      <c r="B466" s="16"/>
      <c r="C466" s="16"/>
      <c r="D466" s="16"/>
      <c r="E466" s="17"/>
      <c r="F466" s="17"/>
    </row>
    <row r="467" spans="1:6" ht="18" customHeight="1" x14ac:dyDescent="0.3">
      <c r="A467" s="16"/>
      <c r="B467" s="16"/>
      <c r="C467" s="16"/>
      <c r="D467" s="16"/>
      <c r="E467" s="17"/>
      <c r="F467" s="17"/>
    </row>
    <row r="468" spans="1:6" ht="18" customHeight="1" x14ac:dyDescent="0.3">
      <c r="A468" s="16"/>
      <c r="B468" s="16"/>
      <c r="C468" s="16"/>
      <c r="D468" s="16"/>
      <c r="E468" s="17"/>
      <c r="F468" s="17"/>
    </row>
    <row r="469" spans="1:6" ht="18" customHeight="1" x14ac:dyDescent="0.3">
      <c r="A469" s="16"/>
      <c r="B469" s="16"/>
      <c r="C469" s="16"/>
      <c r="D469" s="16"/>
      <c r="E469" s="17"/>
      <c r="F469" s="17"/>
    </row>
    <row r="470" spans="1:6" ht="18" customHeight="1" x14ac:dyDescent="0.3">
      <c r="A470" s="16"/>
      <c r="B470" s="16"/>
      <c r="C470" s="16"/>
      <c r="D470" s="16"/>
      <c r="E470" s="17"/>
      <c r="F470" s="17"/>
    </row>
    <row r="471" spans="1:6" ht="18" customHeight="1" x14ac:dyDescent="0.3">
      <c r="A471" s="16"/>
      <c r="B471" s="16"/>
      <c r="C471" s="16"/>
      <c r="D471" s="16"/>
      <c r="E471" s="17"/>
      <c r="F471" s="17"/>
    </row>
    <row r="472" spans="1:6" ht="18" customHeight="1" x14ac:dyDescent="0.3">
      <c r="A472" s="16"/>
      <c r="B472" s="16"/>
      <c r="C472" s="16"/>
      <c r="D472" s="16"/>
      <c r="E472" s="17"/>
      <c r="F472" s="17"/>
    </row>
    <row r="473" spans="1:6" ht="18" customHeight="1" x14ac:dyDescent="0.3">
      <c r="A473" s="16"/>
      <c r="B473" s="16"/>
      <c r="C473" s="16"/>
      <c r="D473" s="16"/>
      <c r="E473" s="17"/>
      <c r="F473" s="17"/>
    </row>
    <row r="474" spans="1:6" ht="18" customHeight="1" x14ac:dyDescent="0.3">
      <c r="A474" s="16"/>
      <c r="B474" s="16"/>
      <c r="C474" s="16"/>
      <c r="D474" s="16"/>
      <c r="E474" s="17"/>
      <c r="F474" s="17"/>
    </row>
    <row r="475" spans="1:6" ht="18" customHeight="1" x14ac:dyDescent="0.3">
      <c r="A475" s="16"/>
      <c r="B475" s="16"/>
      <c r="C475" s="16"/>
      <c r="D475" s="16"/>
      <c r="E475" s="17"/>
      <c r="F475" s="17"/>
    </row>
    <row r="476" spans="1:6" ht="18" customHeight="1" x14ac:dyDescent="0.3">
      <c r="A476" s="16"/>
      <c r="B476" s="16"/>
      <c r="C476" s="16"/>
      <c r="D476" s="16"/>
      <c r="E476" s="17"/>
      <c r="F476" s="17"/>
    </row>
    <row r="477" spans="1:6" ht="18" customHeight="1" x14ac:dyDescent="0.3">
      <c r="A477" s="16"/>
      <c r="B477" s="16"/>
      <c r="C477" s="16"/>
      <c r="D477" s="16"/>
      <c r="E477" s="17"/>
      <c r="F477" s="17"/>
    </row>
    <row r="478" spans="1:6" ht="18" customHeight="1" x14ac:dyDescent="0.3">
      <c r="A478" s="16"/>
      <c r="B478" s="16"/>
      <c r="C478" s="16"/>
      <c r="D478" s="16"/>
      <c r="E478" s="17"/>
      <c r="F478" s="17"/>
    </row>
    <row r="479" spans="1:6" ht="18" customHeight="1" x14ac:dyDescent="0.3">
      <c r="A479" s="16"/>
      <c r="B479" s="16"/>
      <c r="C479" s="16"/>
      <c r="D479" s="16"/>
      <c r="E479" s="17"/>
      <c r="F479" s="17"/>
    </row>
    <row r="480" spans="1:6" ht="18" customHeight="1" x14ac:dyDescent="0.3">
      <c r="A480" s="16"/>
      <c r="B480" s="16"/>
      <c r="C480" s="16"/>
      <c r="D480" s="16"/>
      <c r="E480" s="17"/>
      <c r="F480" s="17"/>
    </row>
    <row r="481" spans="1:6" ht="18" customHeight="1" x14ac:dyDescent="0.3">
      <c r="A481" s="16"/>
      <c r="B481" s="16"/>
      <c r="C481" s="16"/>
      <c r="D481" s="16"/>
      <c r="E481" s="17"/>
      <c r="F481" s="17"/>
    </row>
    <row r="482" spans="1:6" ht="18" customHeight="1" x14ac:dyDescent="0.3">
      <c r="A482" s="16"/>
      <c r="B482" s="16"/>
      <c r="C482" s="16"/>
      <c r="D482" s="16"/>
      <c r="E482" s="17"/>
      <c r="F482" s="17"/>
    </row>
    <row r="483" spans="1:6" ht="18" customHeight="1" x14ac:dyDescent="0.3">
      <c r="A483" s="16"/>
      <c r="B483" s="16"/>
      <c r="C483" s="16"/>
      <c r="D483" s="16"/>
      <c r="E483" s="17"/>
      <c r="F483" s="17"/>
    </row>
    <row r="484" spans="1:6" ht="18" customHeight="1" x14ac:dyDescent="0.3">
      <c r="A484" s="16"/>
      <c r="B484" s="16"/>
      <c r="C484" s="16"/>
      <c r="D484" s="16"/>
      <c r="E484" s="17"/>
      <c r="F484" s="17"/>
    </row>
    <row r="485" spans="1:6" ht="18" customHeight="1" x14ac:dyDescent="0.3">
      <c r="A485" s="16"/>
      <c r="B485" s="16"/>
      <c r="C485" s="16"/>
      <c r="D485" s="16"/>
      <c r="E485" s="17"/>
      <c r="F485" s="17"/>
    </row>
    <row r="486" spans="1:6" ht="18" customHeight="1" x14ac:dyDescent="0.3">
      <c r="A486" s="16"/>
      <c r="B486" s="16"/>
      <c r="C486" s="16"/>
      <c r="D486" s="16"/>
      <c r="E486" s="17"/>
      <c r="F486" s="17"/>
    </row>
    <row r="487" spans="1:6" ht="18" customHeight="1" x14ac:dyDescent="0.3">
      <c r="A487" s="16"/>
      <c r="B487" s="16"/>
      <c r="C487" s="16"/>
      <c r="D487" s="16"/>
      <c r="E487" s="17"/>
      <c r="F487" s="17"/>
    </row>
    <row r="488" spans="1:6" ht="18" customHeight="1" x14ac:dyDescent="0.3">
      <c r="A488" s="16"/>
      <c r="B488" s="16"/>
      <c r="C488" s="16"/>
      <c r="D488" s="16"/>
      <c r="E488" s="17"/>
      <c r="F488" s="17"/>
    </row>
    <row r="489" spans="1:6" ht="18" customHeight="1" x14ac:dyDescent="0.3">
      <c r="A489" s="16"/>
      <c r="B489" s="16"/>
      <c r="C489" s="16"/>
      <c r="D489" s="16"/>
      <c r="E489" s="17"/>
      <c r="F489" s="17"/>
    </row>
    <row r="490" spans="1:6" ht="18" customHeight="1" x14ac:dyDescent="0.3">
      <c r="A490" s="16"/>
      <c r="B490" s="16"/>
      <c r="C490" s="16"/>
      <c r="D490" s="16"/>
      <c r="E490" s="17"/>
      <c r="F490" s="17"/>
    </row>
    <row r="491" spans="1:6" ht="18" customHeight="1" x14ac:dyDescent="0.3">
      <c r="A491" s="16"/>
      <c r="B491" s="16"/>
      <c r="C491" s="16"/>
      <c r="D491" s="16"/>
      <c r="E491" s="17"/>
      <c r="F491" s="17"/>
    </row>
    <row r="492" spans="1:6" ht="18" customHeight="1" x14ac:dyDescent="0.3">
      <c r="A492" s="16"/>
      <c r="B492" s="16"/>
      <c r="C492" s="16"/>
      <c r="D492" s="16"/>
      <c r="E492" s="17"/>
      <c r="F492" s="17"/>
    </row>
    <row r="493" spans="1:6" ht="18" customHeight="1" x14ac:dyDescent="0.3">
      <c r="A493" s="16"/>
      <c r="B493" s="16"/>
      <c r="C493" s="16"/>
      <c r="D493" s="16"/>
      <c r="E493" s="17"/>
      <c r="F493" s="17"/>
    </row>
    <row r="494" spans="1:6" ht="18" customHeight="1" x14ac:dyDescent="0.3">
      <c r="A494" s="16"/>
      <c r="B494" s="16"/>
      <c r="C494" s="16"/>
      <c r="D494" s="16"/>
      <c r="E494" s="17"/>
      <c r="F494" s="17"/>
    </row>
    <row r="495" spans="1:6" ht="18" customHeight="1" x14ac:dyDescent="0.3">
      <c r="A495" s="16"/>
      <c r="B495" s="16"/>
      <c r="C495" s="16"/>
      <c r="D495" s="16"/>
      <c r="E495" s="17"/>
      <c r="F495" s="17"/>
    </row>
    <row r="496" spans="1:6" ht="18" customHeight="1" x14ac:dyDescent="0.3">
      <c r="A496" s="16"/>
      <c r="B496" s="16"/>
      <c r="C496" s="16"/>
      <c r="D496" s="16"/>
      <c r="E496" s="17"/>
      <c r="F496" s="17"/>
    </row>
    <row r="497" spans="1:6" ht="18" customHeight="1" x14ac:dyDescent="0.3">
      <c r="A497" s="16"/>
      <c r="B497" s="16"/>
      <c r="C497" s="16"/>
      <c r="D497" s="16"/>
      <c r="E497" s="17"/>
      <c r="F497" s="17"/>
    </row>
    <row r="498" spans="1:6" ht="18" customHeight="1" x14ac:dyDescent="0.3">
      <c r="A498" s="16"/>
      <c r="B498" s="16"/>
      <c r="C498" s="16"/>
      <c r="D498" s="16"/>
      <c r="E498" s="17"/>
      <c r="F498" s="17"/>
    </row>
    <row r="499" spans="1:6" ht="18" customHeight="1" x14ac:dyDescent="0.3">
      <c r="A499" s="16"/>
      <c r="B499" s="16"/>
      <c r="C499" s="16"/>
      <c r="D499" s="16"/>
      <c r="E499" s="17"/>
      <c r="F499" s="17"/>
    </row>
    <row r="500" spans="1:6" ht="18" customHeight="1" x14ac:dyDescent="0.3">
      <c r="A500" s="16"/>
      <c r="B500" s="16"/>
      <c r="C500" s="16"/>
      <c r="D500" s="16"/>
      <c r="E500" s="17"/>
      <c r="F500" s="17"/>
    </row>
    <row r="501" spans="1:6" ht="18" customHeight="1" x14ac:dyDescent="0.3">
      <c r="A501" s="16"/>
      <c r="B501" s="16"/>
      <c r="C501" s="16"/>
      <c r="D501" s="16"/>
      <c r="E501" s="17"/>
      <c r="F501" s="17"/>
    </row>
    <row r="502" spans="1:6" ht="18" customHeight="1" x14ac:dyDescent="0.3">
      <c r="A502" s="16"/>
      <c r="B502" s="16"/>
      <c r="C502" s="16"/>
      <c r="D502" s="16"/>
      <c r="E502" s="17"/>
      <c r="F502" s="17"/>
    </row>
    <row r="503" spans="1:6" ht="18" customHeight="1" x14ac:dyDescent="0.3">
      <c r="A503" s="16"/>
      <c r="B503" s="16"/>
      <c r="C503" s="16"/>
      <c r="D503" s="16"/>
      <c r="E503" s="17"/>
      <c r="F503" s="17"/>
    </row>
    <row r="504" spans="1:6" ht="18" customHeight="1" x14ac:dyDescent="0.3">
      <c r="A504" s="16"/>
      <c r="B504" s="16"/>
      <c r="C504" s="16"/>
      <c r="D504" s="16"/>
      <c r="E504" s="17"/>
      <c r="F504" s="17"/>
    </row>
    <row r="505" spans="1:6" ht="18" customHeight="1" x14ac:dyDescent="0.3">
      <c r="A505" s="16"/>
      <c r="B505" s="16"/>
      <c r="C505" s="16"/>
      <c r="D505" s="16"/>
      <c r="E505" s="17"/>
      <c r="F505" s="17"/>
    </row>
    <row r="506" spans="1:6" ht="18" customHeight="1" x14ac:dyDescent="0.3">
      <c r="A506" s="16"/>
      <c r="B506" s="16"/>
      <c r="C506" s="16"/>
      <c r="D506" s="16"/>
      <c r="E506" s="17"/>
      <c r="F506" s="17"/>
    </row>
    <row r="507" spans="1:6" ht="18" customHeight="1" x14ac:dyDescent="0.3">
      <c r="A507" s="16"/>
      <c r="B507" s="16"/>
      <c r="C507" s="16"/>
      <c r="D507" s="16"/>
      <c r="E507" s="17"/>
      <c r="F507" s="17"/>
    </row>
    <row r="508" spans="1:6" ht="18" customHeight="1" x14ac:dyDescent="0.3">
      <c r="A508" s="16"/>
      <c r="B508" s="16"/>
      <c r="C508" s="16"/>
      <c r="D508" s="16"/>
      <c r="E508" s="17"/>
      <c r="F508" s="17"/>
    </row>
    <row r="509" spans="1:6" ht="18" customHeight="1" x14ac:dyDescent="0.3">
      <c r="A509" s="16"/>
      <c r="B509" s="16"/>
      <c r="C509" s="16"/>
      <c r="D509" s="16"/>
      <c r="E509" s="17"/>
      <c r="F509" s="17"/>
    </row>
    <row r="510" spans="1:6" ht="18" customHeight="1" x14ac:dyDescent="0.3">
      <c r="A510" s="16"/>
      <c r="B510" s="16"/>
      <c r="C510" s="16"/>
      <c r="D510" s="16"/>
      <c r="E510" s="17"/>
      <c r="F510" s="17"/>
    </row>
    <row r="511" spans="1:6" ht="18" customHeight="1" x14ac:dyDescent="0.3">
      <c r="A511" s="16"/>
      <c r="B511" s="16"/>
      <c r="C511" s="16"/>
      <c r="D511" s="16"/>
      <c r="E511" s="17"/>
      <c r="F511" s="17"/>
    </row>
    <row r="512" spans="1:6" ht="18" customHeight="1" x14ac:dyDescent="0.3">
      <c r="A512" s="16"/>
      <c r="B512" s="16"/>
      <c r="C512" s="16"/>
      <c r="D512" s="16"/>
      <c r="E512" s="17"/>
      <c r="F512" s="17"/>
    </row>
    <row r="513" spans="1:6" ht="18" customHeight="1" x14ac:dyDescent="0.3">
      <c r="A513" s="16"/>
      <c r="B513" s="16"/>
      <c r="C513" s="16"/>
      <c r="D513" s="16"/>
      <c r="E513" s="17"/>
      <c r="F513" s="17"/>
    </row>
    <row r="514" spans="1:6" ht="18" customHeight="1" x14ac:dyDescent="0.3">
      <c r="A514" s="16"/>
      <c r="B514" s="16"/>
      <c r="C514" s="16"/>
      <c r="D514" s="16"/>
      <c r="E514" s="17"/>
      <c r="F514" s="17"/>
    </row>
    <row r="515" spans="1:6" ht="18" customHeight="1" x14ac:dyDescent="0.3">
      <c r="A515" s="16"/>
      <c r="B515" s="16"/>
      <c r="C515" s="16"/>
      <c r="D515" s="16"/>
      <c r="E515" s="17"/>
      <c r="F515" s="17"/>
    </row>
    <row r="516" spans="1:6" ht="18" customHeight="1" x14ac:dyDescent="0.3">
      <c r="A516" s="16"/>
      <c r="B516" s="16"/>
      <c r="C516" s="16"/>
      <c r="D516" s="16"/>
      <c r="E516" s="17"/>
      <c r="F516" s="17"/>
    </row>
    <row r="517" spans="1:6" ht="18" customHeight="1" x14ac:dyDescent="0.3">
      <c r="A517" s="16"/>
      <c r="B517" s="16"/>
      <c r="C517" s="16"/>
      <c r="D517" s="16"/>
      <c r="E517" s="17"/>
      <c r="F517" s="17"/>
    </row>
    <row r="518" spans="1:6" ht="18" customHeight="1" x14ac:dyDescent="0.3">
      <c r="A518" s="16"/>
      <c r="B518" s="16"/>
      <c r="C518" s="16"/>
      <c r="D518" s="16"/>
      <c r="E518" s="17"/>
      <c r="F518" s="17"/>
    </row>
    <row r="519" spans="1:6" ht="18" customHeight="1" x14ac:dyDescent="0.3">
      <c r="A519" s="16"/>
      <c r="B519" s="16"/>
      <c r="C519" s="16"/>
      <c r="D519" s="16"/>
      <c r="E519" s="17"/>
      <c r="F519" s="17"/>
    </row>
    <row r="520" spans="1:6" ht="18" customHeight="1" x14ac:dyDescent="0.3">
      <c r="A520" s="16"/>
      <c r="B520" s="16"/>
      <c r="C520" s="16"/>
      <c r="D520" s="16"/>
      <c r="E520" s="17"/>
      <c r="F520" s="17"/>
    </row>
    <row r="521" spans="1:6" ht="18" customHeight="1" x14ac:dyDescent="0.3">
      <c r="A521" s="16"/>
      <c r="B521" s="16"/>
      <c r="C521" s="16"/>
      <c r="D521" s="16"/>
      <c r="E521" s="17"/>
      <c r="F521" s="17"/>
    </row>
    <row r="522" spans="1:6" ht="18" customHeight="1" x14ac:dyDescent="0.3">
      <c r="A522" s="16"/>
      <c r="B522" s="16"/>
      <c r="C522" s="16"/>
      <c r="D522" s="16"/>
      <c r="E522" s="17"/>
      <c r="F522" s="17"/>
    </row>
    <row r="523" spans="1:6" ht="18" customHeight="1" x14ac:dyDescent="0.3">
      <c r="A523" s="16"/>
      <c r="B523" s="16"/>
      <c r="C523" s="16"/>
      <c r="D523" s="16"/>
      <c r="E523" s="17"/>
      <c r="F523" s="17"/>
    </row>
    <row r="524" spans="1:6" ht="18" customHeight="1" x14ac:dyDescent="0.3">
      <c r="A524" s="16"/>
      <c r="B524" s="16"/>
      <c r="C524" s="16"/>
      <c r="D524" s="16"/>
      <c r="E524" s="17"/>
      <c r="F524" s="17"/>
    </row>
    <row r="525" spans="1:6" ht="18" customHeight="1" x14ac:dyDescent="0.3">
      <c r="A525" s="16"/>
      <c r="B525" s="16"/>
      <c r="C525" s="16"/>
      <c r="D525" s="16"/>
      <c r="E525" s="17"/>
      <c r="F525" s="17"/>
    </row>
    <row r="526" spans="1:6" ht="18" customHeight="1" x14ac:dyDescent="0.3">
      <c r="A526" s="16"/>
      <c r="B526" s="16"/>
      <c r="C526" s="16"/>
      <c r="D526" s="16"/>
      <c r="E526" s="17"/>
      <c r="F526" s="17"/>
    </row>
    <row r="527" spans="1:6" ht="18" customHeight="1" x14ac:dyDescent="0.3">
      <c r="A527" s="16"/>
      <c r="B527" s="16"/>
      <c r="C527" s="16"/>
      <c r="D527" s="16"/>
      <c r="E527" s="17"/>
      <c r="F527" s="17"/>
    </row>
    <row r="528" spans="1:6" ht="18" customHeight="1" x14ac:dyDescent="0.3">
      <c r="A528" s="16"/>
      <c r="B528" s="16"/>
      <c r="C528" s="16"/>
      <c r="D528" s="16"/>
      <c r="E528" s="17"/>
      <c r="F528" s="17"/>
    </row>
    <row r="529" spans="1:6" ht="18" customHeight="1" x14ac:dyDescent="0.3">
      <c r="A529" s="16"/>
      <c r="B529" s="16"/>
      <c r="C529" s="16"/>
      <c r="D529" s="16"/>
      <c r="E529" s="17"/>
      <c r="F529" s="17"/>
    </row>
    <row r="530" spans="1:6" ht="18" customHeight="1" x14ac:dyDescent="0.3">
      <c r="A530" s="16"/>
      <c r="B530" s="16"/>
      <c r="C530" s="16"/>
      <c r="D530" s="16"/>
      <c r="E530" s="17"/>
      <c r="F530" s="17"/>
    </row>
    <row r="531" spans="1:6" ht="18" customHeight="1" x14ac:dyDescent="0.3">
      <c r="A531" s="16"/>
      <c r="B531" s="16"/>
      <c r="C531" s="16"/>
      <c r="D531" s="16"/>
      <c r="E531" s="17"/>
      <c r="F531" s="17"/>
    </row>
    <row r="532" spans="1:6" ht="18" customHeight="1" x14ac:dyDescent="0.3">
      <c r="A532" s="16"/>
      <c r="B532" s="16"/>
      <c r="C532" s="16"/>
      <c r="D532" s="16"/>
      <c r="E532" s="17"/>
      <c r="F532" s="17"/>
    </row>
    <row r="533" spans="1:6" ht="18" customHeight="1" x14ac:dyDescent="0.3">
      <c r="A533" s="16"/>
      <c r="B533" s="16"/>
      <c r="C533" s="16"/>
      <c r="D533" s="16"/>
      <c r="E533" s="17"/>
      <c r="F533" s="17"/>
    </row>
    <row r="534" spans="1:6" ht="18" customHeight="1" x14ac:dyDescent="0.3">
      <c r="A534" s="16"/>
      <c r="B534" s="16"/>
      <c r="C534" s="16"/>
      <c r="D534" s="16"/>
      <c r="E534" s="17"/>
      <c r="F534" s="17"/>
    </row>
    <row r="535" spans="1:6" ht="18" customHeight="1" x14ac:dyDescent="0.3">
      <c r="A535" s="16"/>
      <c r="B535" s="16"/>
      <c r="C535" s="16"/>
      <c r="D535" s="16"/>
      <c r="E535" s="17"/>
      <c r="F535" s="17"/>
    </row>
    <row r="536" spans="1:6" ht="18" customHeight="1" x14ac:dyDescent="0.3">
      <c r="A536" s="16"/>
      <c r="B536" s="16"/>
      <c r="C536" s="16"/>
      <c r="D536" s="16"/>
      <c r="E536" s="17"/>
      <c r="F536" s="17"/>
    </row>
    <row r="537" spans="1:6" ht="18" customHeight="1" x14ac:dyDescent="0.3">
      <c r="A537" s="16"/>
      <c r="B537" s="16"/>
      <c r="C537" s="16"/>
      <c r="D537" s="16"/>
      <c r="E537" s="17"/>
      <c r="F537" s="17"/>
    </row>
    <row r="538" spans="1:6" ht="18" customHeight="1" x14ac:dyDescent="0.3">
      <c r="A538" s="16"/>
      <c r="B538" s="16"/>
      <c r="C538" s="16"/>
      <c r="D538" s="16"/>
      <c r="E538" s="17"/>
      <c r="F538" s="17"/>
    </row>
    <row r="539" spans="1:6" ht="18" customHeight="1" x14ac:dyDescent="0.3">
      <c r="A539" s="16"/>
      <c r="B539" s="16"/>
      <c r="C539" s="16"/>
      <c r="D539" s="16"/>
      <c r="E539" s="17"/>
      <c r="F539" s="17"/>
    </row>
    <row r="540" spans="1:6" ht="18" customHeight="1" x14ac:dyDescent="0.3">
      <c r="A540" s="16"/>
      <c r="B540" s="16"/>
      <c r="C540" s="16"/>
      <c r="D540" s="16"/>
      <c r="E540" s="17"/>
      <c r="F540" s="17"/>
    </row>
    <row r="541" spans="1:6" ht="18" customHeight="1" x14ac:dyDescent="0.3">
      <c r="A541" s="16"/>
      <c r="B541" s="16"/>
      <c r="C541" s="16"/>
      <c r="D541" s="16"/>
      <c r="E541" s="17"/>
      <c r="F541" s="17"/>
    </row>
    <row r="542" spans="1:6" ht="18" customHeight="1" x14ac:dyDescent="0.3">
      <c r="A542" s="16"/>
      <c r="B542" s="16"/>
      <c r="C542" s="16"/>
      <c r="D542" s="16"/>
      <c r="E542" s="17"/>
      <c r="F542" s="17"/>
    </row>
    <row r="543" spans="1:6" ht="18" customHeight="1" x14ac:dyDescent="0.3">
      <c r="A543" s="16"/>
      <c r="B543" s="16"/>
      <c r="C543" s="16"/>
      <c r="D543" s="16"/>
      <c r="E543" s="17"/>
      <c r="F543" s="17"/>
    </row>
    <row r="544" spans="1:6" ht="18" customHeight="1" x14ac:dyDescent="0.3">
      <c r="A544" s="16"/>
      <c r="B544" s="16"/>
      <c r="C544" s="16"/>
      <c r="D544" s="16"/>
      <c r="E544" s="17"/>
      <c r="F544" s="17"/>
    </row>
    <row r="545" spans="1:6" ht="18" customHeight="1" x14ac:dyDescent="0.3">
      <c r="A545" s="16"/>
      <c r="B545" s="16"/>
      <c r="C545" s="16"/>
      <c r="D545" s="16"/>
      <c r="E545" s="17"/>
      <c r="F545" s="17"/>
    </row>
    <row r="546" spans="1:6" ht="18" customHeight="1" x14ac:dyDescent="0.3">
      <c r="A546" s="16"/>
      <c r="B546" s="16"/>
      <c r="C546" s="16"/>
      <c r="D546" s="16"/>
      <c r="E546" s="17"/>
      <c r="F546" s="17"/>
    </row>
    <row r="547" spans="1:6" ht="18" customHeight="1" x14ac:dyDescent="0.3">
      <c r="A547" s="16"/>
      <c r="B547" s="16"/>
      <c r="C547" s="16"/>
      <c r="D547" s="16"/>
      <c r="E547" s="17"/>
      <c r="F547" s="17"/>
    </row>
    <row r="548" spans="1:6" ht="18" customHeight="1" x14ac:dyDescent="0.3">
      <c r="A548" s="16"/>
      <c r="B548" s="16"/>
      <c r="C548" s="16"/>
      <c r="D548" s="16"/>
      <c r="E548" s="17"/>
      <c r="F548" s="17"/>
    </row>
    <row r="549" spans="1:6" ht="18" customHeight="1" x14ac:dyDescent="0.3">
      <c r="A549" s="16"/>
      <c r="B549" s="16"/>
      <c r="C549" s="16"/>
      <c r="D549" s="16"/>
      <c r="E549" s="17"/>
      <c r="F549" s="17"/>
    </row>
    <row r="550" spans="1:6" ht="18" customHeight="1" x14ac:dyDescent="0.3">
      <c r="A550" s="16"/>
      <c r="B550" s="16"/>
      <c r="C550" s="16"/>
      <c r="D550" s="16"/>
      <c r="E550" s="17"/>
      <c r="F550" s="17"/>
    </row>
    <row r="551" spans="1:6" ht="18" customHeight="1" x14ac:dyDescent="0.3">
      <c r="A551" s="16"/>
      <c r="B551" s="16"/>
      <c r="C551" s="16"/>
      <c r="D551" s="16"/>
      <c r="E551" s="17"/>
      <c r="F551" s="17"/>
    </row>
    <row r="552" spans="1:6" ht="18" customHeight="1" x14ac:dyDescent="0.3">
      <c r="A552" s="16"/>
      <c r="B552" s="16"/>
      <c r="C552" s="16"/>
      <c r="D552" s="16"/>
      <c r="E552" s="17"/>
      <c r="F552" s="17"/>
    </row>
    <row r="553" spans="1:6" ht="18" customHeight="1" x14ac:dyDescent="0.3">
      <c r="A553" s="16"/>
      <c r="B553" s="16"/>
      <c r="C553" s="16"/>
      <c r="D553" s="16"/>
      <c r="E553" s="17"/>
      <c r="F553" s="17"/>
    </row>
    <row r="554" spans="1:6" ht="18" customHeight="1" x14ac:dyDescent="0.3">
      <c r="A554" s="16"/>
      <c r="B554" s="16"/>
      <c r="C554" s="16"/>
      <c r="D554" s="16"/>
      <c r="E554" s="17"/>
      <c r="F554" s="17"/>
    </row>
    <row r="555" spans="1:6" ht="18" customHeight="1" x14ac:dyDescent="0.3">
      <c r="A555" s="16"/>
      <c r="B555" s="16"/>
      <c r="C555" s="16"/>
      <c r="D555" s="16"/>
      <c r="E555" s="17"/>
      <c r="F555" s="17"/>
    </row>
    <row r="556" spans="1:6" ht="18" customHeight="1" x14ac:dyDescent="0.3">
      <c r="A556" s="16"/>
      <c r="B556" s="16"/>
      <c r="C556" s="16"/>
      <c r="D556" s="16"/>
      <c r="E556" s="17"/>
      <c r="F556" s="17"/>
    </row>
    <row r="557" spans="1:6" ht="18" customHeight="1" x14ac:dyDescent="0.3">
      <c r="A557" s="16"/>
      <c r="B557" s="16"/>
      <c r="C557" s="16"/>
      <c r="D557" s="16"/>
      <c r="E557" s="17"/>
      <c r="F557" s="17"/>
    </row>
    <row r="558" spans="1:6" ht="18" customHeight="1" x14ac:dyDescent="0.3">
      <c r="A558" s="16"/>
      <c r="B558" s="16"/>
      <c r="C558" s="16"/>
      <c r="D558" s="16"/>
      <c r="E558" s="17"/>
      <c r="F558" s="17"/>
    </row>
    <row r="559" spans="1:6" ht="18" customHeight="1" x14ac:dyDescent="0.3">
      <c r="A559" s="16"/>
      <c r="B559" s="16"/>
      <c r="C559" s="16"/>
      <c r="D559" s="16"/>
      <c r="E559" s="17"/>
      <c r="F559" s="17"/>
    </row>
    <row r="560" spans="1:6" ht="18" customHeight="1" x14ac:dyDescent="0.3">
      <c r="A560" s="16"/>
      <c r="B560" s="16"/>
      <c r="C560" s="16"/>
      <c r="D560" s="16"/>
      <c r="E560" s="17"/>
      <c r="F560" s="17"/>
    </row>
    <row r="561" spans="1:6" ht="18" customHeight="1" x14ac:dyDescent="0.3">
      <c r="A561" s="16"/>
      <c r="B561" s="16"/>
      <c r="C561" s="16"/>
      <c r="D561" s="16"/>
      <c r="E561" s="17"/>
      <c r="F561" s="17"/>
    </row>
    <row r="562" spans="1:6" ht="18" customHeight="1" x14ac:dyDescent="0.3">
      <c r="A562" s="16"/>
      <c r="B562" s="16"/>
      <c r="C562" s="16"/>
      <c r="D562" s="16"/>
      <c r="E562" s="17"/>
      <c r="F562" s="17"/>
    </row>
    <row r="563" spans="1:6" ht="18" customHeight="1" x14ac:dyDescent="0.3">
      <c r="A563" s="16"/>
      <c r="B563" s="16"/>
      <c r="C563" s="16"/>
      <c r="D563" s="16"/>
      <c r="E563" s="17"/>
      <c r="F563" s="17"/>
    </row>
    <row r="564" spans="1:6" ht="18" customHeight="1" x14ac:dyDescent="0.3">
      <c r="A564" s="16"/>
      <c r="B564" s="16"/>
      <c r="C564" s="16"/>
      <c r="D564" s="16"/>
      <c r="E564" s="17"/>
      <c r="F564" s="17"/>
    </row>
    <row r="565" spans="1:6" ht="18" customHeight="1" x14ac:dyDescent="0.3">
      <c r="A565" s="16"/>
      <c r="B565" s="16"/>
      <c r="C565" s="16"/>
      <c r="D565" s="16"/>
      <c r="E565" s="17"/>
      <c r="F565" s="17"/>
    </row>
    <row r="566" spans="1:6" ht="18" customHeight="1" x14ac:dyDescent="0.3">
      <c r="A566" s="16"/>
      <c r="B566" s="16"/>
      <c r="C566" s="16"/>
      <c r="D566" s="16"/>
      <c r="E566" s="17"/>
      <c r="F566" s="17"/>
    </row>
    <row r="567" spans="1:6" ht="18" customHeight="1" x14ac:dyDescent="0.3">
      <c r="A567" s="16"/>
      <c r="B567" s="16"/>
      <c r="C567" s="16"/>
      <c r="D567" s="16"/>
      <c r="E567" s="17"/>
      <c r="F567" s="17"/>
    </row>
    <row r="568" spans="1:6" ht="18" customHeight="1" x14ac:dyDescent="0.3">
      <c r="A568" s="16"/>
      <c r="B568" s="16"/>
      <c r="C568" s="16"/>
      <c r="D568" s="16"/>
      <c r="E568" s="17"/>
      <c r="F568" s="17"/>
    </row>
    <row r="569" spans="1:6" ht="18" customHeight="1" x14ac:dyDescent="0.3">
      <c r="A569" s="16"/>
      <c r="B569" s="16"/>
      <c r="C569" s="16"/>
      <c r="D569" s="16"/>
      <c r="E569" s="17"/>
      <c r="F569" s="17"/>
    </row>
    <row r="570" spans="1:6" ht="18" customHeight="1" x14ac:dyDescent="0.3">
      <c r="A570" s="16"/>
      <c r="B570" s="16"/>
      <c r="C570" s="16"/>
      <c r="D570" s="16"/>
      <c r="E570" s="17"/>
      <c r="F570" s="17"/>
    </row>
    <row r="571" spans="1:6" ht="18" customHeight="1" x14ac:dyDescent="0.3">
      <c r="A571" s="16"/>
      <c r="B571" s="16"/>
      <c r="C571" s="16"/>
      <c r="D571" s="16"/>
      <c r="E571" s="17"/>
      <c r="F571" s="17"/>
    </row>
    <row r="572" spans="1:6" ht="18" customHeight="1" x14ac:dyDescent="0.3">
      <c r="A572" s="16"/>
      <c r="B572" s="16"/>
      <c r="C572" s="16"/>
      <c r="D572" s="16"/>
      <c r="E572" s="17"/>
      <c r="F572" s="17"/>
    </row>
    <row r="573" spans="1:6" ht="18" customHeight="1" x14ac:dyDescent="0.3">
      <c r="A573" s="16"/>
      <c r="B573" s="16"/>
      <c r="C573" s="16"/>
      <c r="D573" s="16"/>
      <c r="E573" s="17"/>
      <c r="F573" s="17"/>
    </row>
    <row r="574" spans="1:6" ht="18" customHeight="1" x14ac:dyDescent="0.3">
      <c r="A574" s="16"/>
      <c r="B574" s="16"/>
      <c r="C574" s="16"/>
      <c r="D574" s="16"/>
      <c r="E574" s="17"/>
      <c r="F574" s="17"/>
    </row>
    <row r="575" spans="1:6" ht="18" customHeight="1" x14ac:dyDescent="0.3">
      <c r="A575" s="16"/>
      <c r="B575" s="16"/>
      <c r="C575" s="16"/>
      <c r="D575" s="16"/>
      <c r="E575" s="17"/>
      <c r="F575" s="17"/>
    </row>
    <row r="576" spans="1:6" ht="18" customHeight="1" x14ac:dyDescent="0.3">
      <c r="A576" s="16"/>
      <c r="B576" s="16"/>
      <c r="C576" s="16"/>
      <c r="D576" s="16"/>
      <c r="E576" s="17"/>
      <c r="F576" s="17"/>
    </row>
    <row r="577" spans="1:6" ht="18" customHeight="1" x14ac:dyDescent="0.3">
      <c r="A577" s="16"/>
      <c r="B577" s="16"/>
      <c r="C577" s="16"/>
      <c r="D577" s="16"/>
      <c r="E577" s="17"/>
      <c r="F577" s="17"/>
    </row>
    <row r="578" spans="1:6" ht="18" customHeight="1" x14ac:dyDescent="0.3">
      <c r="A578" s="16"/>
      <c r="B578" s="16"/>
      <c r="C578" s="16"/>
      <c r="D578" s="16"/>
      <c r="E578" s="17"/>
      <c r="F578" s="17"/>
    </row>
    <row r="579" spans="1:6" ht="18" customHeight="1" x14ac:dyDescent="0.3">
      <c r="A579" s="16"/>
      <c r="B579" s="16"/>
      <c r="C579" s="16"/>
      <c r="D579" s="16"/>
      <c r="E579" s="17"/>
      <c r="F579" s="17"/>
    </row>
    <row r="580" spans="1:6" ht="18" customHeight="1" x14ac:dyDescent="0.3">
      <c r="A580" s="16"/>
      <c r="B580" s="16"/>
      <c r="C580" s="16"/>
      <c r="D580" s="16"/>
      <c r="E580" s="17"/>
      <c r="F580" s="17"/>
    </row>
    <row r="581" spans="1:6" ht="18" customHeight="1" x14ac:dyDescent="0.3">
      <c r="A581" s="16"/>
      <c r="B581" s="16"/>
      <c r="C581" s="16"/>
      <c r="D581" s="16"/>
      <c r="E581" s="17"/>
      <c r="F581" s="17"/>
    </row>
    <row r="582" spans="1:6" ht="18" customHeight="1" x14ac:dyDescent="0.3">
      <c r="A582" s="16"/>
      <c r="B582" s="16"/>
      <c r="C582" s="16"/>
      <c r="D582" s="16"/>
      <c r="E582" s="17"/>
      <c r="F582" s="17"/>
    </row>
    <row r="583" spans="1:6" ht="18" customHeight="1" x14ac:dyDescent="0.3">
      <c r="A583" s="16"/>
      <c r="B583" s="16"/>
      <c r="C583" s="16"/>
      <c r="D583" s="16"/>
      <c r="E583" s="17"/>
      <c r="F583" s="17"/>
    </row>
    <row r="584" spans="1:6" ht="18" customHeight="1" x14ac:dyDescent="0.3">
      <c r="A584" s="16"/>
      <c r="B584" s="16"/>
      <c r="C584" s="16"/>
      <c r="D584" s="16"/>
      <c r="E584" s="17"/>
      <c r="F584" s="17"/>
    </row>
    <row r="585" spans="1:6" ht="18" customHeight="1" x14ac:dyDescent="0.3">
      <c r="A585" s="16"/>
      <c r="B585" s="16"/>
      <c r="C585" s="16"/>
      <c r="D585" s="16"/>
      <c r="E585" s="17"/>
      <c r="F585" s="17"/>
    </row>
    <row r="586" spans="1:6" ht="18" customHeight="1" x14ac:dyDescent="0.3">
      <c r="A586" s="16"/>
      <c r="B586" s="16"/>
      <c r="C586" s="16"/>
      <c r="D586" s="16"/>
      <c r="E586" s="17"/>
      <c r="F586" s="17"/>
    </row>
    <row r="587" spans="1:6" ht="18" customHeight="1" x14ac:dyDescent="0.3">
      <c r="A587" s="16"/>
      <c r="B587" s="16"/>
      <c r="C587" s="16"/>
      <c r="D587" s="16"/>
      <c r="E587" s="17"/>
      <c r="F587" s="17"/>
    </row>
    <row r="588" spans="1:6" ht="18" customHeight="1" x14ac:dyDescent="0.3">
      <c r="A588" s="16"/>
      <c r="B588" s="16"/>
      <c r="C588" s="16"/>
      <c r="D588" s="16"/>
      <c r="E588" s="17"/>
      <c r="F588" s="17"/>
    </row>
    <row r="589" spans="1:6" ht="18" customHeight="1" x14ac:dyDescent="0.3">
      <c r="A589" s="16"/>
      <c r="B589" s="16"/>
      <c r="C589" s="16"/>
      <c r="D589" s="16"/>
      <c r="E589" s="17"/>
      <c r="F589" s="17"/>
    </row>
    <row r="590" spans="1:6" ht="18" customHeight="1" x14ac:dyDescent="0.3">
      <c r="A590" s="16"/>
      <c r="B590" s="16"/>
      <c r="C590" s="16"/>
      <c r="D590" s="16"/>
      <c r="E590" s="17"/>
      <c r="F590" s="17"/>
    </row>
    <row r="591" spans="1:6" ht="18" customHeight="1" x14ac:dyDescent="0.3">
      <c r="A591" s="16"/>
      <c r="B591" s="16"/>
      <c r="C591" s="16"/>
      <c r="D591" s="16"/>
      <c r="E591" s="17"/>
      <c r="F591" s="17"/>
    </row>
    <row r="592" spans="1:6" ht="18" customHeight="1" x14ac:dyDescent="0.3">
      <c r="A592" s="16"/>
      <c r="B592" s="16"/>
      <c r="C592" s="16"/>
      <c r="D592" s="16"/>
      <c r="E592" s="17"/>
      <c r="F592" s="17"/>
    </row>
    <row r="593" spans="1:6" ht="18" customHeight="1" x14ac:dyDescent="0.3">
      <c r="A593" s="16"/>
      <c r="B593" s="16"/>
      <c r="C593" s="16"/>
      <c r="D593" s="16"/>
      <c r="E593" s="17"/>
      <c r="F593" s="17"/>
    </row>
    <row r="594" spans="1:6" ht="18" customHeight="1" x14ac:dyDescent="0.3">
      <c r="A594" s="16"/>
      <c r="B594" s="16"/>
      <c r="C594" s="16"/>
      <c r="D594" s="16"/>
      <c r="E594" s="17"/>
      <c r="F594" s="17"/>
    </row>
    <row r="595" spans="1:6" ht="18" customHeight="1" x14ac:dyDescent="0.3">
      <c r="A595" s="16"/>
      <c r="B595" s="16"/>
      <c r="C595" s="16"/>
      <c r="D595" s="16"/>
      <c r="E595" s="17"/>
      <c r="F595" s="17"/>
    </row>
    <row r="596" spans="1:6" ht="18" customHeight="1" x14ac:dyDescent="0.3">
      <c r="A596" s="16"/>
      <c r="B596" s="16"/>
      <c r="C596" s="16"/>
      <c r="D596" s="16"/>
      <c r="E596" s="17"/>
      <c r="F596" s="17"/>
    </row>
    <row r="597" spans="1:6" ht="18" customHeight="1" x14ac:dyDescent="0.3">
      <c r="A597" s="16"/>
      <c r="B597" s="16"/>
      <c r="C597" s="16"/>
      <c r="D597" s="16"/>
      <c r="E597" s="17"/>
      <c r="F597" s="17"/>
    </row>
    <row r="598" spans="1:6" ht="18" customHeight="1" x14ac:dyDescent="0.3">
      <c r="A598" s="16"/>
      <c r="B598" s="16"/>
      <c r="C598" s="16"/>
      <c r="D598" s="16"/>
      <c r="E598" s="17"/>
      <c r="F598" s="17"/>
    </row>
    <row r="599" spans="1:6" ht="18" customHeight="1" x14ac:dyDescent="0.3">
      <c r="A599" s="16"/>
      <c r="B599" s="16"/>
      <c r="C599" s="16"/>
      <c r="D599" s="16"/>
      <c r="E599" s="17"/>
      <c r="F599" s="17"/>
    </row>
    <row r="600" spans="1:6" ht="18" customHeight="1" x14ac:dyDescent="0.3">
      <c r="A600" s="16"/>
      <c r="B600" s="16"/>
      <c r="C600" s="16"/>
      <c r="D600" s="16"/>
      <c r="E600" s="17"/>
      <c r="F600" s="17"/>
    </row>
    <row r="601" spans="1:6" ht="18" customHeight="1" x14ac:dyDescent="0.3">
      <c r="A601" s="16"/>
      <c r="B601" s="16"/>
      <c r="C601" s="16"/>
      <c r="D601" s="16"/>
      <c r="E601" s="17"/>
      <c r="F601" s="17"/>
    </row>
    <row r="602" spans="1:6" ht="18" customHeight="1" x14ac:dyDescent="0.3">
      <c r="A602" s="16"/>
      <c r="B602" s="16"/>
      <c r="C602" s="16"/>
      <c r="D602" s="16"/>
      <c r="E602" s="17"/>
      <c r="F602" s="17"/>
    </row>
    <row r="603" spans="1:6" ht="18" customHeight="1" x14ac:dyDescent="0.3">
      <c r="A603" s="16"/>
      <c r="B603" s="16"/>
      <c r="C603" s="16"/>
      <c r="D603" s="16"/>
      <c r="E603" s="17"/>
      <c r="F603" s="17"/>
    </row>
    <row r="604" spans="1:6" ht="18" customHeight="1" x14ac:dyDescent="0.3">
      <c r="A604" s="16"/>
      <c r="B604" s="16"/>
      <c r="C604" s="16"/>
      <c r="D604" s="16"/>
      <c r="E604" s="17"/>
      <c r="F604" s="17"/>
    </row>
    <row r="605" spans="1:6" ht="18" customHeight="1" x14ac:dyDescent="0.3">
      <c r="A605" s="16"/>
      <c r="B605" s="16"/>
      <c r="C605" s="16"/>
      <c r="D605" s="16"/>
      <c r="E605" s="17"/>
      <c r="F605" s="17"/>
    </row>
    <row r="606" spans="1:6" ht="18" customHeight="1" x14ac:dyDescent="0.3">
      <c r="A606" s="16"/>
      <c r="B606" s="16"/>
      <c r="C606" s="16"/>
      <c r="D606" s="16"/>
      <c r="E606" s="17"/>
      <c r="F606" s="17"/>
    </row>
    <row r="607" spans="1:6" ht="18" customHeight="1" x14ac:dyDescent="0.3">
      <c r="A607" s="16"/>
      <c r="B607" s="16"/>
      <c r="C607" s="16"/>
      <c r="D607" s="16"/>
      <c r="E607" s="17"/>
      <c r="F607" s="17"/>
    </row>
    <row r="608" spans="1:6" ht="18" customHeight="1" x14ac:dyDescent="0.3">
      <c r="A608" s="16"/>
      <c r="B608" s="16"/>
      <c r="C608" s="16"/>
      <c r="D608" s="16"/>
      <c r="E608" s="17"/>
      <c r="F608" s="17"/>
    </row>
    <row r="609" ht="18" customHeight="1" x14ac:dyDescent="0.3"/>
  </sheetData>
  <mergeCells count="1">
    <mergeCell ref="I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배관산출과정 정리</vt:lpstr>
      <vt:lpstr>5-1. 배관공사비(탬플릿)</vt:lpstr>
      <vt:lpstr>나올수있는항목(전기)</vt:lpstr>
      <vt:lpstr>단자 산출</vt:lpstr>
      <vt:lpstr>전선관 산출</vt:lpstr>
      <vt:lpstr>케이블트레이 산출</vt:lpstr>
      <vt:lpstr>전동기제어반 산출</vt:lpstr>
      <vt:lpstr>현장조작반 산출</vt:lpstr>
      <vt:lpstr>종합</vt:lpstr>
      <vt:lpstr>호표(설치비)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최윤규</dc:creator>
  <cp:lastModifiedBy>최윤규</cp:lastModifiedBy>
  <dcterms:created xsi:type="dcterms:W3CDTF">2025-12-12T05:49:13Z</dcterms:created>
  <dcterms:modified xsi:type="dcterms:W3CDTF">2025-12-17T06:44:54Z</dcterms:modified>
</cp:coreProperties>
</file>