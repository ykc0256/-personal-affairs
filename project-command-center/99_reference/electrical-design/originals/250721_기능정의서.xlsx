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7DC68EFF-759F-4067-B7D2-BEA6572658BF}" xr6:coauthVersionLast="47" xr6:coauthVersionMax="47" xr10:uidLastSave="{00000000-0000-0000-0000-000000000000}"/>
  <bookViews>
    <workbookView xWindow="-120" yWindow="-120" windowWidth="29040" windowHeight="15840" tabRatio="1000" firstSheet="1" activeTab="1" xr2:uid="{00000000-000D-0000-FFFF-FFFF00000000}"/>
  </bookViews>
  <sheets>
    <sheet name="요구사항정의서 초안" sheetId="7" state="hidden" r:id="rId1"/>
    <sheet name="250325_요구사항정의서 " sheetId="13" r:id="rId2"/>
    <sheet name="250325_요구사항정의서  (2)" sheetId="14" state="hidden" r:id="rId3"/>
  </sheets>
  <definedNames>
    <definedName name="baseline" localSheetId="1">'250325_요구사항정의서 '!#REF!</definedName>
    <definedName name="baseline" localSheetId="2">'250325_요구사항정의서  (2)'!#REF!</definedName>
    <definedName name="baseline" localSheetId="0">#REF!</definedName>
    <definedName name="baselin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13" l="1"/>
  <c r="A56" i="13" a="1"/>
  <c r="R9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tc={F0439171-6E4B-4451-A32D-221106771F46}</author>
  </authors>
  <commentList>
    <comment ref="G8" authorId="0" shapeId="0" xr:uid="{F0439171-6E4B-4451-A32D-221106771F46}">
      <text>
        <t>[스레드 댓글]
사용 중인 버전의 Excel에서 이 스레드 댓글을 읽을 수 있지만 파일을 이후 버전의 Excel에서 열면 편집 내용이 모두 제거됩니다. 자세한 정보: https://go.microsoft.com/fwlink/?linkid=870924.
댓글:
    상세정의 필요, 공정별 유입수질 선택이 가능해야 할가요? 유출 수질정보 표출은 어떤 방식으로 표출 되나요?
답글:
    순서는 아래처럼 정리를 하였습니다.
1.유입성상선택
3.유입성상에 대한 유입수질 정보 입력
3.권장 공정 선택
4. 공정 흐름도(MB) 화면 생성
5. 생성된 공정 흐름도의 아이콘 더블클릭하여 설계 인자값 설정
*유출수질 정보 표출은 제거효율에 따라 계산되어짐
* 유입수질과 유출수질 입력에 따라 권장공정을 나타내는 로직을 만들 수 있을 때 프로그램에 반영하려고 합니다.</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tc={187E7D2B-C32D-4BCB-860B-197831FEF178}</author>
    <author>tc={3B348388-ADBD-4A21-8336-77FFF1C47E63}</author>
    <author>tc={64356903-AF18-4FB7-91F5-B9B689E8C9CC}</author>
  </authors>
  <commentList>
    <comment ref="J4" authorId="0" shapeId="0" xr:uid="{187E7D2B-C32D-4BCB-860B-197831FEF178}">
      <text>
        <t xml:space="preserve">[스레드 댓글]
사용 중인 버전의 Excel에서 이 스레드 댓글을 읽을 수 있지만 파일을 이후 버전의 Excel에서 열면 편집 내용이 모두 제거됩니다. 자세한 정보: https://go.microsoft.com/fwlink/?linkid=870924.
댓글:
    기능과 내용을 위치 바꾸어도 괜찮죠?
</t>
      </text>
    </comment>
    <comment ref="F18" authorId="1" shapeId="0" xr:uid="{3B348388-ADBD-4A21-8336-77FFF1C47E63}">
      <text>
        <t>[스레드 댓글]
사용 중인 버전의 Excel에서 이 스레드 댓글을 읽을 수 있지만 파일을 이후 버전의 Excel에서 열면 편집 내용이 모두 제거됩니다. 자세한 정보: https://go.microsoft.com/fwlink/?linkid=870924.
댓글:
    상세정의 필요, 공정별 유입수질 선택이 가능해야 할가요? 유출 수질정보 표출은 어떤 방식으로 표출 되나요?
답글:
    순서는 아래처럼 정리를 하였습니다.
1.유입성상선택
3.유입성상에 대한 유입수질 정보 입력
3.권장 공정 선택
4. 공정 흐름도(MB) 화면 생성
5. 생성된 공정 흐름도의 아이콘 더블클릭하여 설계 인자값 설정
*유출수질 정보 표출은 제거효율에 따라 계산되어짐
* 유입수질과 유출수질 입력에 따라 권장공정을 나타내는 로직을 만들 수 있을 때 프로그램에 반영하려고 합니다.</t>
      </text>
    </comment>
    <comment ref="G31" authorId="2" shapeId="0" xr:uid="{64356903-AF18-4FB7-91F5-B9B689E8C9CC}">
      <text>
        <t xml:space="preserve">[스레드 댓글]
사용 중인 버전의 Excel에서 이 스레드 댓글을 읽을 수 있지만 파일을 이후 버전의 Excel에서 열면 편집 내용이 모두 제거됩니다. 자세한 정보: https://go.microsoft.com/fwlink/?linkid=870924.
댓글:
    관리자 기능만 필요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tc={48AC8A14-4457-4AFC-956D-3B6E8D92E69D}</author>
    <author>tc={B541D89D-A2FF-498E-8389-8A3A72E1542E}</author>
  </authors>
  <commentList>
    <comment ref="J4" authorId="0" shapeId="0" xr:uid="{48AC8A14-4457-4AFC-956D-3B6E8D92E69D}">
      <text>
        <t xml:space="preserve">[스레드 댓글]
사용 중인 버전의 Excel에서 이 스레드 댓글을 읽을 수 있지만 파일을 이후 버전의 Excel에서 열면 편집 내용이 모두 제거됩니다. 자세한 정보: https://go.microsoft.com/fwlink/?linkid=870924.
댓글:
    기능과 내용을 위치 바꾸어도 괜찮죠?
</t>
      </text>
    </comment>
    <comment ref="G14" authorId="1" shapeId="0" xr:uid="{B541D89D-A2FF-498E-8389-8A3A72E1542E}">
      <text>
        <t>[스레드 댓글]
사용 중인 버전의 Excel에서 이 스레드 댓글을 읽을 수 있지만 파일을 이후 버전의 Excel에서 열면 편집 내용이 모두 제거됩니다. 자세한 정보: https://go.microsoft.com/fwlink/?linkid=870924.
댓글:
    상세정의 필요, 공정별 유입수질 선택이 가능해야 할가요? 유출 수질정보 표출은 어떤 방식으로 표출 되나요?
답글:
    순서는 아래처럼 정리를 하였습니다.
1.유입성상선택
3.유입성상에 대한 유입수질 정보 입력
3.권장 공정 선택
4. 공정 흐름도(MB) 화면 생성
5. 생성된 공정 흐름도의 아이콘 더블클릭하여 설계 인자값 설정
*유출수질 정보 표출은 제거효율에 따라 계산되어짐
* 유입수질과 유출수질 입력에 따라 권장공정을 나타내는 로직을 만들 수 있을 때 프로그램에 반영하려고 합니다.</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<sst xmlns="http://schemas.openxmlformats.org/spreadsheetml/2006/main" count="1631" uniqueCount="1251">
  <si>
    <t>요구사항</t>
  </si>
  <si>
    <t>대분류</t>
    <phoneticPr fontId="1" type="noConversion"/>
  </si>
  <si>
    <t>중분류</t>
    <phoneticPr fontId="1" type="noConversion"/>
  </si>
  <si>
    <t>소분류</t>
  </si>
  <si>
    <t>요구사항ID</t>
    <phoneticPr fontId="1" type="noConversion"/>
  </si>
  <si>
    <t>기능명</t>
    <phoneticPr fontId="1" type="noConversion"/>
  </si>
  <si>
    <t>고유번호</t>
  </si>
  <si>
    <t>SFR-01</t>
    <phoneticPr fontId="1" type="noConversion"/>
  </si>
  <si>
    <t xml:space="preserve">프로젝트 관리 </t>
    <phoneticPr fontId="1" type="noConversion"/>
  </si>
  <si>
    <t>프로젝트 신규</t>
    <phoneticPr fontId="1" type="noConversion"/>
  </si>
  <si>
    <t>신규 프로젝트 생성</t>
  </si>
  <si>
    <t>BKT_SFR_01_001</t>
  </si>
  <si>
    <t>프로젝트정보, 고객정보 입력 기능</t>
  </si>
  <si>
    <t>BKT_SFR_01_002</t>
  </si>
  <si>
    <t>BKT_SFR_01_003</t>
  </si>
  <si>
    <t>프로그램 및 결과 산출물 단위 지원  기능</t>
  </si>
  <si>
    <t>부지도면 등록</t>
  </si>
  <si>
    <t>BKT_SFR_01_004</t>
  </si>
  <si>
    <t>CAD 도면 또는 이미지 기반 부지 표현 기능(PNG, DXF 파일 업로드 기능)</t>
  </si>
  <si>
    <t>BKT_SFR_01_005</t>
  </si>
  <si>
    <t>화면 표시 ON/OFF 기능</t>
    <phoneticPr fontId="1" type="noConversion"/>
  </si>
  <si>
    <t>BKT_SFR_01_006</t>
  </si>
  <si>
    <t>프로젝트 불러오기</t>
  </si>
  <si>
    <t>프로젝트 조회</t>
    <phoneticPr fontId="1" type="noConversion"/>
  </si>
  <si>
    <t>BKT_SFR_01_007</t>
  </si>
  <si>
    <t>BKT_SFR_01_008</t>
  </si>
  <si>
    <t>키워드 조회/선택 기능</t>
    <phoneticPr fontId="1" type="noConversion"/>
  </si>
  <si>
    <t>프로젝트 정보 수정</t>
    <phoneticPr fontId="1" type="noConversion"/>
  </si>
  <si>
    <t>BKT_SFR_01_009</t>
  </si>
  <si>
    <t>BKT_SFR_01_010</t>
  </si>
  <si>
    <t>BKT_SFR_01_011</t>
  </si>
  <si>
    <t xml:space="preserve">유사 프로젝트 생성 기능 </t>
    <phoneticPr fontId="1" type="noConversion"/>
  </si>
  <si>
    <t>SFR-02</t>
  </si>
  <si>
    <t>공정관리</t>
    <phoneticPr fontId="1" type="noConversion"/>
  </si>
  <si>
    <t>설계정보 입력</t>
  </si>
  <si>
    <t>유입성상 선택</t>
  </si>
  <si>
    <t>BKT_SFR_02_001</t>
  </si>
  <si>
    <t>프로그램 내 유입성상 리스트 표출 기능</t>
    <phoneticPr fontId="1" type="noConversion"/>
  </si>
  <si>
    <t>BKT_SFR_02_002</t>
  </si>
  <si>
    <t>유입성상 체크 선택 기능</t>
    <phoneticPr fontId="1" type="noConversion"/>
  </si>
  <si>
    <t>기초 설계 정보 입력</t>
  </si>
  <si>
    <t>BKT_SFR_02_003</t>
  </si>
  <si>
    <t>유입성상 선택에 따른 기초 설계 정보 입력 기능</t>
    <phoneticPr fontId="1" type="noConversion"/>
  </si>
  <si>
    <t>BKT_SFR_02_004</t>
  </si>
  <si>
    <t>벽두께 설정, 수리정보 입력, 단가 수정</t>
  </si>
  <si>
    <t>SFR-03</t>
  </si>
  <si>
    <t>공정계획</t>
    <phoneticPr fontId="1" type="noConversion"/>
  </si>
  <si>
    <t>공정구성</t>
    <phoneticPr fontId="1" type="noConversion"/>
  </si>
  <si>
    <t>조합공정선택</t>
    <phoneticPr fontId="1" type="noConversion"/>
  </si>
  <si>
    <t>BKT_SFR_03_001</t>
  </si>
  <si>
    <t>최적 공정 리스트 불러오기 기능</t>
    <phoneticPr fontId="1" type="noConversion"/>
  </si>
  <si>
    <t>BKT_SFR_03_002</t>
  </si>
  <si>
    <t>공정 선택 기능</t>
  </si>
  <si>
    <t>BKT_SFR_03_003</t>
  </si>
  <si>
    <t>선택 조합공정도 오픈 기능</t>
    <phoneticPr fontId="1" type="noConversion"/>
  </si>
  <si>
    <t>BKT_SFR_03_004</t>
  </si>
  <si>
    <t xml:space="preserve"> 계산 모듈 연동 기능</t>
    <phoneticPr fontId="1" type="noConversion"/>
  </si>
  <si>
    <t>BKT_SFR_03_005</t>
  </si>
  <si>
    <t>라인 연결 기능</t>
    <phoneticPr fontId="1" type="noConversion"/>
  </si>
  <si>
    <t>BKT_SFR_03_006</t>
  </si>
  <si>
    <t>색상을 활용한 흐름 정보 시각화 기능</t>
  </si>
  <si>
    <t>BKT_SFR_03_007</t>
  </si>
  <si>
    <t>생성된 물질수지도 확인 및 편집</t>
    <phoneticPr fontId="1" type="noConversion"/>
  </si>
  <si>
    <t>BKT_SFR_03_008</t>
  </si>
  <si>
    <t>라인 연결 편집기능</t>
    <phoneticPr fontId="1" type="noConversion"/>
  </si>
  <si>
    <t>BKT_SFR_03_009</t>
  </si>
  <si>
    <t>저장 기능</t>
    <phoneticPr fontId="1" type="noConversion"/>
  </si>
  <si>
    <t>BKT_SFR_03_010</t>
  </si>
  <si>
    <t>단위 공정 Drag&amp;Drop 배치 기능</t>
    <phoneticPr fontId="1" type="noConversion"/>
  </si>
  <si>
    <t>BKT_SFR_03_011</t>
  </si>
  <si>
    <t>BKT_SFR_03_012</t>
  </si>
  <si>
    <t>PFD 생성기능</t>
  </si>
  <si>
    <t>설계 인자값 설정</t>
  </si>
  <si>
    <t>BKT_SFR_03_013</t>
  </si>
  <si>
    <t>인자값 편집창 표출 기능</t>
  </si>
  <si>
    <t>BKT_SFR_03_014</t>
  </si>
  <si>
    <t>인자값 입력설정 기능</t>
  </si>
  <si>
    <t>BKT_SFR_03_015</t>
  </si>
  <si>
    <t>인자값 수정, 저장 기능</t>
  </si>
  <si>
    <t>Custom
물질수지도 작도(수동)</t>
  </si>
  <si>
    <t>BKT_SFR_03_016</t>
  </si>
  <si>
    <t>공정(물질수지도)편집 기능과 동일함으로 생략</t>
  </si>
  <si>
    <t>계산</t>
    <phoneticPr fontId="1" type="noConversion"/>
  </si>
  <si>
    <t>물질수지 및 공정 용량계산</t>
  </si>
  <si>
    <t>BKT_SFR_03_017</t>
  </si>
  <si>
    <t>구조물 수위 설정</t>
    <phoneticPr fontId="1" type="noConversion"/>
  </si>
  <si>
    <t>BKT_SFR_03_018</t>
  </si>
  <si>
    <t>수위 설정 기능</t>
    <phoneticPr fontId="1" type="noConversion"/>
  </si>
  <si>
    <t>BKT_SFR_03_019</t>
  </si>
  <si>
    <t>용량계산서 산출 기능</t>
    <phoneticPr fontId="1" type="noConversion"/>
  </si>
  <si>
    <t>BKT_SFR_03_020</t>
  </si>
  <si>
    <t>구조물 규격 설정 기능</t>
    <phoneticPr fontId="1" type="noConversion"/>
  </si>
  <si>
    <t>BKT_SFR_03_021</t>
  </si>
  <si>
    <t>기계 수량 설정</t>
  </si>
  <si>
    <t>BKT_SFR_03_022</t>
  </si>
  <si>
    <t>BKT_SFR_03_023</t>
  </si>
  <si>
    <t>공종별 계산- 토목
(구조물)</t>
  </si>
  <si>
    <t>BKT_SFR_03_024</t>
  </si>
  <si>
    <r>
      <rPr>
        <sz val="10"/>
        <color rgb="FF000000"/>
        <rFont val="한양중고딕"/>
        <family val="3"/>
        <charset val="129"/>
      </rPr>
      <t>토목 구조물 규격</t>
    </r>
    <r>
      <rPr>
        <sz val="10"/>
        <color rgb="FF000000"/>
        <rFont val="맑은 고딕"/>
        <family val="3"/>
        <charset val="129"/>
      </rPr>
      <t xml:space="preserve"> 리스트 산출</t>
    </r>
  </si>
  <si>
    <t>BKT_SFR_03_025</t>
  </si>
  <si>
    <t xml:space="preserve"> 기계용량 계산 결과값 산출</t>
    <phoneticPr fontId="1" type="noConversion"/>
  </si>
  <si>
    <t>BKT_SFR_03_026</t>
  </si>
  <si>
    <t xml:space="preserve"> 기계 용량계산에 따른 배관 구경 산출 기능</t>
    <phoneticPr fontId="1" type="noConversion"/>
  </si>
  <si>
    <t>BKT_SFR_03_027</t>
  </si>
  <si>
    <t>전기 용량계산서 산출 기능</t>
    <phoneticPr fontId="1" type="noConversion"/>
  </si>
  <si>
    <t>BKT_SFR_03_028</t>
  </si>
  <si>
    <t xml:space="preserve"> 부하일람표 산출 기능</t>
    <phoneticPr fontId="1" type="noConversion"/>
  </si>
  <si>
    <t>BKT_SFR_03_029</t>
  </si>
  <si>
    <t>수리계산서 산출 기능</t>
    <phoneticPr fontId="1" type="noConversion"/>
  </si>
  <si>
    <t>BKT_SFR_03_030</t>
  </si>
  <si>
    <t>산출물 생성 기능</t>
    <phoneticPr fontId="1" type="noConversion"/>
  </si>
  <si>
    <t>BKT_SFR_03_031</t>
  </si>
  <si>
    <t>산출물 저장 기능</t>
    <phoneticPr fontId="1" type="noConversion"/>
  </si>
  <si>
    <t>SFR-04</t>
  </si>
  <si>
    <t xml:space="preserve">3D 표준 배치도 자동 오픈 기능 </t>
    <phoneticPr fontId="1" type="noConversion"/>
  </si>
  <si>
    <t>BKT_SFR_04_002</t>
  </si>
  <si>
    <t>부지정보 표출</t>
  </si>
  <si>
    <t>BKT_SFR_04_003</t>
  </si>
  <si>
    <t>BKT_SFR_04_004</t>
  </si>
  <si>
    <t>3d  라이브러리 기능</t>
    <phoneticPr fontId="1" type="noConversion"/>
  </si>
  <si>
    <t>BKT_SFR_04_005</t>
  </si>
  <si>
    <t>투명도 on/off 기능</t>
    <phoneticPr fontId="1" type="noConversion"/>
  </si>
  <si>
    <t>BKT_SFR_04_006</t>
  </si>
  <si>
    <t>오픈홀 생성 기능</t>
    <phoneticPr fontId="1" type="noConversion"/>
  </si>
  <si>
    <t>BKT_SFR_04_007</t>
  </si>
  <si>
    <t>오픈홀 조정 기능</t>
    <phoneticPr fontId="1" type="noConversion"/>
  </si>
  <si>
    <t>BKT_SFR_04_008</t>
  </si>
  <si>
    <t>스냅기능</t>
    <phoneticPr fontId="1" type="noConversion"/>
  </si>
  <si>
    <t>BKT_SFR_04_009</t>
  </si>
  <si>
    <t>구조물 배치 기능</t>
    <phoneticPr fontId="1" type="noConversion"/>
  </si>
  <si>
    <t>BKT_SFR_04_010</t>
  </si>
  <si>
    <t>BKT_SFR_04_011</t>
  </si>
  <si>
    <t>BKT_SFR_04_012</t>
  </si>
  <si>
    <t>모든 3D 모델, 구조물 등 조정 배치</t>
    <phoneticPr fontId="1" type="noConversion"/>
  </si>
  <si>
    <t>BKT_SFR_04_013</t>
  </si>
  <si>
    <t>속성정보 표출 기능</t>
    <phoneticPr fontId="1" type="noConversion"/>
  </si>
  <si>
    <t>BKT_SFR_04_014</t>
  </si>
  <si>
    <t>BKT_SFR_04_015</t>
  </si>
  <si>
    <t>배관 자동배치 기능</t>
    <phoneticPr fontId="1" type="noConversion"/>
  </si>
  <si>
    <t>BKT_SFR_04_016</t>
  </si>
  <si>
    <t>배관 간섭 발생 체크 기능</t>
    <phoneticPr fontId="1" type="noConversion"/>
  </si>
  <si>
    <t>BKT_SFR_04_017</t>
  </si>
  <si>
    <t>배관 생성</t>
    <phoneticPr fontId="1" type="noConversion"/>
  </si>
  <si>
    <t>BKT_SFR_04_018</t>
  </si>
  <si>
    <t>배관 조정기눙</t>
    <phoneticPr fontId="1" type="noConversion"/>
  </si>
  <si>
    <t>BKT_SFR_04_019</t>
  </si>
  <si>
    <t>배관 레이어 on/off 기능</t>
  </si>
  <si>
    <t>BKT_SFR_04_020</t>
  </si>
  <si>
    <t>3D 배관도 저장</t>
  </si>
  <si>
    <t>BKT_SFR_04_021</t>
  </si>
  <si>
    <t>변경사항 안내 기능</t>
    <phoneticPr fontId="1" type="noConversion"/>
  </si>
  <si>
    <t>BKT_SFR_04_022</t>
  </si>
  <si>
    <t>레이아웃 정렬기능</t>
    <phoneticPr fontId="1" type="noConversion"/>
  </si>
  <si>
    <t>BKT_SFR_04_023</t>
  </si>
  <si>
    <t>구조물 모델 사이즈 조정 기능</t>
    <phoneticPr fontId="1" type="noConversion"/>
  </si>
  <si>
    <t>BKT_SFR_04_024</t>
  </si>
  <si>
    <t>BKT_SFR_04_025</t>
  </si>
  <si>
    <t>공동구 크기 조정 기능</t>
    <phoneticPr fontId="1" type="noConversion"/>
  </si>
  <si>
    <t>BKT_SFR_04_026</t>
  </si>
  <si>
    <t>BKT_SFR_04_027</t>
  </si>
  <si>
    <t>벽체 삭제</t>
    <phoneticPr fontId="1" type="noConversion"/>
  </si>
  <si>
    <t>BKT_SFR_04_028</t>
  </si>
  <si>
    <t>반복적인 계산 확인 기능</t>
    <phoneticPr fontId="1" type="noConversion"/>
  </si>
  <si>
    <t>BKT_SFR_04_029</t>
  </si>
  <si>
    <t>전기실 판넬 배치 기능</t>
    <phoneticPr fontId="1" type="noConversion"/>
  </si>
  <si>
    <t>BKT_SFR_04_030</t>
  </si>
  <si>
    <t>자동 판넬 크기 적용 기능</t>
    <phoneticPr fontId="1" type="noConversion"/>
  </si>
  <si>
    <t>BKT_SFR_04_031</t>
  </si>
  <si>
    <t>전기 Tray 경로 설정 및 조정 기능</t>
    <phoneticPr fontId="1" type="noConversion"/>
  </si>
  <si>
    <t>BKT_SFR_04_032</t>
  </si>
  <si>
    <t xml:space="preserve"> Tray 규격 자동 적용 기능</t>
    <phoneticPr fontId="1" type="noConversion"/>
  </si>
  <si>
    <t>BKT_SFR_04_033</t>
  </si>
  <si>
    <t>간섭체크</t>
    <phoneticPr fontId="1" type="noConversion"/>
  </si>
  <si>
    <t>BKT_SFR_04_034</t>
  </si>
  <si>
    <t>전기 케이블 스케줄 물량 산출</t>
    <phoneticPr fontId="1" type="noConversion"/>
  </si>
  <si>
    <t>3D 산출물 생성</t>
  </si>
  <si>
    <t>PFD 도면 생성</t>
    <phoneticPr fontId="1" type="noConversion"/>
  </si>
  <si>
    <t>BKT_SFR_04_035</t>
  </si>
  <si>
    <t>BKT_SFR_04_036</t>
  </si>
  <si>
    <t>BKT_SFR_04_037</t>
  </si>
  <si>
    <t xml:space="preserve"> 수조명, 기기명 자동 명칭 기입 (구조물, 기계리스트와 매칭)</t>
    <phoneticPr fontId="1" type="noConversion"/>
  </si>
  <si>
    <t>BKT_SFR_04_038</t>
  </si>
  <si>
    <t>PDF, DXF 출력기능</t>
    <phoneticPr fontId="1" type="noConversion"/>
  </si>
  <si>
    <t>P&amp;ID 도면 생성</t>
    <phoneticPr fontId="1" type="noConversion"/>
  </si>
  <si>
    <t>BKT_SFR_04_039</t>
  </si>
  <si>
    <t>BKT_SFR_04_040</t>
  </si>
  <si>
    <t>자동 정보 기입(매핑테이블 활용)</t>
    <phoneticPr fontId="1" type="noConversion"/>
  </si>
  <si>
    <t>BKT_SFR_04_041</t>
  </si>
  <si>
    <t>Legend 심볼 도면  표출</t>
  </si>
  <si>
    <t>BKT_SFR_04_042</t>
  </si>
  <si>
    <t xml:space="preserve"> 설비 및 배관 연결관계 자동 생성</t>
    <phoneticPr fontId="1" type="noConversion"/>
  </si>
  <si>
    <t>수리계통도 생성</t>
  </si>
  <si>
    <t>BKT_SFR_04_043</t>
  </si>
  <si>
    <t>수리계통도 자동생성 기능</t>
  </si>
  <si>
    <t>BKT_SFR_04_044</t>
  </si>
  <si>
    <t>3D 배치와 연계</t>
  </si>
  <si>
    <t>BKT_SFR_04_045</t>
  </si>
  <si>
    <t>계통도 심볼 배치 및 수위 정보 반영</t>
  </si>
  <si>
    <t>BKT_SFR_04_046</t>
  </si>
  <si>
    <t>BKT_SFR_04_047</t>
  </si>
  <si>
    <t>계획평면도 생성</t>
  </si>
  <si>
    <t>BKT_SFR_04_048</t>
  </si>
  <si>
    <t>부지정보 도면내 표출</t>
  </si>
  <si>
    <t>BKT_SFR_04_049</t>
  </si>
  <si>
    <t>계획 평면도(2D) 자동 생성</t>
  </si>
  <si>
    <t>구조물 평단면도 생성</t>
  </si>
  <si>
    <t>BKT_SFR_04_050</t>
  </si>
  <si>
    <t>BKT_SFR_04_051</t>
  </si>
  <si>
    <t>평, 단면 위치 설정 기능</t>
  </si>
  <si>
    <t>BKT_SFR_04_052</t>
  </si>
  <si>
    <t>치수선 기입 기능</t>
  </si>
  <si>
    <t>BKT_SFR_04_053</t>
  </si>
  <si>
    <t>E.L, F.G.L 표기 기능</t>
  </si>
  <si>
    <t>BKT_SFR_04_054</t>
  </si>
  <si>
    <t>수위 표기 기능</t>
  </si>
  <si>
    <t>BKT_SFR_04_055</t>
  </si>
  <si>
    <t>구조물 이름, 기기이름 표기</t>
  </si>
  <si>
    <t>BKT_SFR_04_056</t>
  </si>
  <si>
    <t>도곽(Title Board) 표기 기능</t>
  </si>
  <si>
    <t>기계, 배관 평단면도 생성</t>
  </si>
  <si>
    <t>BKT_SFR_04_057</t>
  </si>
  <si>
    <t>기계,배관 평단면도 생성</t>
  </si>
  <si>
    <t>BKT_SFR_04_058</t>
  </si>
  <si>
    <t>BKT_SFR_04_059</t>
  </si>
  <si>
    <t>BKT_SFR_04_060</t>
  </si>
  <si>
    <t>BKT_SFR_04_061</t>
  </si>
  <si>
    <t>BKT_SFR_04_062</t>
  </si>
  <si>
    <t>BKT_SFR_04_063</t>
  </si>
  <si>
    <t>Isometric 생성</t>
  </si>
  <si>
    <t>BKT_SFR_04_064</t>
  </si>
  <si>
    <t>3D 모델에서 배관 정보를 가져와서 등각투영(Isometric) 도면 생성</t>
  </si>
  <si>
    <t>BKT_SFR_04_065</t>
  </si>
  <si>
    <t>BKT_SFR_04_066</t>
  </si>
  <si>
    <t>B.O.M Table 자동 생성</t>
  </si>
  <si>
    <t>BKT_SFR_04_067</t>
  </si>
  <si>
    <t>BKT_SFR_04_068</t>
  </si>
  <si>
    <t>수량 산출서에 반영</t>
  </si>
  <si>
    <t>BKT_SFR_04_069</t>
  </si>
  <si>
    <t>수변전 단선결선도(Single Line)
생성</t>
  </si>
  <si>
    <t>BKT_SFR_04_070</t>
  </si>
  <si>
    <t>수변전 단선결선도 자동 생성 기능</t>
  </si>
  <si>
    <t>BKT_SFR_04_071</t>
  </si>
  <si>
    <t>BKT_SFR_04_072</t>
  </si>
  <si>
    <t>BKT_SFR_04_073</t>
  </si>
  <si>
    <t>MCC 단선결선도
(Single Line)
생성</t>
  </si>
  <si>
    <t>BKT_SFR_04_074</t>
  </si>
  <si>
    <t>MCC 단선결선도 자동생성 기능</t>
  </si>
  <si>
    <t>BKT_SFR_04_075</t>
  </si>
  <si>
    <t>BKT_SFR_04_076</t>
  </si>
  <si>
    <t>MCC(전동기기동반)
 구성도 생성</t>
  </si>
  <si>
    <t>BKT_SFR_04_077</t>
  </si>
  <si>
    <t>MCC 구성도 자동 생성</t>
  </si>
  <si>
    <t>BKT_SFR_04_078</t>
  </si>
  <si>
    <t>BKT_SFR_04_079</t>
  </si>
  <si>
    <t>전기 평면도 생성
(전기실 및 케이블 Tray)</t>
  </si>
  <si>
    <t>BKT_SFR_04_080</t>
  </si>
  <si>
    <t>전기실 배치 2D도면 생성</t>
  </si>
  <si>
    <t>BKT_SFR_04_081</t>
  </si>
  <si>
    <t>전기 Tary 배치 2D 도면 생성</t>
  </si>
  <si>
    <t>BKT_SFR_04_082</t>
  </si>
  <si>
    <t>BKT_SFR_04_083</t>
  </si>
  <si>
    <t>케이블 스케쥴표 생성</t>
  </si>
  <si>
    <t>BKT_SFR_04_084</t>
  </si>
  <si>
    <t>케이블 스케줄표 2D도면 생성</t>
  </si>
  <si>
    <t>BKT_SFR_04_085</t>
  </si>
  <si>
    <t>도면 편집</t>
    <phoneticPr fontId="1" type="noConversion"/>
  </si>
  <si>
    <t>BKT_SFR_04_086</t>
  </si>
  <si>
    <t>2D 도면 편집</t>
  </si>
  <si>
    <t>BKT_SFR_04_087</t>
  </si>
  <si>
    <t>도곽(Title Board) 편집 기능</t>
  </si>
  <si>
    <t>BKT_SFR_04_088</t>
  </si>
  <si>
    <t>2D 도면 치수 편집 기능</t>
  </si>
  <si>
    <t>BKT_SFR_04_089</t>
  </si>
  <si>
    <t>태그 정보 조정 가능</t>
  </si>
  <si>
    <t>BKT_SFR_04_090</t>
  </si>
  <si>
    <t>심볼 정렬/편집 기능</t>
  </si>
  <si>
    <t>BKT_SFR_04_091</t>
  </si>
  <si>
    <t>도면 출력</t>
    <phoneticPr fontId="1" type="noConversion"/>
  </si>
  <si>
    <t>BKT_SFR_04_092</t>
  </si>
  <si>
    <t>도면 포맷 변환(DXF, PDF)</t>
  </si>
  <si>
    <t>BKT_SFR_04_093</t>
  </si>
  <si>
    <t>다중 도면을 하나의 파일로 저장</t>
  </si>
  <si>
    <t>BKT_SFR_04_094</t>
  </si>
  <si>
    <t>파일 저장 위치 설정</t>
  </si>
  <si>
    <t>SFR-05</t>
    <phoneticPr fontId="1" type="noConversion"/>
  </si>
  <si>
    <t>산출물 생성</t>
  </si>
  <si>
    <t>토목 물량, 내역</t>
  </si>
  <si>
    <t>BKT_SFR_05_001</t>
  </si>
  <si>
    <t>토공 물량산출 기능</t>
  </si>
  <si>
    <t>BKT_SFR_05_002</t>
  </si>
  <si>
    <t>구조물공 물량산출</t>
  </si>
  <si>
    <t>BKT_SFR_05_003</t>
  </si>
  <si>
    <t>내역서 산출 기능</t>
  </si>
  <si>
    <t>BKT_SFR_05_004</t>
  </si>
  <si>
    <t>3D 설계 모듈에서 생성된 구조물 배치도 모델링 데이터의 물량 정보 연동</t>
  </si>
  <si>
    <t>BKT_SFR_05_005</t>
  </si>
  <si>
    <t>단가 수정 기능</t>
  </si>
  <si>
    <t>BKT_SFR_05_006</t>
  </si>
  <si>
    <t>내역서 저장 기능</t>
  </si>
  <si>
    <t>건축 물량 내역</t>
  </si>
  <si>
    <t>BKT_SFR_05_007</t>
  </si>
  <si>
    <t>건축 면적 산출 기능</t>
  </si>
  <si>
    <t>BKT_SFR_05_008</t>
  </si>
  <si>
    <t>BKT_SFR_05_009</t>
  </si>
  <si>
    <t>3D 설계 모듈에서 생성된 건축 공간 데이터의 물량 정보 연동</t>
  </si>
  <si>
    <t>BKT_SFR_05_010</t>
  </si>
  <si>
    <t>단가 관리 DB 연동 및 업데이트 기능</t>
  </si>
  <si>
    <t>BKT_SFR_05_011</t>
  </si>
  <si>
    <t>기계 물량, 내역</t>
  </si>
  <si>
    <t>BKT_SFR_05_012</t>
  </si>
  <si>
    <t>기계 물량 산출 기능</t>
  </si>
  <si>
    <t>BKT_SFR_05_013</t>
  </si>
  <si>
    <t>BKT_SFR_05_014</t>
  </si>
  <si>
    <t>BKT_SFR_05_015</t>
  </si>
  <si>
    <t>배관 물량, 내역</t>
  </si>
  <si>
    <t>BKT_SFR_05_016</t>
  </si>
  <si>
    <t>배관, 밸브 물량 산출 기능</t>
  </si>
  <si>
    <t>BKT_SFR_05_017</t>
  </si>
  <si>
    <t>BKT_SFR_05_018</t>
  </si>
  <si>
    <t>3D 설계 모듈에서 생성된 배관 데이터의 물량 정보 연동</t>
  </si>
  <si>
    <t>BKT_SFR_05_019</t>
  </si>
  <si>
    <t>BKT_SFR_05_020</t>
  </si>
  <si>
    <t>전기 물량, 내역</t>
  </si>
  <si>
    <t>BKT_SFR_05_021</t>
  </si>
  <si>
    <t>고압반, 저압반, MCC 등 물량 산출 기능</t>
  </si>
  <si>
    <t>BKT_SFR_05_022</t>
  </si>
  <si>
    <t>BKT_SFR_05_023</t>
  </si>
  <si>
    <t>3D 설계 모듈에서 생성된 전기 Tray 데이터의 물량 정보 연동</t>
  </si>
  <si>
    <t>BKT_SFR_05_024</t>
  </si>
  <si>
    <t>BKT_SFR_05_025</t>
  </si>
  <si>
    <t>유지관리비</t>
  </si>
  <si>
    <t>BKT_SFR_05_026</t>
  </si>
  <si>
    <t>항목별 유지관리비 산출</t>
  </si>
  <si>
    <t>BKT_SFR_05_027</t>
  </si>
  <si>
    <t>BKT_SFR_05_028</t>
  </si>
  <si>
    <t>산출서 저장 기능</t>
  </si>
  <si>
    <t>SFR-06</t>
    <phoneticPr fontId="1" type="noConversion"/>
  </si>
  <si>
    <t>리포트 기능</t>
  </si>
  <si>
    <t>보고서 생성</t>
  </si>
  <si>
    <t>BKT_SFR_06_001</t>
  </si>
  <si>
    <t>자동 정보 기입(???)</t>
  </si>
  <si>
    <t>BKT_SFR_06_002</t>
  </si>
  <si>
    <t>기본 리포트 양식 수정, 편집 기능</t>
  </si>
  <si>
    <t>BKT_SFR_06_003</t>
  </si>
  <si>
    <t>보고서 저장 기능</t>
  </si>
  <si>
    <t>SFR-07</t>
    <phoneticPr fontId="1" type="noConversion"/>
  </si>
  <si>
    <t>기본정보시스템-사용자 관리</t>
    <phoneticPr fontId="1" type="noConversion"/>
  </si>
  <si>
    <t>사용자</t>
  </si>
  <si>
    <t>BKT_SFR_07_001</t>
  </si>
  <si>
    <t xml:space="preserve"> ID, PW 등 기본 정보 입력하여 회원 가입</t>
  </si>
  <si>
    <t>사용자 권한</t>
    <phoneticPr fontId="1" type="noConversion"/>
  </si>
  <si>
    <t>BKT_SFR_07_002</t>
  </si>
  <si>
    <t>롤 구분하여 권한 설정 및 부여</t>
  </si>
  <si>
    <t>메뉴설정</t>
  </si>
  <si>
    <t>BKT_SFR_07_003</t>
  </si>
  <si>
    <t>메뉴 추가/편집 기능</t>
  </si>
  <si>
    <t>기본정보시스템-프로젝트 관리</t>
    <phoneticPr fontId="1" type="noConversion"/>
  </si>
  <si>
    <t>BKT_SFR_07_004</t>
  </si>
  <si>
    <t>프로젝트 관리</t>
  </si>
  <si>
    <t>BKT_SFR_07_005</t>
  </si>
  <si>
    <t>부지도면 관리</t>
  </si>
  <si>
    <t>BKT_SFR_07_006</t>
  </si>
  <si>
    <t>기본정보시스템-공정관리</t>
    <phoneticPr fontId="1" type="noConversion"/>
  </si>
  <si>
    <t>유입성상 관리</t>
  </si>
  <si>
    <t>유입성상 유형 등록</t>
    <phoneticPr fontId="1" type="noConversion"/>
  </si>
  <si>
    <t>BKT_SFR_07_007</t>
  </si>
  <si>
    <t>유입수질 항목 관리</t>
    <phoneticPr fontId="1" type="noConversion"/>
  </si>
  <si>
    <t>BKT_SFR_07_008</t>
  </si>
  <si>
    <t>유입성상 조합 관리</t>
    <phoneticPr fontId="1" type="noConversion"/>
  </si>
  <si>
    <t>BKT_SFR_07_009</t>
  </si>
  <si>
    <t>유닛공정관리</t>
    <phoneticPr fontId="1" type="noConversion"/>
  </si>
  <si>
    <t>유입성상 및 제거효율별 추천 공정 관리</t>
  </si>
  <si>
    <t>BKT_SFR_07_010</t>
  </si>
  <si>
    <t>도면 관리</t>
  </si>
  <si>
    <t>BKT_SFR_07_012</t>
  </si>
  <si>
    <t>BKT_SFR_07_013</t>
  </si>
  <si>
    <t>BKT_SFR_07_014</t>
  </si>
  <si>
    <t>P&amp;ID 관리</t>
  </si>
  <si>
    <t>BKT_SFR_07_015</t>
  </si>
  <si>
    <t>심볼관리</t>
  </si>
  <si>
    <t>BKT_SFR_07_016</t>
  </si>
  <si>
    <t>계산식 관리</t>
  </si>
  <si>
    <t>BKT_SFR_07_017</t>
  </si>
  <si>
    <t>기계/설비 관리</t>
  </si>
  <si>
    <t>BKT_SFR_07_018</t>
  </si>
  <si>
    <t>전기 관리</t>
  </si>
  <si>
    <t>BKT_SFR_07_019</t>
  </si>
  <si>
    <t>기본정보시스템-3D 모델 관리</t>
    <phoneticPr fontId="1" type="noConversion"/>
  </si>
  <si>
    <t>BKT_SFR_07_020</t>
  </si>
  <si>
    <t>BKT_SFR_07_021</t>
  </si>
  <si>
    <t>BKT_SFR_07_022</t>
  </si>
  <si>
    <t>기본정보시스템-</t>
    <phoneticPr fontId="1" type="noConversion"/>
  </si>
  <si>
    <t>보고서 관리</t>
  </si>
  <si>
    <t>BKT_SFR_07_023</t>
  </si>
  <si>
    <t>SFR-08</t>
    <phoneticPr fontId="1" type="noConversion"/>
  </si>
  <si>
    <t>3D 모델링
(구조물, 기계, 설비)</t>
  </si>
  <si>
    <t>BKT_SFR_08_001</t>
  </si>
  <si>
    <t>Information(수용방안 및 협의 내용)</t>
    <phoneticPr fontId="1" type="noConversion"/>
  </si>
  <si>
    <t>전제조건
(제약사항)</t>
    <phoneticPr fontId="1" type="noConversion"/>
  </si>
  <si>
    <t>이슈</t>
    <phoneticPr fontId="1" type="noConversion"/>
  </si>
  <si>
    <t>변경내역</t>
    <phoneticPr fontId="1" type="noConversion"/>
  </si>
  <si>
    <t>화면 ID</t>
    <phoneticPr fontId="1" type="noConversion"/>
  </si>
  <si>
    <t>DB Table</t>
    <phoneticPr fontId="1" type="noConversion"/>
  </si>
  <si>
    <t>비고</t>
    <phoneticPr fontId="1" type="noConversion"/>
  </si>
  <si>
    <t>변경구분</t>
    <phoneticPr fontId="1" type="noConversion"/>
  </si>
  <si>
    <t>변경근거</t>
    <phoneticPr fontId="1" type="noConversion"/>
  </si>
  <si>
    <t>PFD 조합</t>
    <phoneticPr fontId="1" type="noConversion"/>
  </si>
  <si>
    <t>요구사항 분류</t>
  </si>
  <si>
    <t>기능 요구사항</t>
  </si>
  <si>
    <t>신규 프로젝트 생성</t>
    <phoneticPr fontId="1" type="noConversion"/>
  </si>
  <si>
    <t>SFR-05</t>
  </si>
  <si>
    <t>BKT_SFR_05_001</t>
    <phoneticPr fontId="1" type="noConversion"/>
  </si>
  <si>
    <t>SFR-06</t>
  </si>
  <si>
    <t>기술검토서</t>
  </si>
  <si>
    <t>BKT_SFR_07_001</t>
    <phoneticPr fontId="1" type="noConversion"/>
  </si>
  <si>
    <t>요구사항 내용</t>
    <phoneticPr fontId="1" type="noConversion"/>
  </si>
  <si>
    <t>프로젝트 관리</t>
    <phoneticPr fontId="1" type="noConversion"/>
  </si>
  <si>
    <t>1) 신규 프로젝트 생성: 신규 프로젝트 생성하기를 클릭하여 정보 입력 팝업창 표출
2) 프로젝트 정보 입력: 소유자, 프로젝트명, 국가, 사이트 주소, 비즈니스 타입(), 단위선택, 등 정보 기입할 수 있는 창 표출; 입력,수정,저장 필요
3) 고객 정보 입력:고객사명, 담당자명, 연락처, 이메일 등 정보 기입할 수 있는 창 표출; 입력,수정, 저장 필요
4) 기존 프로젝트 리스트화 표출, 키워드 검색으로 불러오기 기능 구현
5) 기존프로젝트 이름 변경 및 저장 필요</t>
    <phoneticPr fontId="1" type="noConversion"/>
  </si>
  <si>
    <t xml:space="preserve">-저장 정보 범위(메타 정보 저장 등 용량 고려하여 설계)
'-NewPjt명 새롭게 생성.(Date기준? Or 1-1or Rev1)
</t>
    <phoneticPr fontId="1" type="noConversion"/>
  </si>
  <si>
    <t>03</t>
  </si>
  <si>
    <t>사용자 관리</t>
    <phoneticPr fontId="1" type="noConversion"/>
  </si>
  <si>
    <t xml:space="preserve"> 회원가입, 사용자 기본 정보 입력 기능</t>
    <phoneticPr fontId="1" type="noConversion"/>
  </si>
  <si>
    <t>권한관리</t>
    <phoneticPr fontId="1" type="noConversion"/>
  </si>
  <si>
    <t>사용자 권한 설정(메뉴별 권한으로 숨기기/표시 가능)</t>
    <phoneticPr fontId="1" type="noConversion"/>
  </si>
  <si>
    <t>유입성상 관리</t>
    <phoneticPr fontId="1" type="noConversion"/>
  </si>
  <si>
    <t>유입성상 리스트 정보 표출</t>
    <phoneticPr fontId="1" type="noConversion"/>
  </si>
  <si>
    <r>
      <t xml:space="preserve">1) DB내에 저장된 유입성상 리스트 표출
(유입성상 전체 : Foodwaste, Slduge cake, Livestock, Digestate, Thickened Secondary sludge, , Thickened primary sludge, Sewage, etc)- 고객사에서 상세 정보 제공
2) 중복 체크 가능
3) </t>
    </r>
    <r>
      <rPr>
        <sz val="11"/>
        <color rgb="FFFF0000"/>
        <rFont val="함초롬바탕"/>
        <family val="1"/>
        <charset val="129"/>
      </rPr>
      <t>올바르지 않은 유입 성상 선택 조합 오류 처리(해외 사례는 별도확인 필요)</t>
    </r>
    <r>
      <rPr>
        <sz val="11"/>
        <color rgb="FF000000"/>
        <rFont val="함초롬바탕"/>
        <family val="1"/>
        <charset val="129"/>
      </rPr>
      <t xml:space="preserve"> </t>
    </r>
    <phoneticPr fontId="1" type="noConversion"/>
  </si>
  <si>
    <t>멀티 체크후, 겹치는 공정에 대한 처리 해결안 필요</t>
    <phoneticPr fontId="1" type="noConversion"/>
  </si>
  <si>
    <t>유입,유출 수질 정보 관리</t>
    <phoneticPr fontId="1" type="noConversion"/>
  </si>
  <si>
    <t>1) 성상별  유입수질, 최종 유출수질 정보 표출
(TS, VS, FS, BOD, COD, SS, T-N, T-P, 수온, Alk etc)
2) 유입, 유출 수질(수온) 정보 선택, 입력, 저장hofi hks</t>
    <phoneticPr fontId="1" type="noConversion"/>
  </si>
  <si>
    <t>"- 유출 수질에 대한 이번단계에서 제외</t>
    <phoneticPr fontId="1" type="noConversion"/>
  </si>
  <si>
    <t>*유출수질 정보 표출은 제거효율에 따라 계산되어짐
* 유입수질과 유출수질 입력에 따라 권장공정을 나타내는 로직을 만들 수 있을 때 프로그램에 반영함. 이번단계에서는 제외</t>
    <phoneticPr fontId="1" type="noConversion"/>
  </si>
  <si>
    <t>공정 관리&amp;솔루션관리</t>
    <phoneticPr fontId="1" type="noConversion"/>
  </si>
  <si>
    <t>공정 관리</t>
    <phoneticPr fontId="1" type="noConversion"/>
  </si>
  <si>
    <t>1) 유입성상, 제거효율별 추천공정 관리: 공정 편집, 조합기능
2) 유입성상과 제거율을 기반으로한 최적공정 리스트 표출 및 불러오기 기능
3) 공정 선택 기능
4) 공정 선택에 따른 개략 산출된 부지 정보와 CAPEX,OPEX 계산 정보 표출 기능</t>
    <phoneticPr fontId="1" type="noConversion"/>
  </si>
  <si>
    <t xml:space="preserve"> '-제거효율 별 추천공정은 이번 단계에서 제외, 유입성상별로만 관리
- capex,opex 계산 정보는 상시 화면구역에 표출하여, 공정에 변화가 있을 때마다 계산되어 계산값 표출
</t>
    <phoneticPr fontId="1" type="noConversion"/>
  </si>
  <si>
    <t>공정 작도(자동)</t>
    <phoneticPr fontId="1" type="noConversion"/>
  </si>
  <si>
    <t>- 공정 흐름도 자동 생성 표출
- 생성된 흐름에 대한 편집 기능(과정 재배치, 작도 등)
- 라인 연결하여 흐름 완성 기능
- PFD 출력 기능</t>
    <phoneticPr fontId="1" type="noConversion"/>
  </si>
  <si>
    <t>수동 편집된 공정 저장 방안 협의 필요 이하 권장내용 
1) 일괄 로컬 저장
2) 권한별로 로컬 OR 서버 저장(추천공정 테이블 추가여부는 별도)
3) 로컬 저장 버튼과 DB 저장 버튼 구성, 필요에 따라 사용자 지정 저장 가능하게 함</t>
    <phoneticPr fontId="1" type="noConversion"/>
  </si>
  <si>
    <t>공정 작도(수동)</t>
    <phoneticPr fontId="1" type="noConversion"/>
  </si>
  <si>
    <t>BKT_SFR_03_003</t>
    <phoneticPr fontId="1" type="noConversion"/>
  </si>
  <si>
    <t>- 직접 단위공정을 Drag&amp;Drop 으로 배치 가능한 기능
- 여러가지 색상으로 흐름정보이 물감을 표출할 수 있는 기능
- 연결된 라인을 끊고, 재연결 등 용이한 배치 기능
- 수질이 만족스럽지 못할 시 사용하는 기능
- 기본 공정을 별도 화면에 표출하여, 드롭배치 가능하게 구현
- 수동으로 공정흐름도 편집 가능
- 수동 편집된 공정 저장은 권한 별로 로컬 또는 DB 저장 가능
- 라인 연결 기능을 공정 작도 화면의 기본기능으로 도출
- 공정 작도 단계에 진입하면, 화면에 PFD 생성 버튼 표출 및 활성화</t>
    <phoneticPr fontId="1" type="noConversion"/>
  </si>
  <si>
    <r>
      <t>- 단위공정 이동, 추가, 삭제 기능 
- 흐름정보 색칠 기능(색상 범례 필요 여부?), 방향 화살표 필요, 
- 커넥터 추가 기능, 연결고리 삭제, 편집 기능
-</t>
    </r>
    <r>
      <rPr>
        <sz val="11"/>
        <color rgb="FFFF0000"/>
        <rFont val="함초롬바탕"/>
        <family val="1"/>
        <charset val="129"/>
      </rPr>
      <t xml:space="preserve"> </t>
    </r>
    <phoneticPr fontId="1" type="noConversion"/>
  </si>
  <si>
    <t>인자값 설계</t>
    <phoneticPr fontId="1" type="noConversion"/>
  </si>
  <si>
    <r>
      <t xml:space="preserve">1) 공정별, 유출 수질에 대한 인자값 설정 기능
  - 인자값 입력 셋팅
  - 인자값 수정, 저장, 편집 기능 
</t>
    </r>
    <r>
      <rPr>
        <sz val="11"/>
        <color rgb="FF000000"/>
        <rFont val="Microsoft YaHei"/>
        <family val="1"/>
        <charset val="134"/>
      </rPr>
      <t>2）</t>
    </r>
    <r>
      <rPr>
        <sz val="11"/>
        <color rgb="FF000000"/>
        <rFont val="맑은 고딕"/>
        <family val="1"/>
        <charset val="129"/>
      </rPr>
      <t xml:space="preserve">공정별(카테고리별) 인자 값 표출, 고정값과 변동 가능 인자 값 구분
</t>
    </r>
    <phoneticPr fontId="1" type="noConversion"/>
  </si>
  <si>
    <t>-인자값 설정: 생성된 공정 흐름도에서 각개 공정 더블클릭시, 인자값 편집 창 표출
 - 인자값 설정 범위:
- 수정 가능한 값만, 설정할 수 있게 색상 구별
- 설정값은 반복 수정 가능해야 함. (과정값은 휘발성 데이터로 처리)</t>
    <phoneticPr fontId="1" type="noConversion"/>
  </si>
  <si>
    <t>"-인자값 설정 참조 파일240830_Demo Scenario_영문_r3/ SHEET2 1, 4번만 설정 가능, 기타 값은 산출된 값</t>
    <phoneticPr fontId="1" type="noConversion"/>
  </si>
  <si>
    <t>물질수지도(수리계통도?)</t>
    <phoneticPr fontId="1" type="noConversion"/>
  </si>
  <si>
    <t>- 물질수지도 불러오기 (MASS 밸런스 표출 기능)
- 공정흐름도+각 공정별 유출 수질 값 반영된 별도 팝업창(현재는 PDF로 표출)
- 공정에 속해 있는 설비들도 포함하여 표출</t>
    <phoneticPr fontId="1" type="noConversion"/>
  </si>
  <si>
    <t>a) msss 밸런스 기능 상시 메뉴로 표출
b) 공정별 매핑된 설비 표출,
c) 설비 추가/변경/ 속성 변경 등 기능
d) 업무상 연계 흐름 표현
e)Mb 출력 관련: 엑셀로 출력 (다만, 프로그램에서는 결과값만 제공하여, 부강에서 제공된 엑셀 양식에 기입하는 형태로 진행 )</t>
  </si>
  <si>
    <t>추가</t>
    <phoneticPr fontId="1" type="noConversion"/>
  </si>
  <si>
    <t>e) 항 추가 20250305.docx 회의록 참조</t>
    <phoneticPr fontId="1" type="noConversion"/>
  </si>
  <si>
    <t>Custom</t>
    <phoneticPr fontId="1" type="noConversion"/>
  </si>
  <si>
    <t>-최적 공정의 선택 없이, 사용자 임의대로 공정 흐름도를 작성할 수 있는 기능(Influent Types는 표기되어야함)
- 라인특성, Pretreatment, Primary, Secondary, Tertiary, Product, etc. 처리 기준으로 하단에 단위공정이 아이콘으로 표시된다.
- PFD 출력 기능</t>
    <phoneticPr fontId="1" type="noConversion"/>
  </si>
  <si>
    <t xml:space="preserve">공정 아이콘에서 상하좌우에 포인터를 부여하고 아이콘으로 들어오는것은 유입, 아이콘에서 나가는건 유출로 인식되고. 색상은 직접 변경가능하도록.
 또한, 상하좌우에 2개 이상의 포인트를 부여
</t>
    <phoneticPr fontId="1" type="noConversion"/>
  </si>
  <si>
    <t>용량계산</t>
    <phoneticPr fontId="1" type="noConversion"/>
  </si>
  <si>
    <t>- 물질수지 및 용량 계산 기능 
- 수리계산서 기능 
- 기기/계측기 리스트 산출 및 표출 기능
- 기자재 단가 불러오기, 수정, 저장 기능
- 구조물 추가, 수정, 리스트 표출 기능
- 구조물리스트를 기반으로 토목건축 공사비(요율),기자재(공사비)를 기준으로 배관공사비(요율), 전기공사비(요율)을 기준으로 CAPEX를 계산하고
물질수지, 기기리스트, 기자재 공사비를 기준으로 OPEX값을 계산하는 기능
- 각 (각 유닛 공정의 Design factor 허용 범위를 설정할 수 있는 기능)
- 기술검토서 출력기능</t>
    <phoneticPr fontId="1" type="noConversion"/>
  </si>
  <si>
    <r>
      <t xml:space="preserve">-설비, 구조물 리스트 디자인 파트에서 상용 메뉴로 도출하여 기능 구현
- 기자재 단가 관리?
   :자재별, 사양별 단가 표시
    내부 db구축 할 경우, 관리 메뉴 필요(추가/삭제/수정 등 편집 )
-  각 (각 유닛 공정의 Design factor 허용 범위를 설정할 수 있는 기능)=&gt; 알림 메시지 표출/ 범위 값을 편집할 수 있는 기능 
- 토목건축 공사비 산출 기능
  :  고정 메뉴로 도출(반복 작업 가능해야 함), 
     공사비 요율 테이블 관리 기능 
- 계산식 관리 메뉴 필요/ 계산식을 연동하여 사용할 수 있게 구현/ 
</t>
    </r>
    <r>
      <rPr>
        <sz val="11"/>
        <color rgb="FFFF0000"/>
        <rFont val="함초롬바탕"/>
        <family val="1"/>
        <charset val="129"/>
      </rPr>
      <t xml:space="preserve">- 계산식 표현 방법: HLSL + python 언어 사용
- 계산 결과 값 리포트 형태(?)최종 값은 저장 필요 </t>
    </r>
    <phoneticPr fontId="1" type="noConversion"/>
  </si>
  <si>
    <t>- 기자재 단가 관리 방법 확정 필요, 외부 데이터 호출 사용 or 내부 db구축 
 - 공사비/기자재/배관공사비/전기공사 요율 data 제공 필요
 - 기술 검토서 양식 제공 필요.</t>
    <phoneticPr fontId="1" type="noConversion"/>
  </si>
  <si>
    <t xml:space="preserve">계산식 언어, 계산 결과 값 부분 추가,20250305.docx 회의록 참조 </t>
    <phoneticPr fontId="1" type="noConversion"/>
  </si>
  <si>
    <t>설비/기계 3D 모델관리</t>
    <phoneticPr fontId="1" type="noConversion"/>
  </si>
  <si>
    <t>구조물 관리</t>
    <phoneticPr fontId="1" type="noConversion"/>
  </si>
  <si>
    <t>BKT_SFR_04_001</t>
  </si>
  <si>
    <t>모델등록, 카테고리 분류</t>
    <phoneticPr fontId="1" type="noConversion"/>
  </si>
  <si>
    <t xml:space="preserve">- 공정별 모델관리, 모델 등록, 삭제 
- 공정별 카테고리 분류
- </t>
    <phoneticPr fontId="1" type="noConversion"/>
  </si>
  <si>
    <t>속성정보 매핑테이블</t>
    <phoneticPr fontId="1" type="noConversion"/>
  </si>
  <si>
    <t>속성정보를 매핑테이블에 업로드하여, 심볼과 3d 구조물을 매핑하는 기능</t>
    <phoneticPr fontId="1" type="noConversion"/>
  </si>
  <si>
    <t xml:space="preserve">- 공정과 연동된 매핑테이블로 관리
- 매핑키, tag id 등 부여 방식 표준 </t>
    <phoneticPr fontId="1" type="noConversion"/>
  </si>
  <si>
    <t>매핑테이블 양식 필요</t>
    <phoneticPr fontId="1" type="noConversion"/>
  </si>
  <si>
    <t>설비 모델 관리</t>
    <phoneticPr fontId="1" type="noConversion"/>
  </si>
  <si>
    <t>모델 등록,수정, 삭제 기능</t>
    <phoneticPr fontId="1" type="noConversion"/>
  </si>
  <si>
    <t>-모델별 등록 관리
- 카테고리 분류 기능
- 2d 심볼과 연계 되는 기능
- 모델 속성 관리 기능</t>
    <phoneticPr fontId="1" type="noConversion"/>
  </si>
  <si>
    <t>3D 편집기</t>
    <phoneticPr fontId="1" type="noConversion"/>
  </si>
  <si>
    <t>모델(기기) 자동/수동 배치</t>
    <phoneticPr fontId="1" type="noConversion"/>
  </si>
  <si>
    <r>
      <t>-공정 작도에서 설정된 정보를 반영하여 3D모델 자동배치 기능
- 계산파트에서 넘어온 공정 기준으로 오른쪽 탭(3D마크업)에 3D리스트가 나타난다 
(탭1_용량계산서 시트 순서대로 배치된 3D 리스트, 탭2_다른 공정 3D 리스트, 탭3_기자재 3D 리스트 등)
- 3D 리스트에서 Drag and drop하여 기자재 배치(BOX): 오른쪽 탭3(3D마크업)에서 Drag and drop하였을 때 가장 가까운 벽체와의 거리값이 나타나 확인하면서 자유롭게 배치한다(거리에 대한 스냅 간격 1,5,10,50,100,500mm)
BOX내 기자재는 프로그램 내 편집 제한(모델별 구성)
- 3D 리스트에서 Drag and drop하여 구조물을 배치한다(ROOM):
  1) drag and drop 한 대상의 자리 반투명화되고 배치 후 반투명화된 대상을 클릭시 해당 구조물이 하이라이트된다.
2) 구조물 배치 시 마그네틱 기능이 활성화된다(이동 간격 100mm, 간격 설정 가능)</t>
    </r>
    <r>
      <rPr>
        <sz val="11"/>
        <color rgb="FF000000"/>
        <rFont val="Microsoft YaHei"/>
        <family val="1"/>
        <charset val="134"/>
      </rPr>
      <t xml:space="preserve">
 - </t>
    </r>
    <r>
      <rPr>
        <sz val="11"/>
        <color rgb="FF000000"/>
        <rFont val="함초롬바탕"/>
        <family val="1"/>
        <charset val="129"/>
      </rPr>
      <t>부지 가시화</t>
    </r>
    <r>
      <rPr>
        <sz val="11"/>
        <color rgb="FF000000"/>
        <rFont val="Microsoft YaHei"/>
        <family val="1"/>
        <charset val="134"/>
      </rPr>
      <t xml:space="preserve"> 
</t>
    </r>
    <r>
      <rPr>
        <sz val="11"/>
        <color rgb="FF000000"/>
        <rFont val="함초롬바탕"/>
        <family val="1"/>
        <charset val="129"/>
      </rPr>
      <t xml:space="preserve"> 1) </t>
    </r>
    <r>
      <rPr>
        <sz val="11"/>
        <color rgb="FF000000"/>
        <rFont val="Microsoft YaHei"/>
        <family val="1"/>
        <charset val="134"/>
      </rPr>
      <t>[</t>
    </r>
    <r>
      <rPr>
        <sz val="11"/>
        <color rgb="FF000000"/>
        <rFont val="함초롬바탕"/>
        <family val="1"/>
        <charset val="129"/>
      </rPr>
      <t>제공 부지가 있는 경우]
CAD 도면 또는 부지 정보를 반영하여 Plan view 기준으로 (0,0,0)위치에 반투명으로 제공 부지가 표현된다
또는 이미지 파일을 Plan view 기준으로 (0,0,0)위치에 반투명으로 제공 부지가 표현된다
 2) [제공 부지가 없는 경우]
Plan view 기준으로 (0,0,0) 위치에 100x100m 사이즈의 반투명 부지가 표현된다
해당 부지 규격은 가로/세로 치수가 표현되고 변경 가능(drag 방식은 상단/우측 모서리선만 활성화하여 치수를 변경할 수 있게 하고,  가로/세로 치수값도 직접 입력하여 변경 가능)</t>
    </r>
    <phoneticPr fontId="1" type="noConversion"/>
  </si>
  <si>
    <r>
      <t xml:space="preserve">- 구조물 추가 기능:
 - 하이라이트 기능:
- 마그네틱 기능:
- 스냅기능:
- openhole: 지정위치에 개공 가능 기능, 
                  특정 모델에 한하여, 속성 값대로 자동 개공 필요
- 투명 기능: 름구조에서, 내부 설비에 대한 조작 편리를 위한  룸 투명화 기능
- 구조물 사이즈 조정:
- 모델 라이브러리 표출:
- 부지 가시화:
- 모델 멀티 선택 기능:
- 구조물내 기계배치 방안(좌표계 기준?, 벽체 기준 치수 시각화하여 스냅 배치?)
- 시설 배치 방법 (모듈화 배치)
</t>
    </r>
    <r>
      <rPr>
        <sz val="11"/>
        <color rgb="FFFF0000"/>
        <rFont val="함초롬바탕"/>
        <family val="1"/>
        <charset val="129"/>
      </rPr>
      <t xml:space="preserve">-하부슬라브 구조물 배치/편집 기능: 
1) 구조물 배치후, 하부슬라브 생성하는 방안으로 검토
2) 상,하 층으로 구분되어 벽체 일부 겹치는 상황 발생 시: 겹치는 부분은 내벽 두께 적용, 겹치지 않는 부분은 외벽 두께 적용-구체적인 해결방안은 별도 검토 후 협의
3) 하부슬라브 높이 설정은 물질수지도 파트에서 설정
</t>
    </r>
    <r>
      <rPr>
        <sz val="11"/>
        <color rgb="FF000000"/>
        <rFont val="함초롬바탕"/>
        <family val="1"/>
        <charset val="129"/>
      </rPr>
      <t>-</t>
    </r>
    <phoneticPr fontId="1" type="noConversion"/>
  </si>
  <si>
    <t>- ROOM(구조물+기계), BOX(기계) 배치 범위 설정
 : 구조물내 기계배치 방안(좌표계 기준?, 벽체 기준 치수 시각화하여 스냅 배치?)
 : BOX 내 기계 구성 방안?(기계, BOX를 각각 패밀리로 작성 후 조합? 또는 한번에 작성 필요?)
-상,하 층으로 구분되는 하부슬라브 배치 해결 방안 검토</t>
    <phoneticPr fontId="1" type="noConversion"/>
  </si>
  <si>
    <t xml:space="preserve">하부슬라브 구조물 배치/편집 기능 추가,20250306.docx 회의록 참조 </t>
    <phoneticPr fontId="1" type="noConversion"/>
  </si>
  <si>
    <t>배관오토라우팅</t>
    <phoneticPr fontId="1" type="noConversion"/>
  </si>
  <si>
    <t>-도면에 설계된 내용대로 배관이 자동 배치 된다.</t>
  </si>
  <si>
    <t xml:space="preserve"> p&amp;id 도면에 따른 배관 설계 파트로 넘어가면, 도면에 설계된 내용대로 배관 생성 및 배치 기능 구현
- 배관 속성정보 테이블 구축
- </t>
    <phoneticPr fontId="1" type="noConversion"/>
  </si>
  <si>
    <t>배관설계</t>
    <phoneticPr fontId="1" type="noConversion"/>
  </si>
  <si>
    <t xml:space="preserve">- 연결할 구조물(ROOM)의 sleeve nozzle 2개(from/to)를 클릭하여 배관을 생성한다
- 구조물(ROOM)에 P&amp;ID정보가 포함된 sleeve nozzle 2개(from/to)를 클릭하면 파이프 정보, 밸브 등 P&amp;ID정보가 반영된 배관이 최적경로로 생성된다 </t>
    <phoneticPr fontId="1" type="noConversion"/>
  </si>
  <si>
    <t>- 배관 Routing 작성시, 기계리스트 변경시 P&amp;ID에서 기계 수량 변경시 변경사항에 대한 문구 표출</t>
    <phoneticPr fontId="1" type="noConversion"/>
  </si>
  <si>
    <t xml:space="preserve">
</t>
    <phoneticPr fontId="1" type="noConversion"/>
  </si>
  <si>
    <t>3D 구조물 속성편집</t>
    <phoneticPr fontId="1" type="noConversion"/>
  </si>
  <si>
    <t>- 구조물 더블 클릭 시 해당 속성정보 팝업이 뜬다(명칭/건축,토목/x,y,z축/W,L,H/부피 변경 시  3D에 반영된다)</t>
    <phoneticPr fontId="1" type="noConversion"/>
  </si>
  <si>
    <t>- 속성 편집창 표출
- 속성 칼럼 추가, 내용 추가 기능
- 속성 수정 기능</t>
    <phoneticPr fontId="1" type="noConversion"/>
  </si>
  <si>
    <t>3D 구조물 사이즈 편집</t>
    <phoneticPr fontId="1" type="noConversion"/>
  </si>
  <si>
    <t>BKT_SFR_05_005</t>
    <phoneticPr fontId="1" type="noConversion"/>
  </si>
  <si>
    <r>
      <t xml:space="preserve">-레이아웃 정렬: 반응조 및 저류조(용량계산서에서 계산된 구조물)의 경우 Total Area는 고정되어있고 W를 조정할 시 Area가 유지되도록 L이 자동으로 맞춰지도록 조정되어야함. (소수점은 반올림)
- 오픈홀 조정:3D 구조물 내 오픈홀을 클릭하여 규격을 조정한다(W,L.H 입력) 
3D 리스트에 있는 오픈홀을 drag and drop하여 원하는 위치에 배치한다
- 용량 계산 연동: 조정한 기준으로 용량계산 반영 필요
</t>
    </r>
    <r>
      <rPr>
        <sz val="11"/>
        <color rgb="FFFF0000"/>
        <rFont val="함초롬바탕"/>
        <family val="1"/>
        <charset val="129"/>
      </rPr>
      <t>- 구조물 모델 사이즈 조정: 클릭또는 선택 작업을 통하여, L=( ), W=(  ), H=(  ) 설정으로 구조물 한 개 객체 로 보고 사이즈 업다운 진행</t>
    </r>
    <phoneticPr fontId="1" type="noConversion"/>
  </si>
  <si>
    <t xml:space="preserve">-구조물 모델 사이즈 조정:20250306.docx 회의록 참조 </t>
    <phoneticPr fontId="1" type="noConversion"/>
  </si>
  <si>
    <t>3D 구조물/홀 편집/위치 지정</t>
    <phoneticPr fontId="1" type="noConversion"/>
  </si>
  <si>
    <t>BKT_SFR_05_006</t>
    <phoneticPr fontId="1" type="noConversion"/>
  </si>
  <si>
    <t>-  배치 완료된 상태가 반영된 M/B, Calc sheets, Design Summary, Structure List, Equip List를 표출(별도 팝업창 또는 상단 메뉴바에서, 확인용으로 수정불가)
- 공동구 배치: 
3D 리스트에서 Drag and drop하여 공동구를 배치한다
1안) 사각형태의 공동구를 drag and drop하여 사이즈를 조정하고 모든 벽체를 활성/비활성(보이기/숨기기) 모드로 조정한다
2안) 다양한 형태의 공동구 리스트 중 원하는 형태의 공동구를 drag and drop하여 사이즈를 조정한다.
#공동구 더블 클릭 시 해당 속성정보 팝업이 뜬다(명칭/건축,토목/x,y,z축/W,L,H/부피 변경 시 3D에 반영된다)
- 추가 구조물 배치:3D 리스트에서 Drag and drop하여 추가 구조물을 배치한다(ROOM)
 (*계산파트에서 넘어온 공정을 제외한 공정을 추가할 경우 오른쪽 탭2(3D 마크업)에서 drag and drop하여 배치한다)</t>
    <phoneticPr fontId="1" type="noConversion"/>
  </si>
  <si>
    <r>
      <t xml:space="preserve">-[확인용]
Design factor, 제원 정보 탭으로 구성
- [ROOM]_레이아웃에 영향을 주는 대상(구조물이 필수인 대상)
계단, empty room(기자재용)
[BOX]
기자재
</t>
    </r>
    <r>
      <rPr>
        <sz val="11"/>
        <color rgb="FFFF0000"/>
        <rFont val="함초롬바탕"/>
        <family val="1"/>
        <charset val="129"/>
      </rPr>
      <t>- 벽체 처리: 내부 벽체 개념없이, 외부 벽체로 인식하고, 벽체와 벽체 맞닿는 부분은 간격 설정으로 처리(박스와 박스사이 이격거리 개념으로 처리)()</t>
    </r>
    <phoneticPr fontId="1" type="noConversion"/>
  </si>
  <si>
    <t xml:space="preserve">-벽체처리 부분 추가:20250306.docx 회의록 참조 </t>
    <phoneticPr fontId="1" type="noConversion"/>
  </si>
  <si>
    <t>수리계통도 출력</t>
    <phoneticPr fontId="1" type="noConversion"/>
  </si>
  <si>
    <r>
      <t>-수리계통 정보 생성:계산파트 넘어온 정보 기준으로 하단에 수리계통도가 나타난다
(구조물 속성정보 변경 시 반영된 수리계통도가 나타난다)
- 수리정보 변경 시 Process Plan으로 돌아가 수정한다</t>
    </r>
    <r>
      <rPr>
        <sz val="11"/>
        <color rgb="FFFF0000"/>
        <rFont val="함초롬바탕"/>
        <family val="1"/>
        <charset val="129"/>
      </rPr>
      <t>??</t>
    </r>
    <r>
      <rPr>
        <sz val="11"/>
        <color rgb="FF000000"/>
        <rFont val="함초롬바탕"/>
        <family val="1"/>
        <charset val="129"/>
      </rPr>
      <t xml:space="preserve">
(storage tank 추가 등) -&gt;계산파트 공정작도 단계(D40)로 돌아간다
- Process Plan 수정 후 Design Plan으로 돌아온다:현재까지 작성한 레이아웃 배치정보는 유지된다(D67)
추가된 구조물이 오른쪽 탭(3D마크업)에 표기된다</t>
    </r>
    <phoneticPr fontId="1" type="noConversion"/>
  </si>
  <si>
    <t>도면(SVG) 편집기</t>
    <phoneticPr fontId="1" type="noConversion"/>
  </si>
  <si>
    <r>
      <t xml:space="preserve">- 용량계산서 및 기기리스트의 내용을 기반으로 PFD 도면을 불러온다.
(지정된 도면 번호를 갖는 도면들 불러오기)
- From-To 정보를 바탕으로 불러온 PFD 도면들을 일렬로 배치/조합한다. 
(한줄로 배치가 불가능할 경우, 두줄로 배치한다.)
- 배치/조합된 PFD 도면 상에 From-To 정보를 바탕으로 기기 번호/명칭이 자동으로 기입된다.
(지정된 번호가 밸브리스트 정보 DB Table과 매칭하여 변환되어 출력되는 방식)"
</t>
    </r>
    <r>
      <rPr>
        <sz val="11"/>
        <color rgb="FFFF0000"/>
        <rFont val="함초롬바탕"/>
        <family val="1"/>
        <charset val="129"/>
      </rPr>
      <t>- 도곽을 이부분에서 삽입되는 것으로 할까, 미리 P&amp;ID에 작성해둘까
 1) 미리 P&amp;ID에 작성될 경우, 정보들이 반영되게 할 수 있음 (작성일자, 내용 등)
 2) 삽입할 경우, 정보들을 사용자가 직접 작성해야 함"
변경이 완료된 도면이 화면 상에 팝업 형태로 출력된다.</t>
    </r>
    <phoneticPr fontId="1" type="noConversion"/>
  </si>
  <si>
    <t>- 2열배치
-1. 자동 배치
   2.카드 배치 (사용자 배치)
- 밸브 : 모든 밸브 삭제
배관 : 불필요
물질수지 테이블 : 추가
(온/오프 기능)
기기 대수 : 1대 통일
(최대한 진짜 흐름만 나타날 수 있도록)</t>
    <phoneticPr fontId="1" type="noConversion"/>
  </si>
  <si>
    <t xml:space="preserve">ISO 도면 표현 
- 2D 형태 Line생성 또는 3D 찍어내기
 : 도면 생성되는 범위 설정은 어떻게 해야할지 논의 필요
</t>
    <phoneticPr fontId="1" type="noConversion"/>
  </si>
  <si>
    <r>
      <t xml:space="preserve">-용량계산서 및 기기리스트의 내용을 기반으로 P&amp;ID 도면을 불러온다.
(지정된 도면 번호를 갖는 도면들 불러오기)
- </t>
    </r>
    <r>
      <rPr>
        <b/>
        <sz val="11"/>
        <color rgb="FF000000"/>
        <rFont val="함초롬바탕"/>
        <family val="1"/>
        <charset val="129"/>
      </rPr>
      <t>From-To 정보:</t>
    </r>
    <r>
      <rPr>
        <sz val="11"/>
        <color rgb="FF000000"/>
        <rFont val="함초롬바탕"/>
        <family val="1"/>
        <charset val="129"/>
      </rPr>
      <t xml:space="preserve"> 불러온 P&amp;ID 도면 상에 From-To 정보를 바탕으로 도면 번호/명칭, 기기 번호/명칭이 자동으로 기입된다.
-</t>
    </r>
    <r>
      <rPr>
        <b/>
        <sz val="11"/>
        <color rgb="FF000000"/>
        <rFont val="함초롬바탕"/>
        <family val="1"/>
        <charset val="129"/>
      </rPr>
      <t>밸브리스트:</t>
    </r>
    <r>
      <rPr>
        <sz val="11"/>
        <color rgb="FF000000"/>
        <rFont val="함초롬바탕"/>
        <family val="1"/>
        <charset val="129"/>
      </rPr>
      <t xml:space="preserve"> 불러온 P&amp;ID 도면 상에 밸브리스트 정보를 바탕으로 밸브 번호/명칭이 자동으로 기입된다.
-</t>
    </r>
    <r>
      <rPr>
        <b/>
        <sz val="11"/>
        <rFont val="함초롬바탕"/>
        <family val="1"/>
        <charset val="129"/>
      </rPr>
      <t>계측기 리스트</t>
    </r>
    <r>
      <rPr>
        <sz val="11"/>
        <color rgb="FF000000"/>
        <rFont val="함초롬바탕"/>
        <family val="1"/>
        <charset val="129"/>
      </rPr>
      <t xml:space="preserve">:불러온 P&amp;ID 도면 상에 계측기리스트 정보를 바탕으로 계측기 번호/명칭이 자동으로 기입된다. 
- </t>
    </r>
    <r>
      <rPr>
        <b/>
        <sz val="11"/>
        <color rgb="FF000000"/>
        <rFont val="함초롬바탕"/>
        <family val="1"/>
        <charset val="129"/>
      </rPr>
      <t>배관리스트</t>
    </r>
    <r>
      <rPr>
        <sz val="11"/>
        <color rgb="FF000000"/>
        <rFont val="함초롬바탕"/>
        <family val="1"/>
        <charset val="129"/>
      </rPr>
      <t xml:space="preserve">:불러온 P&amp;ID 도면 상에 배관리스트 정보를 바탕으로 배관의 관경/사양이 자동으로 기입된다.
- </t>
    </r>
    <r>
      <rPr>
        <b/>
        <sz val="11"/>
        <color rgb="FF000000"/>
        <rFont val="함초롬바탕"/>
        <family val="1"/>
        <charset val="129"/>
      </rPr>
      <t>펀넬</t>
    </r>
    <r>
      <rPr>
        <sz val="11"/>
        <color rgb="FF000000"/>
        <rFont val="함초롬바탕"/>
        <family val="1"/>
        <charset val="129"/>
      </rPr>
      <t xml:space="preserve">: 불러온 P&amp;ID 도면 상에 판넬 정보를 바탕으로 판넬 번호가 자동으로 기입된다.
- </t>
    </r>
    <r>
      <rPr>
        <b/>
        <sz val="11"/>
        <color rgb="FF000000"/>
        <rFont val="함초롬바탕"/>
        <family val="1"/>
        <charset val="129"/>
      </rPr>
      <t>도곽</t>
    </r>
    <r>
      <rPr>
        <sz val="11"/>
        <color rgb="FF000000"/>
        <rFont val="함초롬바탕"/>
        <family val="1"/>
        <charset val="129"/>
      </rPr>
      <t xml:space="preserve">: </t>
    </r>
    <r>
      <rPr>
        <sz val="10"/>
        <color rgb="FFFF0000"/>
        <rFont val="함초롬바탕"/>
        <family val="1"/>
        <charset val="129"/>
      </rPr>
      <t>도곽을 이부분에서 삽입되는 것으로 할까, 미리 P&amp;ID에 작성해둘까
 1) 미리 P&amp;ID에 작성될 경우, 정보들이 반영되게 할 수 있음 (작성일자, 내용 등)
 2) 삽입할 경우, 정보들을 사용자가 직접 작성해야 함</t>
    </r>
    <r>
      <rPr>
        <sz val="11"/>
        <color rgb="FF000000"/>
        <rFont val="함초롬바탕"/>
        <family val="1"/>
        <charset val="129"/>
      </rPr>
      <t xml:space="preserve">
</t>
    </r>
    <r>
      <rPr>
        <sz val="11"/>
        <color rgb="FFFF0000"/>
        <rFont val="함초롬바탕"/>
        <family val="1"/>
        <charset val="129"/>
      </rPr>
      <t>* (지정된 번호가 From-To 정보, 밸브리스트, 계측기 리스트, 배관리스트, 판넬 정보 DB Table과 매칭하여 변환되어 출력되는 방식)</t>
    </r>
    <phoneticPr fontId="1" type="noConversion"/>
  </si>
  <si>
    <t>- PFD 카드 조합: 공정 흐름에 맞는 카드를 자동생성
- 사용자 격제 맞게 카드를 Drag &amp; Drop으로 조합/배치 기능
- 작성 완료된 PFD 저장 기능</t>
    <phoneticPr fontId="1" type="noConversion"/>
  </si>
  <si>
    <t>BKT_SFR_06_004</t>
  </si>
  <si>
    <r>
      <t xml:space="preserve">- P&amp;ID 검토 후 변경 사항을 반영하기 위해 기기리스트 리본을 선택한다.
(공사비와 연계하여 검토)
- 기기 수량 및 사양 조정: 기기리스트, From-To, 밸브리스트, 계측기리스트, 배관리스트, 판넬 정보들이 재산출되고 자동 저장.
- 기기리스트, From-To 정보, 밸브리스트, 계측기리스트, 배관리스트, 판넬 정보 등 내용이 연동되어 표출
</t>
    </r>
    <r>
      <rPr>
        <sz val="11"/>
        <color rgb="FFFF0000"/>
        <rFont val="함초롬바탕"/>
        <family val="1"/>
        <charset val="129"/>
      </rPr>
      <t>-도각(Title Board) :기본 템플릿을 제공하여, 도각내에 이미지파일(회사 CI, 주소 등)  추가 가능
- 도면 치수 자동 표출: 2D 도면 생성될때 자동으로 치수 나와야 함.(치수 적용 기준을 제공하면 검토후 구현 여부 판단) 
- 수위 표기: 도면에 수위 위치와 계산 값 표출 (각 EL 위치의 값들이 어떤 계산식을 통해서 나오는지 설명 필요)</t>
    </r>
    <r>
      <rPr>
        <sz val="11"/>
        <color rgb="FF000000"/>
        <rFont val="함초롬바탕"/>
        <family val="1"/>
        <charset val="129"/>
      </rPr>
      <t xml:space="preserve">
- 2D 심볼 범례 정렬: 도면에 사용되는 심볼 정렬 필요
-	도각 내 표/내용 기입: 테이블 기능 제공/사용가능한 포멧 제공 또는 테이블을 직접 이용하여 내용을 작성할 수 있게 구현</t>
    </r>
    <phoneticPr fontId="1" type="noConversion"/>
  </si>
  <si>
    <t xml:space="preserve">-도각 이미지 삽입, 도면 치수 자동 표출, 수위표기, 2D 심볼 범례 정렬 표출 기능/ 도각내 내용및 테이블 기능 부분 추가:20250306.docx 회의록 참조 </t>
    <phoneticPr fontId="1" type="noConversion"/>
  </si>
  <si>
    <t>BKT_SFR_06_005</t>
    <phoneticPr fontId="1" type="noConversion"/>
  </si>
  <si>
    <t xml:space="preserve">-생성된  P&amp;ID - 도면을 출력. 지원 포멧: DXF,PDF,DWG
- 지정된 위치에 공정흐름도 출력 및 파일 변경 저장 기능
- </t>
    <phoneticPr fontId="1" type="noConversion"/>
  </si>
  <si>
    <t>전기파트</t>
    <phoneticPr fontId="1" type="noConversion"/>
  </si>
  <si>
    <t>2D 도면작성- 부하일람표 자동생성:</t>
    <phoneticPr fontId="1" type="noConversion"/>
  </si>
  <si>
    <t xml:space="preserve"> - 기기리스트와 기자재 DB(전기)가 연동되어 표준화된 분전반(판넬) 설계가 자동 진행된다. 
(분전반 설계에 대한 로직 구성 필요)"
- 국가별 기준에 대한 정보가 반영되어 분전반 설계가 진행
- 분전반 설계가 완료되면 부하 정보와 함께 DB Table에 저장 
- DB Table에서 정리된 Table을 2D 도면화하여 부하일람표 형식으로 생성
- 생성된 부하일람표는 팝업 형태로 출력</t>
    <phoneticPr fontId="1" type="noConversion"/>
  </si>
  <si>
    <t>2D 도면작성- 단선결선도(Single Line) 자동배치:</t>
    <phoneticPr fontId="1" type="noConversion"/>
  </si>
  <si>
    <t>-분전반 설계 내역 및 기기리스트를 바탕으로 표준화된 모듈 형태의 블록들을 불러온다.
(모듈 형태의 블록들은 수변전설비, 고압반, 저압반, 분전반을 나타낸다.)"
-모듈 형태의 블록들은 일정한 로직에 따라 자동으로 배치된다.
(혹은 사용자가 SVG 포맷에서 직접 배치한다.)"
-모듈 형태의 블록들은 기기리스트 정보를 바탕으로 기기 번호/명칭이 자동으로 기입된다.
(블록에 속성 정보를 바탕으로 Tag Number에 따라 라이브러리에서 심볼 변경 가능)"
-생성된 단선결선도는 팝업 형태로 출력된다.</t>
    <phoneticPr fontId="1" type="noConversion"/>
  </si>
  <si>
    <t>2D 도면-  MCC 구성도</t>
    <phoneticPr fontId="1" type="noConversion"/>
  </si>
  <si>
    <t>BKT_SFR_07_003</t>
    <phoneticPr fontId="1" type="noConversion"/>
  </si>
  <si>
    <t>- MCC모듈 배치:
  1) 3D 형태의 MCC반에 MCC 모듈 결합.(MCC반 및 판넬 배치 정보 생성)
(기본적인 MCC반의 형태는 표현되며 MCC반에 모듈을 끼어넣는 형태로 진행된다.)
  2) 완성된 MCC 반은 3D 형태로 저장된다.
(3D 형태의 MCC반은 평면도 작성에 사용되며, 추후 2D 도면으로 산출된다.)
- 3D 기기배관도면:
- MCC 구성도: 3D MCC반, 3D 판넬, 트레이, 전선관 및 전선</t>
    <phoneticPr fontId="1" type="noConversion"/>
  </si>
  <si>
    <t xml:space="preserve">- 3D MCC 블록 배치: 3D에서 텍스처로 적용, 2D 도면 출력은 가능. 실제 상황에 가서 한번 더 검토 필요. </t>
    <phoneticPr fontId="1" type="noConversion"/>
  </si>
  <si>
    <t>변경</t>
    <phoneticPr fontId="1" type="noConversion"/>
  </si>
  <si>
    <t xml:space="preserve">3D MCC 블록 배치 내용 변경::20250306.docx 회의록 참조 </t>
    <phoneticPr fontId="1" type="noConversion"/>
  </si>
  <si>
    <t>2D 도면-  평면도</t>
    <phoneticPr fontId="1" type="noConversion"/>
  </si>
  <si>
    <t>-  MCC반 및 판넬을 3D 기기배관도면 상에 배치:
  3D 기기배관도면 상에 MCC반 및 판넬이 배치된다.
  MCC반 ↔ 판넬 정보와 케이블 관련 DB와 연동되어 케이블의 규격이 결정된다.
  판넬 ↔ 기기/계측기 정보와 케이블 관련 DB와 연동되어 케이블의 규격이 결정된다.
-트레이 혹은 전선관 배치:
"3D 기기배관도면 상에 트레이 혹은 전선관이 배치된다.
(MCC반 및 판넬을 기준으로 트레이 혹은 전선관을 배치한다.)"
이때, 케이블의 규격에 따라 트레이 혹은 전선관의 규격이 자동으로 결정된다.
만약 배관 혹은 트레이 간의 간섭이 생길 경우 오류형태로 출력된다.
-전선 배치:
3D 기기배관도면 상에 전선이 배치된다.
(트레이를 기준으로 전선을 배치한다.)트레이 및 전선관 배치 정보</t>
    <phoneticPr fontId="1" type="noConversion"/>
  </si>
  <si>
    <t>2D 도면-  케이블 스케쥴</t>
    <phoneticPr fontId="1" type="noConversion"/>
  </si>
  <si>
    <t>-평면도 상에 작성된 MCC반, 판넬, 트레이, 전선관 및 전선에 대한 내용을 바탕으로 케이블에 대한 내용이 동력 혹은 제어 기준으로 DB Table에 저장된다.
-이때, DB Table과 연동하여 접지와 같은 추가적인 내용이 작성된다.
- DB Table에서 정리된 Table을 2D 도면화하여 케이블 스케쥴 형식으로 생성된다.</t>
    <phoneticPr fontId="1" type="noConversion"/>
  </si>
  <si>
    <t>2D 도면-  상세도</t>
    <phoneticPr fontId="1" type="noConversion"/>
  </si>
  <si>
    <t>-(필요 시) 전기설계 도면 출력을 선택한다.
(3D 도면 출력과 동일)
(전기설계 도면 출력 위치 정의 필요)</t>
    <phoneticPr fontId="1" type="noConversion"/>
  </si>
  <si>
    <t>데이터 관리 기능</t>
  </si>
  <si>
    <t>SFR-09</t>
  </si>
  <si>
    <t>리포트 기능</t>
    <phoneticPr fontId="1" type="noConversion"/>
  </si>
  <si>
    <t>SFR-10</t>
  </si>
  <si>
    <t>운영환경 구축</t>
  </si>
  <si>
    <t>SFR-11</t>
  </si>
  <si>
    <t>3D 모델링 제작</t>
    <phoneticPr fontId="1" type="noConversion"/>
  </si>
  <si>
    <t xml:space="preserve">dtd에서 사용한 가능한 설비, 구조물 3d 모델 제작
- </t>
    <phoneticPr fontId="1" type="noConversion"/>
  </si>
  <si>
    <t xml:space="preserve">1.	모델 고유 속성: 카달로그상에 표기된 속성들을 메인으로 모델 작업, 엑셀로 제공한 속성 필드명만 추가하여 모델, 나중에 속성은 별도 기입하는 것으로 정함
2.	비율관련: 탈수기 같은 경우, 전체 높이, 폭, 길이 값만 있어서, 노즐에 대한 부분은 표시되지 안아서 이런 부분들도 매개 변수로 사전에 정의해주어야 모델 진행 가능=&gt; 부강에서 정리하여 없는 부분들을 보완해주기로 함. </t>
    <phoneticPr fontId="1" type="noConversion"/>
  </si>
  <si>
    <t>성능 요구사항</t>
  </si>
  <si>
    <t>PER-01</t>
  </si>
  <si>
    <t>웹페이지 디스플레이 성능</t>
    <phoneticPr fontId="1" type="noConversion"/>
  </si>
  <si>
    <t>04</t>
  </si>
  <si>
    <t>PER-02</t>
  </si>
  <si>
    <t>성능부하테스트 수행 및 결과에 대한 조치 수행</t>
  </si>
  <si>
    <t>PER-03</t>
  </si>
  <si>
    <t>작업수행 및 장애처리</t>
  </si>
  <si>
    <t>인터페이스 요구사항</t>
  </si>
  <si>
    <t>SIR-01</t>
  </si>
  <si>
    <t>웹 표준 및 호환성 준수</t>
  </si>
  <si>
    <t>05</t>
  </si>
  <si>
    <t>SIR-02</t>
  </si>
  <si>
    <t>시스템 인터페이스</t>
  </si>
  <si>
    <t>SIR-03</t>
  </si>
  <si>
    <t>사용자 인터페이스</t>
  </si>
  <si>
    <t>데이터 요구사항</t>
  </si>
  <si>
    <t>DAR-01</t>
  </si>
  <si>
    <t>디지털트윈 데이터 관리체계 구축</t>
  </si>
  <si>
    <t>06</t>
  </si>
  <si>
    <t>DAR-02</t>
  </si>
  <si>
    <t>디지털트윈 데이터 구조화 및 적재</t>
  </si>
  <si>
    <t>테스트 요구사항</t>
  </si>
  <si>
    <t>TER-01</t>
  </si>
  <si>
    <t>테스트 부문 공통 요구사항</t>
  </si>
  <si>
    <t>07</t>
  </si>
  <si>
    <t>TER-02</t>
  </si>
  <si>
    <t>시험 운영 실시</t>
  </si>
  <si>
    <t>보안 요구사항</t>
  </si>
  <si>
    <t>SER-01</t>
  </si>
  <si>
    <t>보안요건</t>
  </si>
  <si>
    <t>08</t>
  </si>
  <si>
    <t>SER-02</t>
  </si>
  <si>
    <t>데이터 보안</t>
  </si>
  <si>
    <t>SER-03</t>
  </si>
  <si>
    <t>응용시스템 보안</t>
  </si>
  <si>
    <t>SER-04</t>
  </si>
  <si>
    <t>개인정보보호 및 보안성 강화</t>
  </si>
  <si>
    <t>품질 요구사항</t>
  </si>
  <si>
    <t>QUR-01</t>
  </si>
  <si>
    <t>품질 방안</t>
  </si>
  <si>
    <t>09</t>
  </si>
  <si>
    <t>QUR-02</t>
  </si>
  <si>
    <t>기능 구현 정확성</t>
  </si>
  <si>
    <t>QUR-03</t>
  </si>
  <si>
    <t>상호 운영성(데이터 교환성)</t>
  </si>
  <si>
    <t>QUR-04</t>
  </si>
  <si>
    <t>시스템 가용성</t>
  </si>
  <si>
    <t>QUR-05</t>
  </si>
  <si>
    <t>이해 용이성</t>
  </si>
  <si>
    <t>제약사항</t>
  </si>
  <si>
    <t>COR-01</t>
  </si>
  <si>
    <t>표준 준수</t>
  </si>
  <si>
    <t>10</t>
  </si>
  <si>
    <t>COR-02</t>
  </si>
  <si>
    <t>지식재산권 공동소유 및 SW산출물 활용촉진</t>
  </si>
  <si>
    <t>프로젝트 관리 요구사항</t>
  </si>
  <si>
    <t>PMR-01</t>
  </si>
  <si>
    <t>11</t>
  </si>
  <si>
    <t>PMR-02</t>
  </si>
  <si>
    <t>보고관리</t>
  </si>
  <si>
    <t>PMR-03</t>
  </si>
  <si>
    <t>산출물 관리</t>
  </si>
  <si>
    <t>PMR-04</t>
  </si>
  <si>
    <t>IRIS에 의한 프로젝트 관리</t>
  </si>
  <si>
    <t>PMR-05</t>
  </si>
  <si>
    <t>SW사업정보 저장소 데이터 작성 및 제출</t>
  </si>
  <si>
    <t>PMR-06</t>
  </si>
  <si>
    <t>보안관리</t>
  </si>
  <si>
    <t>PMR-07</t>
  </si>
  <si>
    <t>과업 변경</t>
  </si>
  <si>
    <t>프로젝트 지원 요구사항</t>
  </si>
  <si>
    <t>PSR-01</t>
  </si>
  <si>
    <t>기술이전 및 교육훈련 방안</t>
  </si>
  <si>
    <t>PSR-02</t>
  </si>
  <si>
    <t>하자보수 기간 및 방안</t>
  </si>
  <si>
    <t xml:space="preserve">- 저장 정보 범위(메타 정보 저장 등 용량 고려하여 설계)
-NewPjt명 새롭게 생성(Date기준? Or 1-1or Rev1)
- 입력 항목 리스트 필요
-  DB 저장 방식, 항목 리스트 필요
</t>
  </si>
  <si>
    <t>[회원가입]
 1) 내용
 - ID, PW 등 기본 정보 입력하여 회원 가입
 - 관리자 페이지에 기본 정보 저장
 2) 기능
  - ID, PW 신규 생성
 3) 입력 항목
  - ID, 부서명, 이메일, 연락처</t>
  </si>
  <si>
    <t>[회원(사용자)관리]
 1) 내용
 - PW 초기화, ID 삭제, 접속 기록 조회??
[프로그램 권한 설정]
 1) 내용
  - 메뉴별 접근 권한 설정
 2) 기능 예시
  - Guest 접속시 물질수지도 작도 기능만 활성화
 3) 권한 항목
  - 계산파트</t>
  </si>
  <si>
    <t>[유입성상 선택]
 1) 내용
 - 멀티 체크 또는 단독 체크 시 추천 공정 제시
 - 관리자 페이지를 통한 유입성상 관리
 2) 기능
  - 프로그램 내 유입성상 리스트 표출
 3) 항목
  - 하수, 소화조탈리액, 음식물쓰레기, 탈수슬러지, 가축분뇨
 4) 관리자 항목(등록)
  - 유입성상이 새로 생기면 최초 등록 필요
  - 최초 등록은 관리자 페이지에서 가능
  - 중복 체크 가능한 유입성상 항목 리스트
  - 올바르지 않은 항목 선택에 대한 오류 처리 메세지</t>
  </si>
  <si>
    <t>유입성상별 조합공정 data</t>
  </si>
  <si>
    <t>멀티 체크후, 겹치는 공정에 대한 처리 해결안 필요
 - 멀티 또는 단독 체크 항목
 (아래 항목 제외한 조합은 올바르지 않은 유입성상 오류 처리)
 - 관리자 페이지에서 항목 수정 가능해야함
 : 하수 (1차, 2차, 3차)
 : 소화조 탈리액
 : 음식물
 : 음식물 + 탈수슬러지
 : 음식물 + 가축분뇨
 : 탈수 슬러지
 : 하수 + 음식물
 : 하수 + 음식물 + 가축분뇨</t>
  </si>
  <si>
    <t>1) 성상별  유입수질, 최종 유출수질 정보 표출
(TS, VS, FS, BOD, COD, SS, T-N, T-P, 수온, Alk etc)
2) 유입, 유출 수질(수온) 정보 선택, 입력, 저장</t>
  </si>
  <si>
    <r>
      <rPr>
        <sz val="11"/>
        <color rgb="FF000000"/>
        <rFont val="함초롬바탕"/>
        <family val="1"/>
        <charset val="129"/>
      </rPr>
      <t xml:space="preserve">[기초설계 정보 입력]
 1) 내용
 - 유입성상 선택에 따른 기초 설계 정보 입력
</t>
    </r>
    <r>
      <rPr>
        <sz val="11"/>
        <color rgb="FFFF0000"/>
        <rFont val="함초롬바탕"/>
        <family val="1"/>
        <charset val="129"/>
      </rPr>
      <t xml:space="preserve">
</t>
    </r>
    <r>
      <rPr>
        <sz val="11"/>
        <color rgb="FF000000"/>
        <rFont val="함초롬바탕"/>
        <family val="1"/>
        <charset val="129"/>
      </rPr>
      <t xml:space="preserve"> 2) 기능
  - 유입수질 정보 입력시 물질수지 계산에 활용
  - 최종 입력된 정보는 DB Table에 저장 (유입, 유출 수질, 공정별 제거효율)
 3) 입력 항목
  - 유입 유량, BOD,COD, SS, T-N, NHx-N, NO3-N, T-P, 수온, Alk, TS,VS,FS
  - F.G.L, E.L 정보
    : 사용자 설정값 (Final Ground Level, 지상배치, 지하배치, 지면의 구조물 위치정보)
 4) 관리자 항목
  - 유입성상이 새로 생기면 최초 등록 필요
  - 최초 등록은 관리자 페이지에서 가능
  - 필수 값 입력 : 유입성상별 유입수질 항목</t>
    </r>
  </si>
  <si>
    <t>"- 유출 수질에 대한 입력은 이번단계에서 제외</t>
  </si>
  <si>
    <t>1) 유입성상, 제거효율별 추천공정 관리: 공정 편집, 조합기능
2) 유입성상과 제거율을 기반으로한 최적공정 리스트 표출 및 불러오기 기능
3) 공정 선택 기능
4) 공정 선택에 따른 개략 산출된 부지 정보와 CAPEX,OPEX 계산 정보 표출 기능</t>
  </si>
  <si>
    <t>[권장조합선택]
 1) 내용
 - 유입성상 선택에 따른 최적공정 리스트 표출 및 불러오기
 - 추천된 공정 조합을 편집 및 저장기능 (관리자 권한)
 2) 기능
 - 유입성상 및 제거효율별 추천 공정 관리
 - 유입성상 기반 최적 공정 리스트 불러오기
 - 공정 선택 기능
 3) 선택 항목 (사용자)
  - 유입수성상
 4) 관리자 항목
 - 공정 편집기능, 저장된 공정 조합 불러오기
 - 유입성상, 유입수질, 목표 제거효율 기본값 설정
 - 최적 공정 리스트 작성</t>
  </si>
  <si>
    <t>공정흐름 data 매핑자료</t>
  </si>
  <si>
    <t>물질수지도 작도(자동)</t>
  </si>
  <si>
    <t>- 공정 흐름도 자동 생성 표출
- 생성된 흐름에 대한 편집 기능(과정 재배치, 작도 등)
- 라인 연결하여 흐름 완성 기능
- PFD 출력 기능</t>
  </si>
  <si>
    <t>[물질수지도 생성]
 1) 내용
 - 권장조합 선택에 따른 물질수지도 자동 생성
 - 공정 흐름도를 구성하는 단위공정은 카테고리별로 하단에 아이콘 형태로 제공
 2) 기능 
 - 물질수지도 자동 생성 및 시각화
 - 생성된 흐름에 대한 편집
 - 공정 간 라인 연결 기능을 통해 물질수지도 및 공정별 계산
 3) 입력 항목 
 - 공정 구성 정보, 유입수질, 공정별 처리 효율
 4) 출력
 - 물질수지도, PFD 생성</t>
  </si>
  <si>
    <t>물질수지도 작도(편집)</t>
  </si>
  <si>
    <t>[물질수지도 확인 및 수정]
 1) 내용
 - 생성된 물질수지도 확인 및 편집
 - 처리수질이 만족스럽지 않을 경우 공정을 조정하여 최적화 가능
 2) 기능
 - 단위공정 Drag&amp;Drop 배치 기능
 - 색상을 활용한 흐름 정보 시각화 기능
 - 라인 연결 및 수정 기능 (연결 끊기, 재연결 등)
 - 기본 공정을 별도 화면에서 제공하고, 이를 드래그하여 배치 가능
 - 공정 작도 화면에서 기본적으로 라인 연결 기능 제공
 - 공정 작도 화면 진입 시 PFD 생성 버튼 자동 표출 및 활성화
 3) 입력 항목 
 - 공정 구성 정보, 유입수질, 공정별 처리 효율
 4) 관리자 항목 
 - 기본 권장 공정 흐름도 편집</t>
  </si>
  <si>
    <t>-최적 공정의 선택 없이, 사용자 임의대로 공정 흐름도를 작성할 수 있는 기능(Influent Types는 표기되어야함)
- 라인특성, Pretreatment, Primary, Secondary, Tertiary, Product, etc. 처리 기준으로 하단에 단위공정이 아이콘으로 표시된다.
- PFD 출력 기능</t>
  </si>
  <si>
    <t>[물질수지도 작도(수동)]
 1) 내용
 - 최적 공정을 자동 추천받지 않고, 사용자가 임의대로 공정 흐름도를 작성할 수 있도록 지원
 - 유입수 성상(Influent Types)은 필수적으로 표기
 - 공정 흐름도를 구성하는 단위공정은 카테고리별로 하단에 아이콘 형태로 제공
 2) 기능
 - 단위공정 Drag&amp;Drop 배치 기능
 - 색상을 활용한 흐름 정보 시각화 기능
 - 라인 연결 및 수정 기능 (연결 끊기, 재연결 등)
 - 기본 공정을 별도 화면에서 제공하고, 이를 드래그하여 배치 가능
 - 공정 작도 화면에서 기본적으로 라인 연결 기능 제공
 - 공정 작도 화면 진입 시 PFD 생성 버튼 자동 표출 및 활성화
 3) 입력 항목 
 - 공정 구성 정보, 유입수질, 공정별 처리 효율
 4) 관리자 항목 
 - 공정 카테고리별 편집 (관리자)</t>
  </si>
  <si>
    <t>공정 아이콘에서 상하좌우에 포인터를 부여하고 아이콘으로 들어오는것은 유입, 아이콘에서 나가는건 유출로 인식되고. 색상은 직접 변경가능하도록.
 또한, 상하좌우에 2개 이상의 포인트를 부여</t>
  </si>
  <si>
    <t>계산파트</t>
  </si>
  <si>
    <t xml:space="preserve">- 물질수지 및 용량 계산 기능 
- 각 (각 유닛 공정의 Design factor 허용 범위를 설정할 수 있는 기능) - SFR_03_006
- 기술검토서 출력기능
- 구조물 추가, 수정, 리스트 표출 기능
- 구조물리스트를 기반으로 토목건축 공사비(요율),기자재(공사비)를 기준으로 배관공사비(요율), 전기공사비(요율)을 기준으로 CAPEX를 계산하고
물질수지, 기기리스트, 기자재 공사비를 기준으로 OPEX값을 계산하는 기능
</t>
  </si>
  <si>
    <r>
      <rPr>
        <sz val="11"/>
        <color rgb="FF000000"/>
        <rFont val="함초롬바탕"/>
        <family val="1"/>
        <charset val="129"/>
      </rPr>
      <t xml:space="preserve">[물질수지 및 공정 용량계산]
 1) 내용
 - 공정흐름도 작성후 실행 버튼을 클릭하여 물질수지 계산 결과값 산출
 2) 기능
 - 유입성상, 유입수질에 따른 물질수지 및 용량계산서 산출 기능
 - 물질수지 및 용량계산서를 상용 메뉴에서 볼 수 있도록 구현
 </t>
    </r>
    <r>
      <rPr>
        <sz val="11"/>
        <color rgb="FFFF0000"/>
        <rFont val="함초롬바탕"/>
        <family val="1"/>
        <charset val="129"/>
      </rPr>
      <t xml:space="preserve">- 고농도, 저농도, 고유량, 저유량 등 유입 조건에 따라 계산값 확인할 수 있도록 구현
</t>
    </r>
    <r>
      <rPr>
        <sz val="11"/>
        <color rgb="FF000000"/>
        <rFont val="함초롬바탕"/>
        <family val="1"/>
        <charset val="129"/>
      </rPr>
      <t xml:space="preserve">
3) 관리자 항목
 - 계산식 관리 메뉴 / 계산식을 연동하여 사용할 수 있게 구현
 - 계산식 표현 방법: HLSL + python 언어 사용
 - 계산 결과 최종 값은 DB 저장 필요</t>
    </r>
  </si>
  <si>
    <t>- capex,opex 계산 정보는 설계과정 완료후 화면상에 표기, 공정에 변화가 있을 때마다 계산되어 계산값 표출
 : 기자재 단가 관리 방법 확정 필요, 외부 데이터 호출 사용 or 내부 db구축 
 : 공사비/기자재/배관공사비/전기공사 요율 data 제공 필요
 : 기술 검토서 양식 제공 필요.
 - 고농도, 저농도, 고유량, 저유량 등 유입 조건에 따라 계산값 확인할 수 있도록 구현
========250317
(1) 전역변수와 지역변수에 대한 논의 (Data In, Data Out과 Calculations)
 : 데이터 입력 및 출력(Data In/Out) 정의 및 처리 방식 논의. (공용기계의 In/Out 방식은 추가적인 논의 필요)
 : 용량계산서 내 전역변수(Global Variable)와 지역변수(Local Variable) 구분 및 적용 범위 설정.
(2) 프로그램 계산서에 대한 구조 및 로직 설명
 : 공정 선택(Process Selection) -&gt; 소요 용량 계산 -&gt; 규격 라이브러리를 활용한 최적 규격 선정 -&gt; 최종적으로 정해진 규격에 대한 검토</t>
  </si>
  <si>
    <r>
      <rPr>
        <sz val="11"/>
        <color rgb="FF000000"/>
        <rFont val="함초롬바탕"/>
        <family val="1"/>
        <charset val="129"/>
      </rPr>
      <t xml:space="preserve">1) 공정별, 유출 수질에 대한 인자값 설정 기능
  - 인자값 입력 셋팅
  - 인자값 수정, 저장, 편집 기능 
</t>
    </r>
    <r>
      <rPr>
        <sz val="11"/>
        <color rgb="FF000000"/>
        <rFont val="Microsoft YaHei"/>
        <family val="2"/>
        <charset val="134"/>
      </rPr>
      <t>2）</t>
    </r>
    <r>
      <rPr>
        <sz val="11"/>
        <color rgb="FF000000"/>
        <rFont val="맑은 고딕"/>
        <family val="3"/>
        <charset val="129"/>
      </rPr>
      <t xml:space="preserve">공정별(카테고리별) 인자 값 표출, 고정값과 변동 가능 인자 값 구분
</t>
    </r>
  </si>
  <si>
    <t>[설계 인자값 설정]
1) 내용
 - 생성된 공정 흐름도에서 각개 공정 더블클릭시, 인자값 편집 창에서 설계 인자 변경
2) 기능
 - 공정 흐름도에서 단위공정 더블클릭 시, 인자값 편집 창 표출 기능
 - Design Condition 탭에서 각 공정별 설계 현황 테이블 확인
 - Dessign Factor 탭에서 설계 인자 확인 및 수정
 - 인자값 설정 범위: 수정 가능한 값만, 설정할 수 있게 색상 구별
 - 공정별 인자값 입력 및 설정 기능
 - 고정값과 변동 가능한 인자값을 구분하여 표출
 - 수정 가능한 값만 설정 가능하도록 색상 구별
 - 설정값 반복 수정 가능 (과정값은 휘발성 데이터 처리)
3) 입력 항목
 - 공정별 설계 인자 
4) 관리자 항목
 - 각 유닛 공정의 Design factor 범위를 설정할 수 있는 기능
 - 인자값 수정, 저장, 편집 기능 제공</t>
  </si>
  <si>
    <t>Design Factor 탭에서 설계 인자값 조정 항목 리스트, 
Design Condition 탭에서 설계 현황 테이블 리스트 필요
==================
1.디폴트값 테이블 만들고 관리자의 CRUD 권한
2.위의 입출력 값처럼 프로젝트별로 사용된  인자값들을 저장한다면...
- 디폴트값  호출하고 수정 적용할 때 min max값 범위 안에서만 가능하도록 제한</t>
  </si>
  <si>
    <t>물질수지도 계산 결과 생성</t>
  </si>
  <si>
    <t>[물질수지도 계산 결과 생성]
1) 내용
 - 계산된 결과 값 확인 후 구조물, 기계 사양 수정 확인
2) 기능
 - 물질수지도 계산 기능 상시 메뉴로 표출
 - 구조물, 기계 리스트를 상용 메뉴에서 볼 수 있도록 구현(공정별 매핑된 설비 표출)
 - 설계 변경시 각 리스트에서 기계 수량, 구조물 규격(WxLxHxHe) 변경 가능하도록 구현 (설비 추가/변경/ 속성 변경 등 기능)
 - 구조물 수량, 규격에 따른 3D 연계
 - 계산시트는 Excel 또는 PDF 저장 기능
3) 출력 항목
 - 물질수지 계산시트
 - 용량계산서 시트
 - 구조물 리스트</t>
  </si>
  <si>
    <t>e) Mb 출력 관련: 엑셀로 출력 (다만, 프로그램에서는 결과값만 제공하여, 부강에서 제공된 엑셀 양식에 기입하는 형태로 진행 )</t>
  </si>
  <si>
    <t>기계/배관 용량계산</t>
  </si>
  <si>
    <t>- 기계 리스트 산출 및 표출 기능
- 기자재 단가 불러오기, 수정, 저장 기능</t>
  </si>
  <si>
    <t>[기계/배관 용량계산]
 1) 내용
 - 공정흐름도 작성후 실행 버튼을 클릭하여 기계용량, 배관 관경 계산 결과값 산출
 2) 기능
 - 물질수지 및 용량계산에 따른 기계 규격, 수량 기계 용량계산 산출 기능
 - 기계 용량계산에 따른 배관 구경 산출 기능
 - 기계리스트, 기계 용량계산서를 상용 메뉴에서 볼 수 있도록 구현
 - 기계 규격/수량, 배관 규격에 따른 3D 연계
 - 기계 규격/수량, 배관 규격에 따른 P&amp;ID 연계
 - 계산시트는 Excel 또는 PDF 저장 기능
 - 고농도, 저농도,고유량, 저유량 조건 중 기계 용량계산서에 최대 결과값 반영하여 기계리스트에 반영
3) 관리자 항목
 - 계산식 관리 메뉴 / 계산식을 연동하여 사용할 수 있게 구현
 - 계산식 표현 방법: HLSL + python 언어 사용
4) 출력 항목
 - 기계 리스트
 - 밸브 리스트
 - 기계 용량계산서</t>
  </si>
  <si>
    <t>매핑 테이블, 기계 매개변수 테이블 필요</t>
  </si>
  <si>
    <t>수리 계산</t>
  </si>
  <si>
    <t>- 수리계산서 산출 기능</t>
  </si>
  <si>
    <t>[수리 계산]
 1) 내용
 - 공정흐름도 작성후 실행 버튼을 클릭하여 수리 계산 결과값 산출
 2) 기능
 - 사용자가 F.G.L, 유입레벨 입력시 3D, 수리계산 정보에 반영
 - 3D 배치 과정에서 구조물 레벨 변경시 수리계산서 및 수리계통도에 반영
 - 구조물 규격(H, He) DATA 연계한 수리계산
 - 계산시트는 Excel 또는 PDF 저장 기능
3) 관리자 항목
 - 계산식 관리 메뉴 / 계산식을 연동하여 사용할 수 있게 구현
 - 계산식 표현 방법: HLSL + python 언어 사용
4) 출력 항목
 - 수리계산서</t>
  </si>
  <si>
    <t>전기 용량 계산</t>
  </si>
  <si>
    <t>- 전기 용량계산서 산출 기능 (저압반, 고압반)
- 부하일람표, 케이블 스케줄표, IO리스트, 계측기 리스트 산출 및 표출 기능</t>
  </si>
  <si>
    <t>[전기 용량 계산]
 1) 내용
 - 공정흐름도 작성후 실행 버튼을 클릭하여 전기 용량 계산 결과값 산출
 2) 기능
 - 기계 용량계산 동력 기준에 따른 부하일람표 산출 기능
 - 부하일람표, 전기 용량계산서를 상용 메뉴에서 볼 수 있도록 구현
 - 전기 판넬 규격에 따른 3D 연계 (전기실 배치)
 - 전기 Tary 규격에 따른 3D 연계 (경로 설정)
 - 계산시트는 Excel 또는 PDF 저장 기능
3) 관리자 항목
 - 계산식 관리 메뉴 / 계산식을 연동하여 사용할 수 있게 구현
 - 계산식 표현 방법: HLSL + python 언어 사용
 - 국가별 기준에 대한 정보가 반영될 수 있도록 Table 및 계산식 구성
4) 출력 항목
 - 계측리스트
 - 부하일람표
 - 케이블 스케줄표
 - IO 리스트
 - 전기 용량계산서</t>
  </si>
  <si>
    <t>모델 등록,수정, 삭제 기능
카테고리 분류</t>
  </si>
  <si>
    <t>[3D 구조물 관리]
1) 내용
 - 공정별 3D 모델을 등록 및 관리
 - 공정별 카테고리를 분류하여 체계적인 모델 관리
2) 기능
 - 공정별 모델관리, 모델 등록, 삭제 기능
 - 공정별 3D 카테고리 분류 기능
 - 공정별 2D 카테고리 분류 기능 (수리계통도, 심볼)
 - 표준 레이아웃 배치 설정 및 관리 기능(구조물, 기계)
 - ROOM, BOX 설정 및 관리 기능(구조물, 기계)
 - WAI Designer에 업로드
3) 관리자 항목
 - 3D 모델 파일 (Revit)
 - 표준 레이아웃 배치 데이터 관리
 - 공정별 카테고리 항목
 - WAI Designer에 업로드 및 적용</t>
  </si>
  <si>
    <t>-매핑 테이블 필요
- 신규 3D 모델 등록시 Tag ID 자동 생성 여부?
- Box 라이브러리
 : 기계 대수 변경을 매개변수를 통해 조정 가능하도록 설정  =&gt; 3개의 Box(기계 3대)로 구성된 1개 세트를 미리 라이브러리에 저장하여 사용   - 가능 (배치 간격은 관리자가 사전 조정하며, 사용자가 변경 가능)
===250226
- 구조물 오픈홀 default 1개 적용
   ; 기본 오픈홀 규격은 800mm x 800mm 
   ; 왼쪽 모서리에 자동 적용 후 필요에 따라 사용자 수동 재배치 
   ; 오픈홀 위치 재배치, 규격 변경, 삭제, 추가 등 가능하도록 반영 
- 수중 기계의 경우 해당 규격별 오픈홀 적용
   ; 해당 기계는 수중펌프, 수중믹서, 수중 포기기, 상등수배출장치, 수문
   ; 해당 기계 배치 시 기계 규격에 따른 오픈홀 생성되도록  반영
- 모든 기계는 BOX 기준으로 배치 적용
  ; BOX 모듈화 상세정의 필요
- 기계 기초 BASE
 : 높이(두께) 100mm, 외형에서 상하좌우 150mm
 : 한 대 기준으로 base 구성
 : 수중펌프; 탈착장치 base, 수중 믹서; 인양장치 base, 수중포기기; 별도 base 없음</t>
  </si>
  <si>
    <t>설비 모델 관리
(기계, 배관, 전기판넬, 전기 Tray)</t>
  </si>
  <si>
    <t>[3D 설비 관리 - 기계, 배관, 전기판넬, 전기 Tary]
1) 내용
 - 공정별 3D 모델을 등록 및 관리
 - 공정별 카테고리를 분류하여 체계적인 모델 관리
2) 기능
 - 공정별 모델관리, 모델 등록, 삭제 기능
 - 공정별 3D 카테고리 분류 기능 (기계, 배관, 플랜지, 판넬 Tray 등)
 - 공정별 2D 카테고리 분류 기능 (범례, 심볼)
 - 표준 레이아웃 배치 설정 및 관리 기능 (구조물, 기계)
 - ROOM, BOX 설정 및 관리 기능(구조물, 기계)
 - WAI Designer에 업로드
3) 관리자 항목
 - 3D 모델 파일 (Revit)
 - 표준 레이아웃 배치 데이터 관리
 - 공정별 카테고리 항목
 - WAI Designer에 업로드 및 적용</t>
  </si>
  <si>
    <t>속성정보를 매핑테이블에 업로드하여, 심볼과 3d 구조물을 매핑하는 기능</t>
  </si>
  <si>
    <t>[속성정보 매핑테이블(Mapping Table)]
1) 내용
'- 공정과 연동된 매핑테이블로 관리하여 일관된 데이터 적용
- 매핑키, tag id 등 부여 방식 표준화하여 데이터 정합성 유지
2) 기능
 - 속성정보 업로드 및 매핑 기능
 - 심볼과 3D 구조물 매핑 기능
 - 공정과 연동된 매핑테이블 관리 기능
 - 매핑 키, Tag ID 생성 및 표준화
 - 매핑테이블에 따른 속성 정보를 WAI Designer에 불러오기
3) 관리자 항목
 - 속성정보 매핑테이블 업로드 및 관리
 - 매핑 키 및 Tag ID 생성 및 수정</t>
  </si>
  <si>
    <r>
      <rPr>
        <sz val="11"/>
        <color rgb="FF000000"/>
        <rFont val="함초롬바탕"/>
        <family val="1"/>
        <charset val="129"/>
      </rPr>
      <t xml:space="preserve">매핑테이블 양식 필요
</t>
    </r>
    <r>
      <rPr>
        <sz val="11"/>
        <color rgb="FFFF0000"/>
        <rFont val="함초롬바탕"/>
        <family val="1"/>
        <charset val="129"/>
      </rPr>
      <t>매핑키, Tag ID 부여 방식(자동 생성 여부?)</t>
    </r>
  </si>
  <si>
    <t>3D 시설물 배치
(3D 편집기)</t>
  </si>
  <si>
    <t>모델(구조물, 기기) 자동 배치</t>
  </si>
  <si>
    <t>-공정 작도에서 설정된 정보를 반영하여 3D모델 자동배치 기능
- 자동 배치된 상태에서 사용자 조정 기능</t>
  </si>
  <si>
    <t>[3D 모델 자동 배치]
1) 내용
 - 공종별 용량계산서 산출 결과에 따른 표준 레이아웃 자동 배치
 - 자동배치 범위는 구조믈레이아웃, 기계배치, 배관경로, 전기 Tray 경로
 - 사전에 등록된 모델을 불러오며, 유입성상, 공정정보,구조물, 기계 등 결과값에 따라 규격, 수량 반영
 - 프로젝트 특성에 따라 사용자가 레이아웃 배치 및 규격 수정, 오픈홀 등 추가
2) 기능
 - 3D 모델 자동 배치 기능 (공정 정보 기반)
 - 사용자 조정 기능 (위치, 회전, 크기 조절)
 - 내부 설비 조작 편의를 위해 룸 투명화 기능 제공
 - 구조물 크기 조정 
 - 배치된 3D모델의 라이브러리 저장 기능
 - 시설배치부지 가시화 기능 지원
 - 모델 선택시 하이라이트 표시 기능
 - 멀티 선택 기능을 통해 여러 개의 모델을 동시에 이동, 배치 기능
 - 기계배치는 좌표계 기준 또는 벽체 기준 치수 시각화 후 스냅 배치 방식 검토
 - 기계 배치 (벽체 등 설치 간격 검토를 위한 치수 시각화 후 스냅 배치)
 - 구조물 벽체 병합 기능 제공
  : 구조물 겹치는 경우 내벽 두께 적용 / 겹치지 않는 경우 외벽 두께 적용
 - 구조물 하부슬라브 배치 및 편집 기능 제공
  : 구조물 배치 후 하부슬라브 생성 방식 적용
  : 하부슬라브 높이는 토목구조물 설정 파트에서 부여
 - 구조물 두께 설정 (벽체, 슬라브)
 - 배치 형태 CASE 미리보기와 사용자 선택하여 일괄 배치
 - 3D Markup 기능 활용 (Door, 계단실, 판넬 등)
 - 3D 정보 물량 산출에 활용
 - 수리 정보 불러오기
  : 수리 정보 따라 Elevation Level 표기
 - 3D 파일 저장
3) 관리자 항목
 - 배치된 3D 모델의 관리자 페이지 등록 활용
4) 출력 항목
 - 3D 시설 배치도(구조물일반도, 기계, 전기, 배관)</t>
  </si>
  <si>
    <t>Custom
모델(구조물, 기기) 수동 배치</t>
  </si>
  <si>
    <t>- 계산파트에서 넘어온 공정 기준으로 오른쪽 탭(3D마크업)에 3D리스트가 나타난다 
(탭1_용량계산서 시트 순서대로 배치된 3D 리스트, 탭2_다른 공정 3D 리스트, 탭3_기자재 3D 리스트 등)
- 3D 리스트에서 Drag and drop하여 기자재 배치(BOX): 오른쪽 탭3(3D마크업)에서 Drag and drop하였을 때 가장 가까운 벽체와의 거리값이 나타나 확인하면서 자유롭게 배치한다(거리에 대한 스냅 간격 1,5,10,50,100,500mm)
BOX내 기자재는 프로그램 내 편집 제한(모델별 구성)
- 3D 리스트에서 Drag and drop하여 구조물을 배치한다(ROOM):
  1) drag and drop 한 대상의 자리 반투명화되고 배치 후 반투명화된 대상을 클릭시 해당 구조물이 하이라이트된다.
2) 구조물 배치 시 마그네틱 기능이 활성화된다(이동 간격 100mm, 간격 설정 가능)</t>
  </si>
  <si>
    <t>[3D 모델 Custom 배치]
1) 내용
 - 공종별 용량계산에서 전달된 계산결과 기준으로 3D 모델 리스트를 오른쪽 탭(3D 마크업)에 표시
 - 3D 탭 리스트에서 Drag &amp; Drop 방식으로 기자재 및 구조물 배치
 - 탭 구성
    탭1: ROOM(구조물+기계) 3D 리스트
    탭2: BOX(기계) 3D 리스트
    탭3 : 일반적인 3D 리스트
2) 기능
 - 공정 기준으로 3D 리스트 자동 생성 및 표시
 - 물질수지도 공정 변경 또는 추가 시 3D Mark UP에 모델링 추가
 - Drag &amp; Drop을 통한 기자재 및 구조물 배치
 - 벽체와의 거리값 자동 계산 및 표시
 - 거리 스냅 간격 선택 기능 (1, 5, 10, 50, 100, 500mm)
 - 배치된 대상 반투명 처리 및 클릭 시 하이라이트 기능
 - 마그네틱 기능 활성화 (이동 간격 100mm, 사용자 조정 가능)
 - 수리 정보 불러오기
   : 수리 정보 따라 Elevation Level 표기
 - 3D 파일저장
3) 관리자 항목
 - 배치된 3D 모델의 관리자 페이지 등록 활용
4) 출력 항목
 - 3D 시설 배치도(구조물일반도, 기계)</t>
  </si>
  <si>
    <t>3D 탭 항목 리스트 필요</t>
  </si>
  <si>
    <t>부지 정보 업로드</t>
  </si>
  <si>
    <t xml:space="preserve"> - 부지 가시화 
 1) [제공 부지가 있는 경우]
CAD 도면 또는 부지 정보를 반영하여 Plan view 기준으로 (0,0,0)위치에 반투명으로 제공 부지가 표현된다
또는 이미지 파일을 Plan view 기준으로 (0,0,0)위치에 반투명으로 제공 부지가 표현된다
 2) [제공 부지가 없는 경우]
Plan view 기준으로 (0,0,0) 위치에 100x100m 사이즈의 반투명 부지가 표현된다
해당 부지 규격은 가로/세로 치수가 표현되고 변경 가능(drag 방식은 상단/우측 모서리선만 활성화하여 치수를 변경할 수 있게 하고,  가로/세로 치수값도 직접 입력하여 변경 가능)</t>
  </si>
  <si>
    <t>모델 배치, 규격 조정</t>
  </si>
  <si>
    <t>배치된 모델 조정</t>
  </si>
  <si>
    <t>[모델 배치, 규격 정보]
1) 내용
 - 배치된 3D 모델의 조정 (구조물, 기계, 배관, 전기 Tray)
2) 기능
 - BKT_SFR_05_001,BKT_SFR_05_002 기능 동일</t>
  </si>
  <si>
    <t>[3D 속성편집]
1) 내용
 - 3D 더블 클릭시 해당 속성 정보 가시화
2) 기능
 - 속성 편집창 표출
 - 속성 칼럼 추가, 내용 추가 기능
 - 속성 수정 기능
 - 속성정보 수정시 3D 반영 (속성정보 수정은 리스트 화면에서 진행)
 - 구조물 속성정보 표현
   : 폭, 길이, 높이, 수위
   : 소요용량, 적용용량, HRT(체류시간)
   : 설계 인자값 표현
 - 기계 속성정보 표현
   : 기기번호
   : 품명, 사양, 수량
   : Vendor, 동력, 성능곡선표
   : Openhole 필요여부 check
3) 관리자 항목
 - 속성정보 수정/추가/편집</t>
  </si>
  <si>
    <t>구조물별 속성정보 리스트 필요</t>
  </si>
  <si>
    <t>3D 구조물 추가 편집</t>
  </si>
  <si>
    <t>-레이아웃 정렬: 반응조 및 저류조(용량계산서에서 계산된 구조물)의 경우 Total Area는 고정되어있고 W를 조정할 시 Area가 유지되도록 L이 자동으로 맞춰지도록 조정되어야함. (소수점은 반올림)
- 오픈홀 조정:3D 구조물 내 오픈홀을 클릭하여 규격을 조정한다(W,L.H 입력) 
3D 리스트에 있는 오픈홀을 drag and drop하여 원하는 위치에 배치한다
- 용량 계산 연동: 조정한 기준으로 용량계산 반영 필요
- 구조물 모델 사이즈 조정: 클릭또는 선택 작업을 통하여, L=( ), W=(  ), H=(  ) 설정으로 구조물 한 개 객체 로 보고 사이즈 업다운 진행</t>
  </si>
  <si>
    <t>[3D 구조물 추가, 편집]
1) 내용
 - 레이아웃 정렬 및 최적화를 위한 단계
 - 구조물 규격 조정과 변경된 사항 용량계산서 연동 확인
 - 공동구 등 추가 구조물 배치
2) 기능
 - 반응조 및 저류조의 경우, 용량계산서에서 계산된 Total Area를 유지하면서 W(폭) 조정 시 L(길이) 값이 자동으로 조정됨 (소수점 반올림 적용)
 : 반응조 및 저류조 자동 길이 조정 (W 변경 시 L 자동 계산)
 - 레이아웃 정렬 기능 (왼쪽, 오른쪽, 위, 아래, 가운데 맞춤 등)
 - 레이아웃 최적화 기능 (용량계산서 반영)
 - 변경된 사항 용량계산서 연동 확인
 : 조정된 구조물 규격을 용량계산서에서 재계산
 - 오픈홀 
 : 오픈홀 크기 조정 기능 (W, L, H 입력 방식)
 : 오픈홀 Drag &amp; Drop 배치 기능
 - 공동구
 : 공동구 Drag &amp; Drop 배치 기능
 : 공동구 등 개별 구조물 크기 조정 기능 (L, W, H 입력 방식)
 - 사용자 지정 벽체 삭제</t>
  </si>
  <si>
    <t>-[확인용]
Design factor, 제원 정보 탭으로 구성
- [ROOM]_레이아웃에 영향을 주는 대상(구조물이 필수인 대상)
계단, empty room(기자재용)
[BOX]
기자재
- 벽체 처리: 내부 벽체 개념없이, 외부 벽체로 인식하고, 벽체와 벽체 맞닿는 부분은 간격 설정으로 처리(박스와 박스사이 이격거리 개념으로 처리)()</t>
  </si>
  <si>
    <t xml:space="preserve">-구조물 모델 사이즈 조정, '-벽체처리 부분 추가:20250306.docx 회의록 참조 </t>
  </si>
  <si>
    <t>-  배치 완료된 상태가 반영된 M/B, Calc sheets, Design Summary, Structure List, Equip List를 표출(별도 팝업창 또는 상단 메뉴바에서, 확인용으로 수정불가)
- 공동구 배치: 
3D 리스트에서 Drag and drop하여 공동구를 배치한다
1안) 사각형태의 공동구를 drag and drop하여 사이즈를 조정하고 모든 벽체를 활성/비활성(보이기/숨기기) 모드로 조정한다
2안) 다양한 형태의 공동구 리스트 중 원하는 형태의 공동구를 drag and drop하여 사이즈를 조정한다.
#공동구 더블 클릭 시 해당 속성정보 팝업이 뜬다(명칭/건축,토목/x,y,z축/W,L,H/부피 변경 시 3D에 반영된다)
- 추가 구조물 배치:3D 리스트에서 Drag and drop하여 추가 구조물을 배치한다(ROOM)
 (*계산파트에서 넘어온 공정을 제외한 공정을 추가할 경우 오른쪽 탭2(3D 마크업)에서 drag and drop하여 배치한다)</t>
  </si>
  <si>
    <t>배관자동라우팅</t>
  </si>
  <si>
    <t>- 설비별 정해진 routing 로직에 따라 배관이 자동 배치 된다.</t>
  </si>
  <si>
    <t>[배관 자동 라우팅]
1) 내용
 - 설비별 정해진 Routing 로직에 따라 자동 배관 배치
 - 사용자가 기계 노즐과 구조물 클릭하면 배관 생성
 - P&amp;ID 도면에 따른 배관 설계 모듈 연동 → 도면에 설계된 배관 경로를 기반으로 배관 자동 생성 및 배치
 - 배관의 속성정보를 관리하기 위한 속성정보 테이블 구축
 - POC(Point of Connection) 개념 도입 → 벽체에 POC(노즐 배치) 설정 후 From → To 지정하면 배관 생성
2) 기능
 - 설비별 지정된 배관 Routing 로직을 기반으로 자동 배관 배치 기능
 - 최적 배관 경로 생성 기능 (시작점, 끝점 기준 배관 생성)
 - P&amp;ID 도면을 반영하여 배관 자동 생성 및 배치 기능(표준배치일 경우)
 - 속성정보를 관리하는 데이터 테이블 구축 기능
 - POC 기반 배관 연결 설정 (벽체, 기계, 구조물 간 배관 연결)
 - 매핑 테이블을 활용한 배관 ID 자동 매칭 기능
 - 3D 정보 물량 산출에 활용
3) 관리자 항목
 - 배관 Routing 설정
 - 배관의 속성정보를 관리하는 데이터 테이블
 - From -To 정보를 관리하는 데이터 테이블
 - POC 정보 (위치, From-To 정보)
4) 출력 항목
 - 3D 시설 배치도(배관)</t>
  </si>
  <si>
    <t xml:space="preserve"> p&amp;id 도면에 따른 배관 설계 파트로 넘어가면, 도면에 설계된 내용대로 배관 생성 및 배치 기능 구현
- 배관 속성정보 테이블 구축
'===250110
- 벽체에 POC(WAI에서는 노즐 배치)라는 개념을 도입하여 From-&gt;To 정보를 입력 (POC위치는 어디든 될 수 있음)
  - "POC-&gt;기계"의 정보를 기반으로 배관의 정보가 생성되고 P&amp;ID상의 태그네임과 매핑 테이블에서 비교하여 배관 ID매칭</t>
  </si>
  <si>
    <t>배관 라우팅 조정</t>
  </si>
  <si>
    <t xml:space="preserve">- 연결할 구조물(ROOM)의 sleeve nozzle 2개(from/to)를 클릭하여 배관을 생성한다
- 구조물(ROOM)에 P&amp;ID정보가 포함된 sleeve nozzle 2개(from/to)를 클릭하면 파이프 정보, 밸브 등 P&amp;ID정보가 반영된 배관이 최적경로로 생성된다 </t>
  </si>
  <si>
    <t>[배관 라우팅 조정]
1) 내용
 - 배관 간섭 발생 시 조정
2) 기능
 - 기계와 배관 간섭 감지 및 조정 기능
 - 기계 리스트 변경 시 P&amp;ID와 동기화하여 변경 사항 안내 기능
 - Fitting 류 사용자 추가 및 편집
 - 각도 및 위치 변경 기능
3) 관리자 항목
 - P&amp;ID 정보 반영 및 수정</t>
  </si>
  <si>
    <t>- 배관 Routing 또는 기계리스트 변경시 P&amp;ID에서 변경사항에 대한 문구 표출</t>
  </si>
  <si>
    <t>전기실 배치</t>
  </si>
  <si>
    <t xml:space="preserve">- 전기실 판넬 배치 기능
- 전기 용량 계산서에서 산출된 판넬 외함 규격 호출하여 3D 배치
- MCC 구성도에서 반영된 외함 규격을 3D 반영 
- 배치 완료된 3D 도면은 2D 산출 </t>
  </si>
  <si>
    <t>[전기실 배치]
1) 내용
 - 전기실 판넬 배치 기능 제공
 - 전기 용량 계산서에서 산출된 판넬 외함 규격을 호출하여 3D 배치
 - MCC 구성도(BKT_SFR_07_003)에 반영된 외함 규격을 3D 모델에 적용하고
 - 배치 완료된 3D 도면을 2D로 변환하여 산출
2) 기능
 - 전기실 내 판넬 배치 기능(고압반, 저압반, TR)
 - 전기 용량 계산서 기반으로 자동 판넬 크기 적용 기능
 - MCC 구성도 반영하여 3D 모델에 외함 규격 자동 적용 기능
 - 3D 배치 완료 후 2D 도면 산출 기능
 - 3D 파일저장
3) 관리자 항목
 - 외함 규격 설정
4) 출력 항목
 - 3D 시설 배치도(전기실)</t>
  </si>
  <si>
    <t>전기 Tray 경로 설정 및 조정</t>
  </si>
  <si>
    <t xml:space="preserve"> - PANEL 3D 배치 후 , 3D로 전기 Tray 경로 그린 후 2D 산출
 - 전기 Tray 규격은 전기용량계산서에서 산출
 - 전기 케이블 스케줄 물량산출에 반영</t>
  </si>
  <si>
    <t>[전기 Tray 경로 설정 및 조정]
1) 내용
 - 전기 판넬 3D 배치 완료 후, 3D에서 전기 Tray 경로를 설정 및 조정
 - 설정된 Tray 경로를 2D 도면으로 산출
 - 전기 Tray 규격은 전기 용량 계산서에서 정보를 받아 구현
2) 기능
 - 전기 Tray 경로 3D 모델링 기능
 - 전기 용량 계산서 기반으로 Tray 규격 자동 적용 기능
 - 3D에서 설정된 Tray 경로를 2D 도면으로 변환하여 출력
 - 3D 정보 물량 산출에 활용
3) 관리자 항목
 - Tary 규격 설정
4) 출력 항목
 - 3D 시설 배치도(전기 Tray)</t>
  </si>
  <si>
    <t>2D 도면 생성
(SVG 편집기)</t>
  </si>
  <si>
    <t>- 용량계산서 및 기기리스트의 내용을 기반으로 PFD 도면을 불러온다.
(지정된 도면 번호를 갖는 도면들 불러오기)
- From-To 정보를 바탕으로 불러온 PFD 도면들을 일렬로 배치/조합한다. 
(한줄로 배치가 불가능할 경우, 두줄로 배치한다.)
- 배치/조합된 PFD 도면 상에 From-To 정보를 바탕으로 기기 번호/명칭이 자동으로 기입된다.
(지정된 번호가 밸브리스트 정보 DB Table과 매칭하여 변환되어 출력되는 방식)"
- 도곽을 이부분에서 삽입되는 것으로 할까, 미리 P&amp;ID에 작성해둘까
 1) 미리 P&amp;ID에 작성될 경우, 정보들이 반영되게 할 수 있음 (작성일자, 내용 등)
 2) 삽입할 경우, 정보들을 사용자가 직접 작성해야 함"
변경이 완료된 도면이 화면 상에 팝업 형태로 출력된다.
'- PFD 카드 조합: 공정 흐름에 맞는 카드를 자동생성
- 사용자 격제 맞게 카드를 Drag &amp; Drop으로 조합/배치 기능
- 작성 완료된 PFD 저장 기능</t>
  </si>
  <si>
    <t>[PFD 도면 생성]
1) 내용
 - 용량계산서 및 기기리스트를 기반으로 PFD 도면을 자동으로 생성
 - 생성된 도면을 팝업 형태로 화면에 출력
2) 기능
 - From-To 정보를 바탕으로 도면을 배치 및 조합
 - 자동 배치 및 사용자 배치 기능 선택 가능
 - 수조명, 기기명 자동 명칭 기입 (구조물, 기계리스트와 매칭)
 - 공정 흐름에 맞춘 PFD 카드 자동 생성
 - 사용자 맞춤형 Drag &amp; Drop 배치 기능 지원
 - 물질수지 테이블 추가(온/오프 기능 지원)
 - 공정 Line 수정, 편집
 - 도곽(Title Board) 배치 (BKT_SFR_06_008)
 - PDF, DXF 저장 기능
3) 관리자 항목
 - PFD 심볼 및 라이브러리 관리
 - 공정 From - To 정보
4) 출력 항목
 - PFD 도면</t>
  </si>
  <si>
    <t>- 2열배치
 : 2열 배치 어려움, 1열 배치 후 사용자 조정
-1. 자동 배치
   2.카드 배치 (사용자 배치)
- 밸브 : 모든 밸브 삭제
배관 : 불필요
물질수지 테이블 : 추가
(온/오프 기능)
기기 대수 : 1대 통일
(최대한 진짜 흐름만 나타날 수 있도록)</t>
  </si>
  <si>
    <t>-용량계산서 및 기기리스트의 내용을 기반으로 P&amp;ID 도면을 불러온다.
(지정된 도면 번호를 갖는 도면들 불러오기)
- From-To 정보: 불러온 P&amp;ID 도면 상에 From-To 정보를 바탕으로 도면 번호/명칭, 기기 번호/명칭이 자동으로 기입된다.
-밸브리스트: 불러온 P&amp;ID 도면 상에 밸브리스트 정보를 바탕으로 밸브 번호/명칭이 자동으로 기입된다.
-계측기 리스트:불러온 P&amp;ID 도면 상에 계측기리스트 정보를 바탕으로 계측기 번호/명칭이 자동으로 기입된다. 
- 배관리스트:불러온 P&amp;ID 도면 상에 배관리스트 정보를 바탕으로 배관의 관경/사양이 자동으로 기입된다.
- 펀넬: 불러온 P&amp;ID 도면 상에 판넬 정보를 바탕으로 판넬 번호가 자동으로 기입된다.
- 도곽: 도곽을 이부분에서 삽입되는 것으로 할까, 미리 P&amp;ID에 작성해둘까
 1) 미리 P&amp;ID에 작성될 경우, 정보들이 반영되게 할 수 있음 (작성일자, 내용 등)
 2) 삽입할 경우, 정보들을 사용자가 직접 작성해야 함
* (지정된 번호가 From-To 정보, 밸브리스트, 계측기 리스트, 배관리스트, 판넬 정보 DB Table과 매칭하여 변환되어 출력되는 방식)</t>
  </si>
  <si>
    <t>[P&amp;ID 도면 생성]
1) 내용
 - 용량계산서 및 기기리스트를 기반으로 P&amp;ID 도면 자동 생성
 - From-To 정보, 밸브리스트, 계측기 리스트, 배관리스트 정보가 자동 입력됨
 - P&amp;ID와 3D, 배관 라우팅 간의 데이터 연계를 유지하여 일관성 확보
 - P&amp;ID 라이브러리가 없을 경우 관리자에게 메세지 전달
2) 기능
 - P&amp;ID 자동 생성
 : 매핑테이블 (용량계산서 및 기기리스트 정보)에서 지정된 도면 라이브러리에서 불러와 자동 생성
 : From-To 정보를 활용하여 도면 내 장비 및 배관 정보 자동 입력
 - 자동 정보 기입(매핑테이블 활용)
 : 밸브리스트 기반으로 밸브 번호/명칭 자동 입력
 : 계측기리스트 기반으로 계측기 번호/명칭 자동 입력
 : 배관리스트 기반으로 배관 관경/사양 자동 입력
 - Legend 심볼 도면 자동 정렬
 : 프로젝트에 사용되는 심볼만 나타내고 자동정렬
 - 설비 및 배관 연결관계 자동 생성
   : 설비 태그 자동 부여 및 From-To 정보를 통한 생성
 - P&amp;ID 실행에도 3D 시설배치 작업 진행 중일 경우 3D 시설배치 작업 상태 유지
 - 도곽(Title Board) 배치 (BKT_SFR_06_008)
 - PDF, DXF 저장 기능
3) 관리자 항목
 - P&amp;ID 심볼 및 라이브러리 관리
 - 공정 From - To 정보 매핑테이블
4) 출력 항목
 - P&amp;ID 도면</t>
  </si>
  <si>
    <t>===250226
1. P&amp;ID와 자유도
- 배관 라우팅 및 기계 리스트 수량 변경 시 P&amp;ID와의 매칭
 =&gt; 상위에서 하위로 흐름이 이어지는 구조를 기준으로 설정. 즉, 배관 라우팅 및 기계 대수 수정이 필요할 경우, 상위 작업인 기계 리스트나 공정 흐름도를 수정하여 공정 계산서, P&amp;ID, 3D 간 일치 유지 (단, 3D 작업이 진행 중인 사항은 현 상태 유지)
2. P&amp;ID와 배관 루팅
3D에서 배관 루팅을 작성할 때, From-To 정보를 배관 리스트에서 가져오는 방식 적용(당초 P&amp;ID → 배관리스트에서 가져오는 방식으로 변경)
 =&gt; 사전에 정해진 배관 루팅만 작성 가능하도록 프로그래밍 (P&amp;ID 및 3D는 모두 공정 계산서 및 배관 링크시트에서 생성된 정보를 바탕으로 작성)
Legend 심볼 도면 자동정렬
설비와 배관 연결관계 및 설비 태그 자동 생성</t>
  </si>
  <si>
    <t>ㅑ</t>
  </si>
  <si>
    <t>-수리계통 정보 생성:계산파트 넘어온 정보 기준으로 하단에 수리계통도가 나타난다
(구조물 속성정보 변경 시 반영된 수리계통도가 나타난다)
- 수리정보 변경 시 Process Plan으로 돌아가 수정한다??
(storage tank 추가 등) -&gt;계산파트 공정작도 단계(D40)로 돌아간다
- Process Plan 수정 후 Design Plan으로 돌아온다:현재까지 작성한 레이아웃 배치정보는 유지된다(D67)
추가된 구조물이 오른쪽 탭(3D마크업)에 표기된다</t>
  </si>
  <si>
    <t>[수리계통도 생성]
1) 내용
 - 수리 계산에서 전달된 정보를 기준으로 수리계통도를 자동 생성
 - 3D 시설배치시 구조물 속성정보(H,He) 변경 시 계통도에 반영
 - 유입~유출 순서대로 계통도 심볼 배치
2) 기능
 - 수리계통 정보 자동 생성
    : 수리 계산에서 제공된 데이터를 바탕으로 수리계통도 자동 생성
    : 구조물 속성정보가 변경될 경우, 변경된 내용이 즉시 반영
 - 공정 수정 프로세스 연계
   : 수리 계산 정보 변경 시, 3D 시설배치 단계로 돌아가 수정
   : 3D 시설배치 변경 시 수리 계산 정보에 반영
   : 수리 계산 실행에도 작성된 레이아웃 배치정보 유지
 - 계통도 심볼 배치 및 수위 정보 반영
   : 유입~유출 흐름에 따라 심볼 자동 배치
   : 구조물 높이 Scale을 반영한 배치
   : 수리계산서 결과값을 기반으로 Water Level 표기
   : 구조물 정보 및 레이아웃 배치에 따라 Elevation Level 표기
 - 도곽(Title Board) 배치 (BKT_SFR_06_008)
 - PDF, DXF 저장 기능
3) 관리자 항목
 - 수리계통도 심볼 및 라이브러리 관리
 - 공정 From - To 정보 매핑테이블
4) 출력 항목
 - 수리계통도(2D) 도면</t>
  </si>
  <si>
    <t>- 유입 ~ 유출 순서대로 계통도 Symbol 배치
- 구조물 높이 Scale 반영한 배치
- 수리계산서 결과값에 맞는 Water Level 표기
- 구조물 정보, 레이아웃 배치에 맞는 Elevation Level 표기
- 사용자 설정값 (Final Ground Level, 지상배치, 지하배치)에 따른
레이아웃 배치 적용과 수리계통도 작성
 - 3D 정보 불러오기</t>
  </si>
  <si>
    <t>- 시설배치 부지 정보와 3D 시설 배치를 같이 보여준다
- 계획 평면도(2D)를 생성 한다</t>
  </si>
  <si>
    <t>[계획평면도 생성]
1) 내용
- 설계 화면에서 시설배치 부지 정보와 3D 시설 배치를 같이 확인
- 계획 평면도(2D) 생성
2) 주요 기능
 - 시설 배치 부지 정보와 3D 시설 배치 동시 표출
   : 설계 화면에서 부지 정보(BKT_SFR_05_003)와 3D 시설 배치 정보를 함께 확인 가능
   : 부지 정보 및 시설 배치를 3D 동기화하여 가시성 확보
 - 계획 평면도(2D) 자동 생성
   : 배치된 3D 시설 정보를 기반으로 2D 계획 평면도 자동 생성
   : 부지 내 시설 배치 정보 반영
   : 구조물 상부 평면도 표현
 - 도곽(Title Board) 배치 (BKT_SFR_06_008)
 - PDF, DXF 저장 기능
3) 출력 항목
 - 계획평면도(2D) 도면</t>
  </si>
  <si>
    <t>BKT_SFR_06_005</t>
  </si>
  <si>
    <t>- 3D 배치 완료 후 구조물 평단면도(2D)를 생성 한다
- 3D에서 평,단면도 위치 설정에 따라 2D 생성 
- E.L 표기</t>
  </si>
  <si>
    <t>[구조물 평단면도 생성]
1) 내용
 - 3D 배치가 완료된 후, 자동으로 구조물의 평단면도(2D) 생성
 - 3D 모델에서 설정된 평, 단면 위치를 기반으로 2D 도면을 생성
2) 기능
 - 3D 배치 완료 후 평단면도 생성
 - 평, 단면 위치 설정 기능
   : 사용자가 3D 모델에서 평면 및 단면 위치를 설정하면 해당 정보 기반으로 2D 생성
   : 필요 시 여러 개의 평,단면 생성 가능
 - 미리 설정한 치수 기준에 맞춰 치수선 기입 기능
 - E.L, F.G.L 표기 기능
 - 수위 표기 기능
 - 구조물 이름, 기기이름 표기
 - 도곽(Title Board) 배치 (BKT_SFR_06_008)
 - PDF, DXF 저장 기능
3) 관리자 항목
 - 심볼 및 치수선 관리
 - 도면 스타일 
4) 출력 항목
 - 구조물평단면도(2D) 도면</t>
  </si>
  <si>
    <t>dxf 파일에서 CAD layer 설정 가능 여부 논의 필요</t>
  </si>
  <si>
    <t>BKT_SFR_06_006</t>
  </si>
  <si>
    <t>- 3D 배치 완료 후 기계,배관 평단면도(2D)를 생성 한다
- 3D에서 평,단면도 위치 설정에 따라 2D 생성 
- E.L 표기</t>
  </si>
  <si>
    <t>[기계,배관 평단면도 생성]
1) 내용
 - 3D 배치가 완료된 후, 자동으로 기계,배관의 평단면도(2D) 생성
 - 3D 모델에서 설정된 평, 단면 위치를 기반으로 2D 도면을 생성
2) 기능
 - 3D 배치 완료 후 평단면도 생성
 - 평, 단면 위치 설정 기능
   : 사용자가 3D 모델에서 평면 및 단면 위치를 설정하면 해당 정보 기반으로 2D 생성
   : 필요 시 여러 개의 평,단면 생성 가능
 - 미리 설정한 치수 기준에 맞춰 치수선 기입 기능
 - E.L, F.G.L 표기 기능
 - 수위 표기 기능
 - 구조물 이름, 기계이름 표기
 - 기계, 배관 ON/OFF 기능
 - 도곽(Title Board) 배치 (BKT_SFR_06_008)
 - PDF, DXF 저장 기능
3) 관리자 항목
 - 심볼 및 치수선 관리
 - 도면 스타일 
4) 출력 항목
 - 구조물평단면도(2D) 도면</t>
  </si>
  <si>
    <t>BKT_SFR_06_007</t>
  </si>
  <si>
    <t xml:space="preserve"> - 3D 배관 배치에 따라 Isometric 도면 생성
 - 해당 범위의 B.O.M Table 표현</t>
  </si>
  <si>
    <t>[Isometric 생성]
1) 내용
 - 3D 배관 배치 정보를 기반으로 Isometric 도면 생성
 - 해당 배관 범위의 B.O.M (Bill of Materials) Table을 함께 표현
2) 기능
 - 3D 모델에서 배관 정보를 가져와서 등각투영(Isometric) 도면 생성
 - 배관 경로, 관경, 피팅(Fitting) 정보 반영
 - B.O.M Table 자동 생성
 - 배관 리스트 기반으로 배관 규격, 길이, 수량 출력
 - 치수선 반영
 - 수량 산출서에 반영
 - Isometric 도면 편집 기능
  : 생성된 도면을 미리보기 및 편집 가능
  : 필요 시 수동으로 치수, 태그 정보 조정 가능
 - 도곽(Title Board) 배치 (BKT_SFR_06_008)
 - PDF, DXF 저장 기능
3) 관리자 항목
 - 심볼 및 치수선 관리
 - 도면 스타일 
4) 출력 항목
 - ISO 도면</t>
  </si>
  <si>
    <r>
      <rPr>
        <sz val="11"/>
        <color rgb="FF000000"/>
        <rFont val="함초롬바탕"/>
        <family val="1"/>
        <charset val="129"/>
      </rPr>
      <t xml:space="preserve">ISO 도면 표현 
- 2D 형태 Line생성 또는 3D 찍어내기
</t>
    </r>
    <r>
      <rPr>
        <sz val="11"/>
        <color rgb="FFFF0000"/>
        <rFont val="함초롬바탕"/>
        <family val="1"/>
        <charset val="129"/>
      </rPr>
      <t xml:space="preserve"> : 도면 생성되는 범위 설정은 어떻게 해야할지 논의 필요
</t>
    </r>
    <r>
      <rPr>
        <sz val="11"/>
        <color rgb="FF000000"/>
        <rFont val="함초롬바탕"/>
        <family val="1"/>
        <charset val="129"/>
      </rPr>
      <t xml:space="preserve">
&gt;&gt; 배관 라인은 3D 표기, From - to 시설 표현은 TEXT</t>
    </r>
  </si>
  <si>
    <t>BKT_SFR_06_008</t>
  </si>
  <si>
    <t>- P&amp;ID 검토 후 변경 사항을 반영하기 위해 기기리스트 리본을 선택한다.
(공사비와 연계하여 검토)
- 기기 수량 및 사양 조정: 기기리스트, From-To, 밸브리스트, 계측기리스트, 배관리스트, 판넬 정보들이 재산출되고 자동 저장.
- 기기리스트, From-To 정보, 밸브리스트, 계측기리스트, 배관리스트, 판넬 정보 등 내용이 연동되어 표출
-도곽(Title Board) :기본 템플릿을 제공하여, 도각내에 이미지파일(회사 CI, 주소 등)  추가 가능
- 도면 치수 자동 표출: 2D 도면 생성될때 자동으로 치수 나와야 함.(치수 적용 기준을 제공하면 검토후 구현 여부 판단) 
- 수위 표기: 도면에 수위 위치와 계산 값 표출 (각 EL 위치의 값들이 어떤 계산식을 통해서 나오는지 설명 필요)
- 2D 심볼 범례 정렬: 도면에 사용되는 심볼 정렬 필요
-	도각 내 표/내용 기입: 테이블 기능 제공/사용가능한 포멧 제공 또는 테이블을 직접 이용하여 내용을 작성할 수 있게 구현</t>
  </si>
  <si>
    <t>[도면 편집]
1) 내용
 - 산출된 2D 도면의 편집
 - 도곽, 치수, 수위, 심볼 정렬 등 편집 기능 제공
 2) 기능
 - 기기수량 및 사양 조정시, 연계된 모든 리스트 업데이트
   : 기기리스트, From-To, 밸브리스트, 계측기리스트, 배관리스트 정보 재산출
 - 도곽(Title Board) 편집 기능
   : 기본 템플릿 선택 제공
   : SCALE 조정
   : 회사 CI(로고), 주소 등 이미지 추가 가능
 - 도면 치수 자동 표출
   : 2D 도면 생성 시 자동으로 치수 표출
   : 치수 적용 기준을 설정할 수 있도록 제공 (기준 확인 후 구현 여부 판단)
 - 도면 내 사용되는 2D 심볼 자동 정렬
 - 도곽 내 표/내용 입력 기능
   : 테이블 기능 제공 → 사용자가 직접 입력 가능
   : 기본 포맷 제공 또는 테이블 기능 활용하여 내용 기입</t>
  </si>
  <si>
    <t>BKT_SFR_06_009</t>
  </si>
  <si>
    <t>-생성된  P&amp;ID - 도면을 출력. 지원 포멧: DXF,PDF,DWG
- 지정된 위치에 도면 파일 변경 저장 기능</t>
  </si>
  <si>
    <t>[도면출력]
1) 내용
 - 생성된 2D 도면을 출력하는 기능 제공
 - DXF, PDF 등 다양한 포맷으로 저장 지원
 - 지정된 위치에 도면 파일을 변경하여 저장 가능
 - 파트별 한 개의 파일에 여러 도면을 저장하는 기능 제공
2) 기능
 - 도면 포맷 변환(DXF, PDF)
 - 파일 저장 위치 설정
 - 다중 도면을 하나의 파일로 저장
3) 선택항목
 - 도면 파일명 및 저장 경로 설정
 - 출력 포맷 선택(DXF, PDF)
 - 도면 병합 여부 선택</t>
  </si>
  <si>
    <t>2D 도면 생성
(전기파트)</t>
  </si>
  <si>
    <t>부하일람표 생성</t>
  </si>
  <si>
    <t xml:space="preserve"> - 기기리스트와 기자재 DB(전기)가 연동되어 표준화된 분전반(판넬) 설계가 자동 진행된다. 
(분전반 설계에 대한 로직 구성 필요)"
- 국가별 기준에 대한 정보가 반영되어 분전반 설계가 진행
- 분전반 설계가 완료되면 부하 정보와 함께 DB Table에 저장 
- DB Table에서 정리된 Table을 2D 도면화하여 부하일람표 형식으로 생성
- 생성된 부하일람표는 팝업 형태로 출력</t>
  </si>
  <si>
    <t>[부하일람표 생성]
1) 내용
 - 전기 용량계산서의 부하일람표 정보를 2D 도면 형식의 부하일람표로 변환하여 출력
 - 생성된 부하일람표는 프로그램 내 팝업 형태로 제공
2) 기능
 - DB Table 기반 부하일람표 자동 생성(2D 도면 변환)
 - 부하일람표 팝업 출력 및 도곽 내 표, 텍스트 기입 기능 제공
 - 도곽(Title Board) 배치 (BKT_SFR_06_008)
 - PDF, DXF 저장 기능
3) 관리자 항목
 - 심볼 및 테이블 관리
 - 도면 스타일 
4) 출력 항목
 - 부하일람표(2D) 도면</t>
  </si>
  <si>
    <t>-수변전 설계 정보를 바탕으로 표준화된 모듈 형태의 블록들을 불러온다.
(모듈 형태의 블록들은 수변전설비, 고압반, 저압반, 분전반을 나타낸다.)"
-모듈 형태의 블록들은 일정한 로직에 따라 자동으로 배치된다.
(혹은 사용자가 SVG 포맷에서 직접 배치한다.)"
-모듈 형태의 블록들은 기기리스트 정보를 바탕으로 번호/명칭이 자동으로 기입된다.
(블록에 속성 정보를 바탕으로 Tag Number에 따라 라이브러리에서 심볼 변경 가능)"
-생성된 단선결선도는 팝업 형태로 출력된다.</t>
  </si>
  <si>
    <t>[수변전설비 단선결선도]
1) 내용
 - 수변전 설계 정보를 바탕으로 모듈화된 블록을 불러옴
 - 불러온 블럭들은 일정한 로직에 따라 자동배치
2) 기능
 - 수변전 설계 정보 기반 블록 자동 생성 및 배치
 - 사용자의 SVG 포맷을 통해 수정 가능
 - 번호 및 명칭 자동 입력
 - Tag Number를 활용한 표준화된 심볼 자동 변경
 - 단선결선도 팝업 출력 및 Legend 심볼 도면 지원
 - 도곽(Title Board) 배치 (BKT_SFR_06_008)
 - PDF, DXF 저장 기능
3) 관리자 항목
 - 표준화된 분류체계 및 블록 라이브러리 관리
4) 출력 항목
 - 수변전 설비 단선결선도(2D)</t>
  </si>
  <si>
    <t>Legend 심볼 도면
- 표준화 분류체계 잘 만들어야 할 듯 , 모듈형태의 블록 만들기
- 블록에 속성 정보 미리 넣어두고 결과 값(Tag number)에 따라 표준화된 라이브러리에서 심볼 변경 가능</t>
  </si>
  <si>
    <t>-MCC(전동기기동반) 설계 정보 및 기기리스트를 바탕으로 표준화된 모듈 형태의 블록들을 불러온다.
(모듈 형태의 블록들은 직입기동, 인버터, 소프트스타터 등을 나타낸다.)"
-모듈 형태의 블록들은 일정한 로직에 따라 자동으로 배치된다.
(혹은 사용자가 SVG 포맷에서 직접 배치한다.)"
-모듈 형태의 블록들은 기기리스트 정보를 바탕으로 기기 번호/명칭이 자동으로 기입된다.
(블록에 속성 정보를 바탕으로 Tag Number에 따라 라이브러리에서 심볼 변경 가능)"
-생성된 단선결선도는 팝업 형태로 출력된다.</t>
  </si>
  <si>
    <t>[MCC 단선결선도]
1) 내용
 - MCC(전동기기동반) 설계 정보, 기계리스트를 바탕으로 모듈화된 블록을 불러옴 (모듈 형태의 블록들은 직입기동, 인버터, 소프트스타터 등)
 - 불러온 블럭들은 일정한 로직에 따라 자동배치
2) 기능
 - MCC 설계 정보 기반 블록 자동 생성 및 배치
 - 사용자의 SVG 포맷을 통해 수정 가능
 - 번호 및 명칭 자동 입력
 - Tag Number를 활용한 표준화된 심볼 자동 변경
 - 단선결선도 팝업 출력 및 Legend 심볼 도면 지원
 - 도곽(Title Board) 배치 (BKT_SFR_06_008)
 - PDF, DXF 저장 기능
3) 관리자 항목
 - 표준화된 분류체계 및 블록 라이브러리 관리
4) 출력 항목
 - MCC 단선결선도(2D)</t>
  </si>
  <si>
    <t>- MCC모듈 배치:
  1) 3D 형태의 MCC반에 MCC 모듈 결합.(MCC반 및 판넬 배치 정보 생성)
(기본적인 MCC반의 형태는 표현되며 MCC반에 모듈을 끼어넣는 형태로 진행된다.)
  2) 완성된 MCC 반은 3D 형태로 저장된다.
(3D 형태의 MCC반은 평면도 작성에 사용되며, 추후 2D 도면으로 산출된다.)
- 3D 기기배관도면:
- MCC 구성도: 3D MCC반, 3D 판넬, 트레이, 전선관 및 전선</t>
  </si>
  <si>
    <t>[MCC(전동기기동반) 구성도 생성]
1) 내용
 - 2D 기반으로 MCC 모듈을 결합하여 배치
 - MCC반 및 판넬 배치 정보를 생성
 - 완성된 MCC반은 3D 형태로 저장되며, 전기실 배치도 작성 및 2D 도면 산출에 활용
2) 기능
 - 2D 상태에서 슬롯 배치 기능 제공
 - MCC반 및 판넬 배치 정보 생성
 - 3D 형태의 MCC반 저장 및 2D 도면 출력
 - 도곽(Title Board) 배치 (BKT_SFR_06_008)
 - PDF, DXF 저장 기능
3) 관리자 항목
 - MCC 도면 템플릿 구성 및 관리
4) 출력 항목
 - MCC 구성도(2D, 3D)</t>
  </si>
  <si>
    <t>-  MCC반 및 판넬을 3D 기기배관도면 상에 배치:
  3D 기기배관도면 상에 MCC반 및 판넬이 배치된다.
  MCC반 ↔ 판넬 정보와 케이블 관련 DB와 연동되어 케이블의 규격이 결정된다.
  판넬 ↔ 기기/계측기 정보와 케이블 관련 DB와 연동되어 케이블의 규격이 결정된다.
-트레이 혹은 전선관 배치:
"3D 기기배관도면 상에 트레이 혹은 전선관이 배치된다.
(MCC반 및 판넬을 기준으로 트레이 혹은 전선관을 배치한다.)"
이때, 케이블의 규격에 따라 트레이 혹은 전선관의 규격이 자동으로 결정된다.
만약 배관 혹은 트레이 간의 간섭이 생길 경우 오류형태로 출력된다.
-전선 배치:
3D 기기배관도면 상에 전선이 배치된다.
(트레이를 기준으로 전선을 배치한다.)트레이 및 전선관 배치 정보</t>
  </si>
  <si>
    <t>[전기 평면도 생성]
1) 내용
 - 전기실 배치(BKT_SFR_05_009), 전기 Tary 배치(BKT_SFR_05_010) 완료 후 2D 도면 생성
2) 기능
 - 3D 배치 완료 후 평면도 생성
 - 평면 위치 설정 기능
   : 사용자가 3D 모델에서 평면 위치를 설정하면 해당 정보 기반으로 2D 생성
   : 필요 시 여러 개의 평면 생성 가능
 - 미리 설정한 치수 기준에 맞춰 치수선 기입 기능
 - E.L, F.G.L 표기 기능
 - 판넬, 케이블 Tray 정보 Text 기입
 - 도곽(Title Board) 배치 (BKT_SFR_06_008)
 - PDF, DXF 저장 기능
3) 관리자 항목
 - 심볼 및 치수선 관리
 - 도면 스타일 
4) 출력 항목
 - 전기실 판넬 배치 도면(2D)
 - 케이블 Tray 배치 도면(2D)</t>
  </si>
  <si>
    <t>3D 전기실 배치(BKT_SFR_05_009)와 연계</t>
  </si>
  <si>
    <t>[부하일람표 생성]
1) 내용
 - 전기 용량계산서의 케이블 스케줄표 정보를 2D 도면 형식의 표로 변환하여 출력
2) 기능
 - DB Table 기반 케이블스케줄표 자동 생성(2D 도면 변환)
 - 도곽(Title Board) 배치 (BKT_SFR_06_008)
 - PDF, DXF 저장 기능
3) 관리자 항목
 - 심볼 및 테이블 관리
 - 도면 스타일 
4) 출력 항목
 - 케이블스케줄표(2D) 도면</t>
  </si>
  <si>
    <t>SFR-08</t>
  </si>
  <si>
    <t>수량 산출 및 투자비 산출</t>
  </si>
  <si>
    <t>- 토공 물량 : 가시설공, 오픈컷
- 구조물공 물량 : 콘크리트, 거푸집, 비계, 동바리 등
- 단가 관리 DB 필요
- 산출물량 Excel 내역서 양식 반영</t>
  </si>
  <si>
    <t>[토목 물량, 내역서 산출]
1) 내용
 - 3D 설계 모듈에서 생성된 구조물 배치도 모델링 데이터를 물량 정보 연동
 - 토공 물량 산출 (가시설공, 오픈컷)
 - 구조물공 물량 산출 (콘크리트, 거푸집, 비계, 동바리 등)
 - Excel 내역서 양식 반영하여 산출 내역 관리
 - 산출 과정이 끝나면 프로그램 화면에 표기
2) 기능
 - 공사비 산출 기능 (토공, 구조물 공사비 계산)
 - 단가 관리 DB 연동 및 업데이트 가능
 - 프로그램 내 단가 수정할 수 있는 기능
 - 반복 작업이 가능한 고정 메뉴 제공
 - 공종별 선택 조건에 따라 출력 기능
 - 공사비 요율 테이블 관리 기능 제공
 - 설계 변경(SFR-04~06)시 물량, 내역서 반영
 - PDF, Excel 저장 기능
3) 관리자 항목
 - 공사비 단가 데이터 관리 및 업데이트
4) 출력 항목
 - 공사비 산출 내역(Excel, PDF)
 - 각 공종별 산출된 물량 및 금액 리스트</t>
  </si>
  <si>
    <t>- 토목건축 공사비 산출 기능
  :  고정 메뉴로 도출(반복 작업 가능해야 함),
     공사비 요율 테이블 관리 기능</t>
  </si>
  <si>
    <t>BKT_SFR_08_002</t>
  </si>
  <si>
    <t xml:space="preserve">- 내역서, 설치비 산출
- 연면적 또는 수평투영면적 선택
- 단가 관리 DB 필요
</t>
  </si>
  <si>
    <t>[건축 물량, 내역서 산출]
1) 내용
 - 3D 설계 모듈에서 생성된 구조물 배치도 모델링 데이터를 연계하여 물량 산출
 - 면적 기준으로 단가 적용하여 산출 (연면적 또는 수평투영면적 선택)
 - Excel 내역서 양식 반영하여 산출 내역 관리
 - 산출 과정이 끝나면 프로그램 화면에 표기
2) 기능
 - 공사비 산출 기능 
 - 단가 관리 DB 연동 및 업데이트 가능
 - 프로그램 내 단가 수정할 수 있는 기능
 - 반복 작업이 가능한 고정 메뉴 제공
 - 공사비 요율 테이블 관리 기능 제공
 - 공종별 선택 조건에 따라 출력 기능(연면적 또는 수평투영면적 선택 계산)
 - 설계 변경(SFR-04~06)시 물량, 내역서 반영
 - PDF, Excel 저장 기능
3) 관리자 항목
 - 공사비 단가 데이터 관리 및 업데이트
4) 출력 항목
 - 공사비 산출 내역(Excel, PDF)
 - 각 공종별 산출된 물량 및 금액 리스트</t>
  </si>
  <si>
    <t>BKT_SFR_08_003</t>
  </si>
  <si>
    <t>- 내역서, 설치비 산출
- 단가 관리 DB 필요</t>
  </si>
  <si>
    <t>[기계 물량, 내역서 산출]
1) 내용
 - 계산파트 기계 용량계산 데이터(BKT_SFR_03_008)와 연계하여 물량 산출
 - 기계 단가 적용하여 산출 (자재비, 노무비 등)
 - Excel 내역서 양식 반영하여 산출 내역 관리
 - 산출 과정이 끝나면 프로그램 화면에 표기
2) 기능
 - 공사비 산출 기능
 - 단가 관리 DB 연동 및 업데이트 가능
 - 프로그램 내 단가 수정할 수 있는 기능
 - 반복 작업이 가능한 고정 메뉴 제공
 - 공종별, 공정별 선택 조건에 따라 출력 기능
 - 공사비 요율 테이블 관리 기능 제공
 - 물가정보 API 연동
 - 설계 변경(SFR-04~06)시 물량, 내역서 반영
 - PDF, Excel 저장 기능
3) 관리자 항목
 - 공사비 단가 데이터 관리 및 업데이트
 - 물가정보 API 연동 또는 DB 데이터 활용 선택
4) 출력 항목
 - 공사비 산출 내역(Excel, PDF)
 - 각 공종별 산출된 물량 및 금액 리스트</t>
  </si>
  <si>
    <t xml:space="preserve">- 기자재 단가 관리?
   :자재별, 사양별 단가 표시
    내부 db구축 할 경우, 관리 메뉴 필요(추가/삭제/수정 등 편집 )
-  각 (각 유닛 공정의 Design factor 허용 범위를 설정할 수 있는 기능)=&gt; 알림 메시지 표출/ 범위 값을 편집할 수 있는 기능 </t>
  </si>
  <si>
    <t>BKT_SFR_08_004</t>
  </si>
  <si>
    <t>[배관 물량, 내역서 산출]
1) 내용
 - 계산파트 기계 용량계산 데이터(BKT_SFR_03_008)와 Isometric(BKT_SFR_06_007)연계하여 물량산출
 - 배관, 밸브 등 단가 적용하여 산출 (자재비, 노무비 등)
 - Excel 내역서 양식 반영하여 산출 내역 관리
 - 산출 과정이 끝나면 프로그램 화면에 표기
2) 기능
 - 공사비 산출 기능
 - 단가 관리 DB 연동 및 업데이트 가능
 - 프로그램 내 단가 수정할 수 있는 기능
 - 반복 작업이 가능한 고정 메뉴 제공
 - 공종별, 공정별 선택 조건에 따라 출력 기능
 - 공사비 요율 테이블 관리 기능 제공
 - 물가정보 API 연동
 - 설계 변경(SFR-04~06)시 물량, 내역서 반영
 - PDF, Excel 저장 기능
3) 관리자 항목
 - 공사비 단가 데이터 관리 및 업데이트
 - 물가정보 API 연동 또는 DB 데이터 활용 선택
4) 출력 항목
 - 공사비 산출 내역(Excel, PDF)
 - 각 공종별 산출된 물량 및 금액 리스트</t>
  </si>
  <si>
    <t>BKT_SFR_08_005</t>
  </si>
  <si>
    <t>[배관 물량, 내역서 산출]
1) 내용
 - 계산파트 전기 용량계산 데이터(BKT_SFR_03_010)와 전기 Tray (BKT_SFR_05_010)연계하여 물량산출
 - 단가 적용하여 산출 (자재비, 노무비 등)
 - Excel 내역서 양식 반영하여 산출 내역 관리
 - 산출 과정이 끝나면 프로그램 화면에 표기
2) 기능
 - 공사비 산출 기능
 - 단가 관리 DB 연동 및 업데이트 가능
 - 프로그램 내 단가 수정할 수 있는 기능
 - 반복 작업이 가능한 고정 메뉴 제공
 - 공종별, 공정별 선택 조건에 따라 출력 기능
 - 공사비 요율 테이블 관리 기능 제공
 - 물가정보 API 연동
 - 설계 변경(SFR-04~06)시 물량, 내역서 반영
 - PDF, Excel 저장 기능
3) 관리자 항목
 - 공사비 단가 데이터 관리 및 업데이트
 - 물가정보 API 연동 또는 DB 데이터 활용 선택
4) 출력 항목
 - 공사비 산출 내역(Excel, PDF)
 - 각 공종별 산출된 물량 및 금액 리스트</t>
  </si>
  <si>
    <t>BKT_SFR_08_006</t>
  </si>
  <si>
    <t>- 유지관리비 산출
- 단가 관리 DB 필요</t>
  </si>
  <si>
    <t>[유지관리비 산출]
1) 내용
 - 계산파트 용량계산 데이터(BKT_SFR_03)와 연계하여 물량산출
 - 단가 적용하여 산출 (전력비, 약품비, 슬러지처리비, 대수선비)
 - Excel 내역서 양식 반영하여 산출 내역 관리
 - 산출 과정이 끝나면 프로그램 화면에 표기
2) 기능
 - 유지관리비 산출 기능
 - 단가 관리 DB 연동 및 업데이트 가능
 - 프로그램 내 단가 수정할 수 있는 기능
 - 반복 작업이 가능한 고정 메뉴 제공
 - 유지관리비 선택 조건에 따라 출력 기능
 - 물가정보 API 연동
 - 설계 변경(SFR-04~06)시 유지관리비 계산 반영
 - PDF, Excel 저장 기능
3) 관리자 항목
 - 유지관리비 단가 데이터 관리 및 업데이트
 - 물가정보 API 연동 또는 DB 데이터 활용 선택
4) 출력 항목
 - 공사비 산출 내역(Excel, PDF)
 - 각 공종별 산출된 물량 및 금액 리스트</t>
  </si>
  <si>
    <t>BKT_SFR_09_001</t>
  </si>
  <si>
    <t xml:space="preserve"> - 기술검토서
 - 공사비 집계표
 - WORD 또는 PFD 제공
 - 요약 PAGE 프로그램 화면에 표현</t>
  </si>
  <si>
    <t>[보고서 생성]
1) 내용
 - 기술 검토 내용과 설계 데이터 포함 보고서 생성
 - 정해진 양식에 따른 보고서 생성 및 수동 편집 기능 제공
 - 다양한 파일 형식(EXCEL, PDF, WORD 등)으로 내보내기 지원
2) 기능
 - 설계 데이터 업데이트 반영
 - WORD, PDF 저장 기능
 - 기본 리포트 양식 수정, 편집 기능
3) 관리자 항목
 - 리포트 템플릿 생성 및 수정 기능
 - 설계 데이터 연결 및 편집 권한 관리
4) 출력내용
 - 기술검토서 (WORD, PDF)</t>
  </si>
  <si>
    <t>항목 및 구현 방안 논의 필요</t>
  </si>
  <si>
    <t>계산서,
물량산출서, 내역서, 유지관리비</t>
  </si>
  <si>
    <t>BKT_SFR_09_002</t>
  </si>
  <si>
    <t xml:space="preserve"> - 공종별 용량계산서를 EXCEL 또는 PFD 제공
 - 공종별 사용자 선택 출력 기능</t>
  </si>
  <si>
    <t>[계산서, 물량산출서, 내역서 저장]
1) 내용
 - 기술 검토 내용과 설계 데이터 포함 보고서 생성
 - 정해진 양식에 따른 보고서 생성 및 수동 편집 기능 제공
 - 다양한 파일 형식(EXCEL, PDF, WORD 등)으로 내보내기 지원
2) 기능
 - 설계 데이터 업데이트 반영
 - Excel, PDF 저장 기능
 - 기본 리포트 양식 수정, 편집 기능
3) 관리자 항목
 - 리포트 템플릿 생성 및 수정 기능
 - 설계 데이터 연결 및 편집 권한 관리
4) 출력내용
 - 기술검토서 (WORD, PDF)</t>
  </si>
  <si>
    <t>SFR08 내용이랑 겹치는 것 같음</t>
  </si>
  <si>
    <t>도면</t>
  </si>
  <si>
    <t>BKT_SFR_09_003</t>
  </si>
  <si>
    <t>- 3D 파일 저장
- 2D 파일 저장
- 공종별 사용자 선택 출력 기능</t>
  </si>
  <si>
    <t>[도면 저장]
1) 내용
 - 설계 도면 (3D, 2D) 저장 및 관리 기능
 - 설계 도중 또는 완료 후 생성된 3D모델과 2D 도면 저장
2) 기능
 - 설계 데이터 업데이트 반영
 - 3D 모델파일(step, rvt, obj),2D 도면파일(dxf), PDF 저장 기능
3) 관리자 항목
 - 설계 데이터 연결 및 편집 권한 관리
4) 출력내용
 - 3D, 2D 도면 파일</t>
  </si>
  <si>
    <t>SFR06-07 내용이랑 겹치는 것 같음
3D 저장 포맷 논의 필요</t>
  </si>
  <si>
    <t>데이터 관리</t>
  </si>
  <si>
    <t>BKT_SFR_10_001</t>
  </si>
  <si>
    <t>프로젝트 및 설계 관련 데이터 저장, 조회, 백업, 복원 기능</t>
  </si>
  <si>
    <t>[데이터 관리]
1) 내용
 - 프로젝트 및 설계 관련 데이터 저장, 조회, 백업, 복원 기능
 - 사용자 입력 및 계산 결과 데이터를 체계적으로 저장하고 관리하며, 버전관리, 이력조회, 백업 및 복원 기능 제공
2) 기능
 - 프로젝트별 데이터 저장 구조 정의 및 생성 기능
 - CRUD 기능 (생성, 조회, 수정, 삭제)
 - 데이터 내보내기(EXCEL, CSV 등), 가져오기 지원
 - 데이터 백업(주기 설정 가능) 및 복구 인터페이스 제공
 - 삭제된 데이터 복원 기능 (휴지통 개념)
 - 데이터 변경 이력 로그 기록 및 확인 기능
3) 관리자 항목
 - 데이터 접근 권한 설정 (메뉴, 항목 단위)
 - 데이터 백업/복원 수행 권한
 - 변경 로그 조회 및 사용자별 수정 이력 확인 권한</t>
  </si>
  <si>
    <t xml:space="preserve">
4) 저장 방식
 - 산출 성과품(리포트,도면) 로컬 저장
 - 프로젝트 입력, 계산 결과는 서버 저장 </t>
  </si>
  <si>
    <t>DB 서버</t>
  </si>
  <si>
    <t>BKT_SFR_11_001</t>
  </si>
  <si>
    <t>- 하드웨어 및 소프트웨어 사양</t>
  </si>
  <si>
    <t>[DB 서버 환경]
1) 내용
 - 시스템 운영을 위한 DB 서버 사양 정의
2) 기능
 - DB 서버 사양 기반 설치 환경 체크 기능
 - 시스템 설치 가이드 문서 제공
3) 관리자 항목
 - 서버 환경 설정 및 모니터링 기능 접근 가능
4) 권장사양
 - Hardware 
  ① CPU ; 16-Core (over 2.4GHz)
  ② RAM : 65GB
  ③ GPU : NVIDIA RTX 4080
  ④ Storage : 2TB
 - Software 
  ① Windows Server 2020
  ② WAS : IIS, Tomcat
  ③ DBMS : PostreSQL, MySQL, MariaDB</t>
  </si>
  <si>
    <t>사용자 PC</t>
  </si>
  <si>
    <t>BKT_SFR_11_002</t>
  </si>
  <si>
    <t>[사용자 PC 환경]
1) 내용
 - WAI Designer프로그램 실행을 위한 사용자 PC 권장사양
2) 권장사양
 - Hardware 
  ① CPU ; 8-Core (over 2.0Ghz)
  ② RAM : 32GB
  ③ GPU : NVIDIA RTX 3060Ti
  ④ Storage : 500GB
 - Software 
  ① OS : Windows 10, 11</t>
  </si>
  <si>
    <t>[3D 모델링 제작]
1) 내용
 - 기계 및 구조물 3D 모델 작성
 - 고유 속성 기반 모델링 및 사전 정의된 매개변수에 따라 형상 구현
 - 구조물 규격 변화사항, 기계 사양에 따른 3D 반영
2) 기능
 - 사전 정의된 매개변수 기반 3D 형상 생성 기능
 - 비율 기반 부품 위치 자동 생성 기능
 - 속성 정보 수정 및 모델링 확장 기능 제공
 - Group 지정하여 라이브러리 저장
 - WAI Designer와 연계 기능
3) 관리자 항목
 - 모델 속성 필드 템플릿 등록 및 관리 기능
 - 종류별 필수 속성 및 매개변수 등록/편집 기능
 - WAI Designer와 연계 기능
4) 출력기능
 - 작성된 장비별 3D모델파일</t>
  </si>
  <si>
    <t>1.	모델 고유 속성: 카달로그상에 표기된 속성들을 메인으로 모델 작업, 엑셀로 제공한 속성 필드명만 추가하여 모델, 나중에 속성은 별도 기입하는 것으로 정함
2.	비율관련: 탈수기 같은 경우, 전체 높이, 폭, 길이 값만 있어서, 노즐에 대한 부분은 표시되지 안아서 이런 부분들도 매개 변수로 사전에 정의해주어야 모델 진행 가능=&gt; 부강에서 정리하여 없는 부분들을 보완해주기로 함. 
ROOM, BOX 정의</t>
  </si>
  <si>
    <t>기능정의</t>
    <phoneticPr fontId="1" type="noConversion"/>
  </si>
  <si>
    <t>상세 정의</t>
  </si>
  <si>
    <t xml:space="preserve">1) 신규 프로젝트 생성: 신규 프로젝트 생성하기를 클릭하여 정보 입력 팝업창 표출
2) 프로젝트 정보 입력: 소유자, 프로젝트명, 국가, 사이트 주소, 비즈니스 타입(), 단위선택( Metric, Imperial),언어설정(국문, 영문) 등 정보 기입할 수 있는 창 표출; 입력,수정,저장 필요
3) 고객 정보 입력:고객사명, 담당자명, 연락처, 이메일 등 정보 기입할 수 있는 창 표출; 입력,저장 필요
</t>
  </si>
  <si>
    <t xml:space="preserve">프로젝트 정보내용과 고객정보 내용을 기입해야 한다. </t>
  </si>
  <si>
    <t xml:space="preserve"> - 신규 프로젝트 생성 클릭 시 팝업창 표출
 - 프로젝트 정보와 고객 정보 입력,수정 저장 가능
 - 입력항목 : 프로젝트명, 현장 주소, 비즈니스타입, 고객사명, 담당자명, 연락처, 이메일 등 정보 </t>
  </si>
  <si>
    <t xml:space="preserve">- 저장 정보 범위(메타 정보 저장 등 용량 고려하여 설계)
-NewPjt명 새롭게 생성(Date기준? Or 1-1or Rev1)
- 입력 항목 리스트 필요
-  DB 저장 방식, 항목 리스트 필요
</t>
    <phoneticPr fontId="1" type="noConversion"/>
  </si>
  <si>
    <t>프로그램 다국어 지원 기능</t>
  </si>
  <si>
    <t>국문과 영문 스위치 가능해야 한다.</t>
  </si>
  <si>
    <t xml:space="preserve"> - 프로그램 UI 국문/영문 언어 지원
 - 결과 산출물 국문/영문 언어 지원
 - 선택 항목 : 국문/영문 </t>
  </si>
  <si>
    <t xml:space="preserve">단위계 설정이 가능해야 한다. </t>
  </si>
  <si>
    <t xml:space="preserve"> - 단위계 설정 기능(길이, 무게, 압력, 온도) 
 - 입력항목: Metric(미터), Imperial(피트,인치) Unit
    (2D 도면의 ft, inch 치수선 표기 경우 이중 치수 표시 (ex 10'-6"))</t>
  </si>
  <si>
    <t xml:space="preserve"> - 부지 가시화 
 1) [제공 부지가 있는 경우]
CAD 도면 또는 부지 정보를 반영하여 Plan view 기준으로 (0,0,0)위치에 반투명으로 제공 부지가 표현된다
또는 이미지 파일을 Plan view 기준으로 (0,0,0)위치에 반투명으로 제공 부지가 표현된다
 2) [제공 부지가 없는 경우]
Plan view 기준으로 (0,0,0) 위치에 100x100m 사이즈의 반투명 부지가 표현된다
해당 부지 규격은 가로/세로 치수가 표현되고 변경 가능(drag 방식은 상단/우측 모서리선만 활성화하여 치수를 변경할 수 있게 하고,  가로/세로 치수값도 직접 입력하여 변경 가능)</t>
    <phoneticPr fontId="1" type="noConversion"/>
  </si>
  <si>
    <t xml:space="preserve">부지 정보 등 베이직 도면 업로드, 추가 등록이 가능해야 한다. </t>
    <phoneticPr fontId="1" type="noConversion"/>
  </si>
  <si>
    <t xml:space="preserve"> - 프로젝트 특성에 따라 제공되는 시설배치부지 정보를 업로드하여 3D 모델링 환경에서 가시화
 - 제공된 부지 정보가 있을 경우, CAD 도면 또는 이미지 파일을 Plan view 기준 (0,0,0) 위치에 반투명으로 표시
 - 제공된 부지 정보가 없을 경우, 기본 부지 (100m x 100m) 를 Plan view 기준 (0,0,0) 위치에 반투명으로 생성 및 가시화
 - 프로젝트 개시 후, 부지 추가 등록 할 수 있다.</t>
  </si>
  <si>
    <t>화면에 부지를 ON/OFF할 수 있는 기능을 제공한다.</t>
    <phoneticPr fontId="1" type="noConversion"/>
  </si>
  <si>
    <t xml:space="preserve"> - 3D 레이아웃 UI에서 필요에 따라 표출된 부지영역을  ON/OFF 할 수 있다.</t>
    <phoneticPr fontId="1" type="noConversion"/>
  </si>
  <si>
    <t>기본 부지 크기 조정 기능</t>
    <phoneticPr fontId="1" type="noConversion"/>
  </si>
  <si>
    <t>부지 크기를 조정할 수 있는 제공한다.</t>
    <phoneticPr fontId="1" type="noConversion"/>
  </si>
  <si>
    <t xml:space="preserve"> - 부지 크기 조정 기능 (Drag 방식 또는 직접 입력 방식 지원)
 - 부지 치수 가시화 기능 (가로/세로 치수 표시)
* 3d 레이아웃 파트에서 진행)  부지 도면 정보 없을 경우</t>
  </si>
  <si>
    <t>1) 기존 프로젝트 리스트화 표출, 키워드 검색으로 불러오기 기능 구현</t>
  </si>
  <si>
    <t xml:space="preserve">최종 승인된 프로젝트 리스트화 표출 기능 </t>
  </si>
  <si>
    <t>최종 승인된 프로젝트를 최신순으로 표출한다.
프로젝트의 조회 항목도 리스트에 표출한다.</t>
  </si>
  <si>
    <t xml:space="preserve"> - 프로젝트 불러오기 클릭 시 저장된 프로젝트 정보 조회
 - 항목 선택 시 지난 설계 자료 화면에 불러오기(MB, 3D도면 등)</t>
  </si>
  <si>
    <t>사용자 프로젝트 리스트화 표출기능</t>
  </si>
  <si>
    <t>사용자가 진행된, 진행중인 프로젝트를 리스트화하여 표출하는 기능 제공한다.</t>
  </si>
  <si>
    <t xml:space="preserve">- 리스트상에 진행상태, 유입성상, 프로젝트명을 표출
- </t>
  </si>
  <si>
    <t>조회 기능을 제공한다. 
조회된 프로젝트를 선택할 수 있는 기능을 제공한다.</t>
  </si>
  <si>
    <t xml:space="preserve"> - 검색 구역을 제공하고, 키워드를 입력하여 기존 프로젝트를 조회 
 - 조회항목(키워드):프로젝트명, 유입성상, 시설용량, 적용공정, 적용일자
 - 조회된 프로젝트를 선택하여 열어보고, 다음 단계 작업을 진행 할 수 있다. </t>
  </si>
  <si>
    <t>프로젝트 정보 편집/수정</t>
  </si>
  <si>
    <t>1) 기존프로젝트 이름 변경, 유입성상, 적용공정 등 내용의 재작성을 통한 공정 설계</t>
    <phoneticPr fontId="1" type="noConversion"/>
  </si>
  <si>
    <t>사용자 프로젝트를 편집 수정 및 저장 기능</t>
  </si>
  <si>
    <t>사용자 프로젝트를 편집 할 수 있는 기능을 제공한다.</t>
  </si>
  <si>
    <t xml:space="preserve"> - 사용자 프로젝트를 설계자의 수요에 따라 편집 수정 및 저장이 가능해야 한다.
 - 편집 가능한 항목: 프로젝트명, 유입성상, 시설용량, 적용공정</t>
  </si>
  <si>
    <t>사용자 프로젝트 다른 이름으로 저장</t>
  </si>
  <si>
    <t>변경된 내용을 별도 프로그램으로 저장할 수 있는 기능을 제공한다.</t>
    <phoneticPr fontId="1" type="noConversion"/>
  </si>
  <si>
    <t xml:space="preserve"> - 변경된 내용 또는 생성된 유사 프로젝트를 다른이름으로 별도로 저장할 수 있어야 한다. 
 - 프로젝트명 중복 검사 필요. </t>
  </si>
  <si>
    <t xml:space="preserve"> 검증된 기존 프로젝트 정보 수정하여 활용할 수 있는 기능을 제공한다.</t>
    <phoneticPr fontId="1" type="noConversion"/>
  </si>
  <si>
    <t xml:space="preserve"> - 유사한 설계조건의 프로젝트를 신규로 작성하지 않고, 기존 정보를 활용한 설계
 - 최종 프로젝트 정보를 활용한 유사 프로젝트 생성 기능 제공
 - 최종 프로젝트 덮어쓰기는 불가, 필요할 경우 관리자한테 승인 요청을 발송해야 한다. </t>
  </si>
  <si>
    <r>
      <t xml:space="preserve">1) DB내에 저장된 유입성상 리스트 표출
(유입성상 전체 : Foodwaste, Slduge cake, Livestock, Digestate, Thickened Secondary sludge, , Thickened primary sludge, Sewage, etc)- 고객사에서 상세 정보 제공
2) 중복 체크 가능
3) </t>
    </r>
    <r>
      <rPr>
        <sz val="11"/>
        <color theme="1"/>
        <rFont val="함초롬바탕"/>
        <family val="1"/>
        <charset val="129"/>
      </rPr>
      <t xml:space="preserve">올바르지 않은 유입 성상 선택 조합 오류 처리(해외 사례는 별도확인 필요) </t>
    </r>
    <phoneticPr fontId="1" type="noConversion"/>
  </si>
  <si>
    <t>항목별 유입성상 리스트 표출</t>
    <phoneticPr fontId="1" type="noConversion"/>
  </si>
  <si>
    <t xml:space="preserve"> - 유입성상 멀티 체크 또는 단독 체크 시 추천 공정 제시
 - 항목 : 하수, 소화조탈리액, 음식물쓰레기, 탈수슬러지, 가축분뇨
 - 관리자 페이지에서 항목 수정 가능해야함</t>
    <phoneticPr fontId="1" type="noConversion"/>
  </si>
  <si>
    <t xml:space="preserve">멀티 체크후, 겹치는 공정에 대한 처리 해결안 필요
</t>
    <phoneticPr fontId="1" type="noConversion"/>
  </si>
  <si>
    <t xml:space="preserve">체크를 통한 단독체크 또는 중복체크 선택이 가능해야 한다. </t>
    <phoneticPr fontId="1" type="noConversion"/>
  </si>
  <si>
    <t xml:space="preserve"> - 체크박스를 통한 유입성상 선택이 가능해야 한다.
 - 단독 또는 멀티로 유입성상 선택이 가능해야 한다.
 - 올바르지 않은 항목 선택에 대한 오류 처리 메시지 표출
 - 올바른 항목( : 하수 (1차, 2차, 3차)/ 소화조 탈리액/ 음식물/ 음식물 + 탈수슬러지/ 음식물 + 가축분뇨/탈수 슬러지/ 하수 + 음식물/ 하수 + 음식물 + 가축분뇨)</t>
  </si>
  <si>
    <t>빈 Process Select 화면에서 유입성상들을 드래그앤 드랍하면 우측  (공정아이콘이 나열되어있는 칸) 하단에 추천공정을 제시해줄 수 있나?</t>
  </si>
  <si>
    <t>1) 성상별  유입수질, 최종 유출수질 정보 표출
(TS, VS, FS, BOD, COD, SS, T-N, T-P, 수온, Alk etc)
2) 유입, 유출 수질(수온) 정보 선택, 입력, 저장
3) 프로젝트 특성에 따라 벽두께 설정 , 수리정보 입력, 단가 설정</t>
    <phoneticPr fontId="1" type="noConversion"/>
  </si>
  <si>
    <t>필수값이 구분된 기초 설계정보를 입력할 수 있다.
유출수질 정보 표출은 제거효율에 따라 계산되어야 한다.</t>
  </si>
  <si>
    <t xml:space="preserve"> - 유입수질 정보 입력시 물질수지 계산에 활용
 - 최종 입력된 정보는 DB Table에 저장 (유입, 유출 수질, 공정별 제거효율)
 - 입력 항목:유입 유량, BOD,COD, SS, T-N, NHx-N, NO3-N, T-P, 수온, Alk, TS,VS,FS
 - 최초 등록은 관리자 페이지에서 가능</t>
  </si>
  <si>
    <t>[목표 수질 입력] 250415
 : 계산된 유출수질과 비교하는 화면 표출
 : Effluent 에서 더블클릭으로 [유출수질/목표수질] 확인
 : 별도 아이콘 클릭 하여 [유입성상 유입수질과 유출수질]을 비교하는 화면 필요</t>
  </si>
  <si>
    <t>설계 조건을 설정 할 수 있는 기능을 제공한다.</t>
  </si>
  <si>
    <t xml:space="preserve"> - 수리 정보 설정값 (Final Ground Level, 지상배치, 지하배치, 지면의 구조물 위치정보)
 - 벽 두께 설정값 (내벽, 외벽, 슬라브 두께)
 - 공종별 단가 설정 (토목/기계/배관/전기/계측)
  : Default 값을 불러오고 프로젝트에 따라 변경되는 단가 정보는 저장되어야 함 (적용일자)
 - 최초 등록은 관리자 페이지에서 가능
 - 관리자 페이지에서 항목 수정 가능해야함</t>
  </si>
  <si>
    <t>* 유입수질과 유출수질 입력에 따라 권장공정을 나타내는 로직을 만들 수 있을 때 프로그램에 반영함. 이번단계에서는 제외</t>
    <phoneticPr fontId="1" type="noConversion"/>
  </si>
  <si>
    <t>"- 유출 수질 입력을 통한 추천공정 기능은 이번단계에서 제외</t>
  </si>
  <si>
    <r>
      <t xml:space="preserve">1) 유입성상, 제거효율별 추천공정 관리: 공정 편집, 조합기능
2) 유입성상과 제거율을 기반으로한 최적공정 리스트 표출 및 불러오기 기능
3) 공정 선택 기능
</t>
    </r>
    <r>
      <rPr>
        <strike/>
        <sz val="11"/>
        <color theme="1"/>
        <rFont val="함초롬바탕"/>
        <family val="1"/>
        <charset val="129"/>
      </rPr>
      <t>4) 공정 선택에 따른 개략 산출된 부지 정보와 CAPEX,OPEX 계산 정보 표출 기능</t>
    </r>
    <phoneticPr fontId="1" type="noConversion"/>
  </si>
  <si>
    <t>유입성상과 제거율을 기반으로한 최적공정 리스트를 불러온다.</t>
  </si>
  <si>
    <t xml:space="preserve"> - 조합공정은 DB내 유입성상에 따른 최적공정 Case검토 내용을 토대로 선택 화면에 제시</t>
  </si>
  <si>
    <r>
      <rPr>
        <sz val="11"/>
        <color rgb="FF000000"/>
        <rFont val="함초롬바탕"/>
        <family val="1"/>
        <charset val="129"/>
      </rPr>
      <t xml:space="preserve"> '-제거효율 별 추천공정은 이번 단계에서 제외, 유입성상별로만 관리
</t>
    </r>
    <r>
      <rPr>
        <sz val="11"/>
        <color rgb="FFFF0000"/>
        <rFont val="함초롬바탕"/>
        <family val="1"/>
        <charset val="129"/>
      </rPr>
      <t>- capex,opex 계산 정보는 상시 화면구역에 표출하여, 공정에 변화가 있을 때마다 계산되어 계산값 표출</t>
    </r>
  </si>
  <si>
    <t xml:space="preserve"> 기본 권장 공정 흐름도 편집</t>
  </si>
  <si>
    <t>초기화면상태에서 기본 공정흐름도 편집 기능</t>
  </si>
  <si>
    <t>- wai 편집기에서 기본 공정흐름도를 작성하고 편집
- 관리자만 사용가능한 흐름도 작성 메뉴(버튼)으로 진행</t>
  </si>
  <si>
    <t>리스트에서 불러온 공정을 선택하는 기능</t>
    <phoneticPr fontId="1" type="noConversion"/>
  </si>
  <si>
    <t xml:space="preserve"> - 체크박스 형태로 선택</t>
  </si>
  <si>
    <t>조합공정도 오픈(물질수지도 오픈)</t>
  </si>
  <si>
    <t>선택된 공정의 공정흐름도가 자동으로 펼치게 된다.</t>
  </si>
  <si>
    <t xml:space="preserve"> - Pretreatment, Primary, Secondary, Tertiary, Product, etc. 처리 기준으로 하단에 단위공정이 아이콘으로 표시된다.</t>
  </si>
  <si>
    <t>해당공정에 대한 물질수지&amp;용량계산 모듈이 불러와지고 공정도의 순서에 따라 연결된다.
 (단, Design Factor은 Default값으로 입력된다.)</t>
  </si>
  <si>
    <t xml:space="preserve"> - 권장조합 선택에 따른 물질수지도 자동 생성
 - 공정 흐름도를 구성하는 단위공정은 카테고리별로 하단에 아이콘 형태로 제공
 - 입력 항목: 공정 구성 정보, 유입수질, 공정별 처리 효율
 - 초기 물질수지도 구성</t>
  </si>
  <si>
    <t>공정과 공정, 공정과 구조물을 연결해주는 기능이다.</t>
  </si>
  <si>
    <t xml:space="preserve"> - 별도 연결 아이콘을 제작하여, 연결 기능 구현(연결기능 아이콘을 연결하는 위치에 이동할 경우만 적용)
 - 공정 편집, 공정 배치, 물질수지도 수동 작도 등 과정에도 기능 활용 가능
- 공정별로 커넥터 적용하여 연결 가능</t>
  </si>
  <si>
    <t>여러가지 색상으로 흐름정보이 물감을 표출할 수 있는 기능</t>
    <phoneticPr fontId="1" type="noConversion"/>
  </si>
  <si>
    <t xml:space="preserve"> - Water Line : 파란색
 - Sludge Line : 갈색
- 가스라인: </t>
  </si>
  <si>
    <t>공정 (물질수지도)편집</t>
  </si>
  <si>
    <t>- 직접 단위공정을 Drag&amp;Drop 으로 배치 가능한 기능
- 연결된 라인을 끊고, 재연결 등 용이한 배치 기능
- 수질이 만족스럽지 못할 시 사용하는 기능
- 기본 공정을 별도 화면에 표출하여, 드롭배치 가능하게 구현
- 수동으로 공정흐름도 편집 가능
- 수동 편집된 공정 저장은 권한 별로 로컬 또는 DB 저장 가능
- 라인 연결 기능을 공정 작도 화면의 기본기능으로 도출
- 공정 작도 단계에 진입하면, 화면에 PFD 생성 버튼 표출 및 활성화</t>
    <phoneticPr fontId="1" type="noConversion"/>
  </si>
  <si>
    <t>생성된 조합공정도를 확인하고 편집할 수 있는 기능</t>
  </si>
  <si>
    <t xml:space="preserve"> - 처리수질이 만족스럽지 않을 경우 공정을 조정하여 최적화 가능</t>
  </si>
  <si>
    <t>연결되 라인을 끊고, 재연결을 통한 용이한 배치 기능</t>
    <phoneticPr fontId="1" type="noConversion"/>
  </si>
  <si>
    <t xml:space="preserve"> - 생성된 흐름에 대한 편집
 - 공정 간 라인 연결 기능을 통해 물질수지도 및 공정별 계산</t>
    <phoneticPr fontId="1" type="noConversion"/>
  </si>
  <si>
    <t>추천된 공정 조합을 편집 및 저장기능 (관리자 권한)</t>
  </si>
  <si>
    <t xml:space="preserve"> - 공정도 배치도를 저장하고 다시 불러와서 사용할 수 있는 기능</t>
  </si>
  <si>
    <t xml:space="preserve">버튼 클릭을 통한 PFD 생성기능 </t>
  </si>
  <si>
    <t xml:space="preserve"> - 공정 작도 화면 진입 시 PFD 생성 버튼 자동 표출 및 활성화
 - 버튼을 클릭을 통해, PFD 생성 구현</t>
  </si>
  <si>
    <t>계산식 수정 기능</t>
  </si>
  <si>
    <t>연동되어 있는 계산식 수정 기능</t>
    <phoneticPr fontId="1" type="noConversion"/>
  </si>
  <si>
    <t xml:space="preserve"> - 계산된 결과값과에 만족하지 못할 경우, 또는 필요에 따라 계산식 수정이 필요할 경우, 수정하여 계산 가능 
- 기본정보시스템에서 수정만 가능</t>
  </si>
  <si>
    <t>공정배치</t>
  </si>
  <si>
    <t>기본 공정을 별도 화면에서 제공하고, 이를 드래그하여 배치 가능</t>
    <phoneticPr fontId="1" type="noConversion"/>
  </si>
  <si>
    <t xml:space="preserve"> - 사용자가 원하는 공정 배치 진행</t>
    <phoneticPr fontId="1" type="noConversion"/>
  </si>
  <si>
    <t>공정 흐름도에서 단위공정 더블클릭 시, 인자값 편집 창 표출 기능</t>
  </si>
  <si>
    <t xml:space="preserve"> - 편집창에는 Design Condition 탭, Dessign Factor 탭으로 구성.
 - Design Condition 탭 각 공정별 설계 현황 테이블 확인
 - Dessign Factor 탭에서 설계 인자 확인 및 수정</t>
    <phoneticPr fontId="1" type="noConversion"/>
  </si>
  <si>
    <t>인자값을 설계자가 임의로 입력하고 설정할 수 있는 기능</t>
    <phoneticPr fontId="1" type="noConversion"/>
  </si>
  <si>
    <t xml:space="preserve"> - 인자값 설정 범위: 수정 가능한 값만, 설정할 수 있게 색상 구별
 - 공정별 인자값 입력 및 설정 기능
 - 고정값과 변동 가능한 인자값을 구분하여 표출</t>
  </si>
  <si>
    <t>공정별 설계 인자를 수정하고, 저장할 수 있는 기능</t>
    <phoneticPr fontId="1" type="noConversion"/>
  </si>
  <si>
    <t xml:space="preserve"> - 수정 가능한 값만 설정 가능하도록 색상 구별
 - 설정값 반복 수정 가능 (과정값은 휘발성 데이터 처리)</t>
    <phoneticPr fontId="1" type="noConversion"/>
  </si>
  <si>
    <t>조합공정도 생성
(물질수지도 생성)</t>
  </si>
  <si>
    <t>공정(물질수지도)편집 기능과 동일함으로 생략</t>
    <phoneticPr fontId="1" type="noConversion"/>
  </si>
  <si>
    <t xml:space="preserve"> - 최적 공정을 자동 추천받지 않고, 사용자가 임의대로 공정 흐름도를 작성할 수 있도록 지원
 - 물질수지도 자동생성과 진입경로 상이, </t>
  </si>
  <si>
    <t>- 물질수지 및 용량 계산 기능 
- 각 (각 유닛 공정의 Design factor 허용 범위를 설정할 수 있는 기능) - SFR_03_006
- 기술검토서 출력기능
- 구조물 추가, 수정, 리스트 표출 기능</t>
  </si>
  <si>
    <t>물질수지도, 기초설계 정보에 따른 계산 기능</t>
    <phoneticPr fontId="1" type="noConversion"/>
  </si>
  <si>
    <t>유입성상, 유입수질에 따른 물질수지 및 용량계산서 산출 기능</t>
    <phoneticPr fontId="1" type="noConversion"/>
  </si>
  <si>
    <t xml:space="preserve"> - 공정흐름도 작성후 실행 버튼을 클릭하여 물질수지 계산 결과값 산출
 - 물질수지 및 용량계산서를 상용 메뉴에서 볼 수 있도록 구현
 - 고농도, 저농도, 고유량, 저유량 등 유입 조건에 따라 계산값 확인할 수 있도록 구현</t>
  </si>
  <si>
    <t>- 용량계산서의 구조물 수위 설정 기능</t>
  </si>
  <si>
    <t xml:space="preserve"> 용량계산 후 수위를 설정, 변경 할 수 있는 기능</t>
    <phoneticPr fontId="1" type="noConversion"/>
  </si>
  <si>
    <t xml:space="preserve"> - 수위 설정을 통한 구조물 소요량 계산
 - 구조물 수위 설정 화면 구현</t>
  </si>
  <si>
    <t>변화 사항에 대한 용량계산서 산출 기능</t>
    <phoneticPr fontId="1" type="noConversion"/>
  </si>
  <si>
    <t xml:space="preserve"> - 용량계산서의 구조물 수위 설정을 통해 구조물 소요용량 계산 결과값 산출</t>
    <phoneticPr fontId="1" type="noConversion"/>
  </si>
  <si>
    <t>구조물 규격 설정</t>
  </si>
  <si>
    <t>- 용량계산서의 구조물 규격 설정 기능 (폭, 길이, 높이)</t>
  </si>
  <si>
    <r>
      <rPr>
        <sz val="10"/>
        <color rgb="FF000000"/>
        <rFont val="맑은 고딕"/>
        <family val="3"/>
        <charset val="129"/>
      </rPr>
      <t xml:space="preserve">구조물 </t>
    </r>
    <r>
      <rPr>
        <sz val="10"/>
        <color rgb="FF000000"/>
        <rFont val="한양중고딕"/>
        <family val="3"/>
      </rPr>
      <t>규격 변경 할 수 있</t>
    </r>
    <r>
      <rPr>
        <sz val="10"/>
        <color rgb="FF000000"/>
        <rFont val="맑은 고딕"/>
        <family val="3"/>
        <charset val="129"/>
      </rPr>
      <t>는 기능</t>
    </r>
    <phoneticPr fontId="1" type="noConversion"/>
  </si>
  <si>
    <t xml:space="preserve"> - 용량계산서의 구조물 규격(폭,길이, 높이) 설정을 통해 구조물 용량 계산 
 - 구조물 규격 설정 화면 구현</t>
  </si>
  <si>
    <t xml:space="preserve"> - 용량계산서의 구조물 규격설정을 통해 구조물 용량 계산 결과값 산출</t>
  </si>
  <si>
    <t>- 용량계산서에서 기계 수량 설정 기능</t>
  </si>
  <si>
    <t>기계 수량 및 타입 설정 기능</t>
  </si>
  <si>
    <r>
      <rPr>
        <sz val="10"/>
        <color rgb="FF000000"/>
        <rFont val="맑은 고딕"/>
        <family val="3"/>
        <charset val="129"/>
      </rPr>
      <t xml:space="preserve">기계 수량을 </t>
    </r>
    <r>
      <rPr>
        <sz val="10"/>
        <color rgb="FF000000"/>
        <rFont val="한양중고딕"/>
        <family val="3"/>
      </rPr>
      <t xml:space="preserve"> 변경 할 수 있</t>
    </r>
    <r>
      <rPr>
        <sz val="10"/>
        <color rgb="FF000000"/>
        <rFont val="맑은 고딕"/>
        <family val="3"/>
        <charset val="129"/>
      </rPr>
      <t>는 기능</t>
    </r>
    <phoneticPr fontId="1" type="noConversion"/>
  </si>
  <si>
    <t xml:space="preserve"> - 용량계산 후 기계 수량 변경 할 수 있도록 구현
 - 변화 사항에 대한 용량계산서 산출 기능
 - 기계 수량 설정 화면 구현
- p&amp;id와 연동되어 변경 반영</t>
  </si>
  <si>
    <t xml:space="preserve"> - 기계용량계산서의 기계 수량 설정을 통해 기계 용량 계산 결과값 산출</t>
    <phoneticPr fontId="1" type="noConversion"/>
  </si>
  <si>
    <t>- 구조물 리스트 산출 및 표출 기능</t>
  </si>
  <si>
    <r>
      <rPr>
        <sz val="10"/>
        <color rgb="FF000000"/>
        <rFont val="한양중고딕"/>
        <family val="3"/>
        <charset val="129"/>
      </rPr>
      <t xml:space="preserve">토목 구조물 규격/수량의 리스트 </t>
    </r>
    <r>
      <rPr>
        <sz val="10"/>
        <color rgb="FF000000"/>
        <rFont val="맑은 고딕"/>
        <family val="3"/>
        <charset val="129"/>
      </rPr>
      <t>산출 기능</t>
    </r>
  </si>
  <si>
    <t xml:space="preserve"> - 용량계산서에 있는 구조물 규격 결과값 리스트화
 - 계산식 관리 메뉴 / 계산식을 연동하여 사용할 수 있게 구현
 - 구조물 리스트는 Excel 또는 PDF 저장 기능
 - 고농도, 저농도,고유량, 저유량 조건 중 구조물 소요 용량계산에 최대 결과값 반영하여 구조물리스트에 반영</t>
  </si>
  <si>
    <t>공종별 계산-기계/배관</t>
  </si>
  <si>
    <t xml:space="preserve"> 물질수지 및 용량계산에 따른 기계 규격, 수량 기계 용량계산 산출 기능</t>
    <phoneticPr fontId="1" type="noConversion"/>
  </si>
  <si>
    <t xml:space="preserve"> - 공정흐름도 작성후  기계용량 계산 결과값 산출
 - 기계리스트, 기계 용량계산서를 고정 메뉴에서 볼 수 있도록 구현
 - 기계 규격/수량 규격에 따른 3D 연계
 - 기계 규격/수량 규격에 따른 P&amp;ID 연계
 - 계산시트는 Excel 또는 PDF 저장 기능
 - 고농도, 저농도,고유량, 저유량 조건 중 기계 용량계산서에 최대 결과값 반영하여 기계리스트에 반영
 - 계산식 관리 메뉴 / 계산식을 연동하여 사용할 수 있게 구현
-출력 항목: 기계 리스트,기계 용량계산서</t>
  </si>
  <si>
    <t>배관 관경 계산 결과값 산출</t>
    <phoneticPr fontId="1" type="noConversion"/>
  </si>
  <si>
    <t xml:space="preserve"> - 공정흐름도 작성후 배관 관경 계산 결과값 산출
 -  배관 규격에 따른 3D 연계
 -  배관 규격에 따른 P&amp;ID 연계
 - 출력 항목 : 밸브 리스트
 - 계산시트는 Excel 또는 PDF 저장 기능
 - 계산식 관리 메뉴 / 계산식을 연동하여 사용할 수 있게 구현
- p&amp;id 배관번호 연동 변경 가능</t>
  </si>
  <si>
    <t>공종별 계산-전기</t>
  </si>
  <si>
    <t>기계 동력 부하에 따른 전기 용량 계산서 산출하는 기능이다.</t>
  </si>
  <si>
    <t xml:space="preserve"> - 전기 용량계산서를 고정 메뉴에서 볼 수 있도록 구현
 - 전기 판넬 규격에 따른 3D 연계 (전기실 배치)
 - 전기 Tary 규격에 따른 3D 연계 (경로 설정)
 - 계산시트는 Excel 또는 PDF 저장 기능
 - 출력 항목: 계측리스트,전기 용량계산서</t>
  </si>
  <si>
    <t xml:space="preserve"> 기계 용량계산 동력 기준에 따른 부하일람표를 산출하는 기능이다.</t>
    <phoneticPr fontId="1" type="noConversion"/>
  </si>
  <si>
    <t xml:space="preserve"> - 부하일람표를 고정 메뉴에서 볼 수 있도록 구현
 - 전기 판넬 규격에 따른 3D 연계 (전기실 배치)
 - 전기 Tary 규격에 따른 3D 연계 (경로 설정)
 - 계산시트는 Excel 또는 PDF 저장 기능
 -관리자 항목: 계산식 관리 메뉴 / 계산식을 연동하여 사용할 수 있게 구현
 - 국가별 기준에 대한 정보가 반영될 수 있도록 Table 및 계산식 구성
 - 출력 항목: 부하일람표, 케이블 스케줄표, IO 리스트</t>
  </si>
  <si>
    <t>공종별 계산-수리</t>
  </si>
  <si>
    <t>작성된 공정흐름도에 따른 수리계산서 산출하는 기능이다.</t>
    <phoneticPr fontId="1" type="noConversion"/>
  </si>
  <si>
    <t xml:space="preserve"> - 사용자가 F.G.L, 유입레벨 입력시 3D, 수리계산 정보에 반영
 - 3D 배치 과정에서 구조물 레벨 변경시 수리계산서 및 수리계통도에 반영
 - 구조물 규격(H, He) DATA 연계한 수리계산
 - 계산시트는 Excel 또는 PDF 저장 기능
 - 계산식 관리 메뉴 / 계산식을 연동하여 사용할 수 있게 구현
 - 출력 항목:수리계산서</t>
  </si>
  <si>
    <t>1차 산출물 생성</t>
  </si>
  <si>
    <t>산출물 작성</t>
  </si>
  <si>
    <t>- 계산 파트 생성 결과 확인 및 3D 연계
- PFD, P&amp;ID, 전기 도면 1차 생성</t>
  </si>
  <si>
    <t>-도면산출물과 비도면 산출물을 구분하여 산출물 생성 기능 제공
- 필수 프로세스가 아닌 옵션 사항으로 구현</t>
  </si>
  <si>
    <t xml:space="preserve"> - 계산파트 결과를 바탕으로 1차 산출물 생성
 - 물질수지도 및 공정 용량계산서, 기계 용량계산서, 수리 계산서, 전기 용량계산서, 구조물 리스트, 기계리스트, 계측리스트, 밸브 리스트, 부하일람표, IO리스트 산출
 - PFD, P&amp;ID, 전기도면 산출
 - 계산 결과를 DB와 연계하여 3D 배치에 활용</t>
  </si>
  <si>
    <t>-생성된 산출물을 서버에 저장할 수 있는 기능</t>
  </si>
  <si>
    <t xml:space="preserve">  - 계산시트는 Excel 또는 PDF 저장 기능
  - 도면 자료는 PDF, DXF 저장 기능</t>
  </si>
  <si>
    <t>3D 레이아웃</t>
  </si>
  <si>
    <t>3D 배치</t>
  </si>
  <si>
    <t>3D 표준 배치도 오픈</t>
  </si>
  <si>
    <t>-공정 작도에서 설정된 정보를 반영하여 3D모델 자동배치 기능</t>
  </si>
  <si>
    <t>공정계획파트에서 확정된 내용을 토대로 3d 배치 기능 제공</t>
    <phoneticPr fontId="1" type="noConversion"/>
  </si>
  <si>
    <t xml:space="preserve"> - 표준 배치 3D 라이브러리 불러오기
 - 불러온 상태에서 편집 기능 </t>
  </si>
  <si>
    <t>3d 모델 배치내용과 부지정보 같은 화면에 동시 표출</t>
  </si>
  <si>
    <t xml:space="preserve"> - 업로드한 부지정보를 반영하여, 3d모델 배치도와 함께 시각화</t>
  </si>
  <si>
    <t>기계/배관/전기 레이어 on/off 기능</t>
  </si>
  <si>
    <t>기계/배관/전기 3d 모델 전체를 on/off할 수 있는 기능</t>
  </si>
  <si>
    <t xml:space="preserve"> - 기계/배관/전기 off 시 기계배치는 사라지고 구조물 3D모델만 남는 기능</t>
  </si>
  <si>
    <t>3D 모델 사용자 배치</t>
  </si>
  <si>
    <t>- 계산파트에서 넘어온 공정 기준으로 오른쪽 탭(3D마크업)에 3D리스트가 나타난다 
(탭1_용량계산서 시트 순서대로 배치된 3D 리스트, 탭2_다른 공정 3D 리스트, 탭3_기자재 3D 리스트 등)
- 3D 리스트에서 Drag and drop하여 기자재 배치(BOX): 오른쪽 탭3(3D마크업)에서 Drag and drop하였을 때 가장 가까운 벽체와의 거리값이 나타나 확인하면서 자유롭게 배치한다(거리에 대한 스냅 간격 1,5,10,50,100,500mm)
BOX내 기자재는 프로그램 내 편집 제한(모델별 구성)
- 3D 리스트에서 Drag and drop하여 구조물을 배치한다(ROOM):
  1) drag and drop 한 대상의 자리 반투명화되고 배치 후 반투명화된 대상을 클릭시 해당 구조물이 하이라이트된다.
2) 구조물 배치 시 마그네틱 기능이 활성화된다(이동 간격 100mm, 간격 설정 가능)
- 오픈홀 조정:3D 구조물 내 오픈홀을 클릭하여 규격을 조정한다(W,L.H 입력) 
3D 리스트에 있는 오픈홀을 drag and drop하여 원하는 위치에 배치한다</t>
    <phoneticPr fontId="1" type="noConversion"/>
  </si>
  <si>
    <t>- 적용된 공정별, 기자재 별 3d 모델 표출되는 기능</t>
    <phoneticPr fontId="1" type="noConversion"/>
  </si>
  <si>
    <t xml:space="preserve"> - 계산파트에서 넘어온 공정 기준으로 오른쪽 사이드공간(3D마크업)에 3D리스트가 나타난다 
 - 탭별 분류: 탭1_용량계산서 시트 순서대로 배치된 3D 리스트, 탭2_다른 공정 3D 리스트, 탭3_기자재 3D 리스트 
- 구조물을 dtd내 라이브러리에 저장할 수 있는 기능 필요 </t>
  </si>
  <si>
    <t>구조물,ROOM 등에 투명도 두어 내부구조물이 시야에 노출되는 기능</t>
    <phoneticPr fontId="1" type="noConversion"/>
  </si>
  <si>
    <t xml:space="preserve"> - ON/OFF 활성화 용이하게 구현
 - 구조물,ROOM에 투명도 부여 할 수 있는 기능 제공
 - 투명화 된 상태에서 내부구조물에 대한 조작이 가능해야 함</t>
  </si>
  <si>
    <t>구조물에 오플홀을 부여하는 기능</t>
    <phoneticPr fontId="1" type="noConversion"/>
  </si>
  <si>
    <t xml:space="preserve"> - 설비의 속성정보 중의 오픈홀 값을 리딩하여, 자동으로 오픈홀 부여 . 
 - 사용자가 선택한 위치에 오픈홀 기능을 활성화하면, 오픈홀 생성이 가능
- 오픈홀을 타공과 같은 개념으로 간주
- 디폴트 네모 오픈홀로 적용</t>
  </si>
  <si>
    <t>설정값 입력을 통한 오픈홀 규격 조정 기능</t>
    <phoneticPr fontId="1" type="noConversion"/>
  </si>
  <si>
    <t xml:space="preserve"> - 3D 구조물 내 오픈홀을 클릭하여 규격을 조정한다(W,L.H 입력) </t>
  </si>
  <si>
    <t>구조물,3D 모델의 라인에 정확하게 부착될 수 있는 기능</t>
    <phoneticPr fontId="1" type="noConversion"/>
  </si>
  <si>
    <t xml:space="preserve"> - 선이나 면의 끝점에 스냅
 - 지정된 격자 간격에 맞춰 스냅
- 여러 기능과 활성화되어 이중 사용 가능</t>
  </si>
  <si>
    <t>3d 라이브러리 모델을 드래그하여 원하는 위치에 구조물을 배치 할 수 있는 기능</t>
  </si>
  <si>
    <t xml:space="preserve"> - 3D라이브러리 모델을 공정별 또는 객체별로 드래그하여 배치할 수 있는 기능</t>
  </si>
  <si>
    <t>그루핑 기능</t>
  </si>
  <si>
    <t>공정별 사용되는 구조물과 기계/설비 등을 하나의 그룹으로 조합하고, 해제하는 기능</t>
    <phoneticPr fontId="1" type="noConversion"/>
  </si>
  <si>
    <t xml:space="preserve"> - 3D 모델의 그룹 및 그룹해제 기능</t>
  </si>
  <si>
    <t>객체 거리측정 기능</t>
  </si>
  <si>
    <t>선택한 OBJECT 객체와 주변 객체와의 거리값을 표출하는 기능</t>
    <phoneticPr fontId="1" type="noConversion"/>
  </si>
  <si>
    <t xml:space="preserve"> - 3D 모델을 드래그하였을 때, 가장 가까운 벽체와의 거리값을 표출하여, 자유로운 배치가능
 - 활성화/비활성화 설정이 가능해야 한다. (디폴트 값은 활성화)</t>
  </si>
  <si>
    <t>하이라이트 기능</t>
  </si>
  <si>
    <t>선택한 대상이 하이라이트 되는 기능</t>
  </si>
  <si>
    <t xml:space="preserve"> - room, box, boxroom 등 내역에서 선택 시 해당 대상이 하이라이트 되는 기능</t>
  </si>
  <si>
    <t>구조물 합치기 기능(merge)</t>
  </si>
  <si>
    <t>배치된 구조물을 하나의 구조물로 합치는 기능</t>
  </si>
  <si>
    <t xml:space="preserve"> - 구조물 배치 시 중복되는 벽체를 하나로 변환하거나 여러 개 구조물을 배치된 상태에서 하나의 구조물로 전환시키는 기능</t>
  </si>
  <si>
    <t>부력방지키 생성 기능</t>
  </si>
  <si>
    <t>구조물 하부 슬라브 기준 부력방지키 생성 기능</t>
  </si>
  <si>
    <t xml:space="preserve"> - 배치 완료된 구조물 하부 슬라브 기준으로 부력방지키 생성되는 기능
 - 부력방지키 생성 이전으로 되돌아가는 기능(레이아웃 수정을 위함)</t>
  </si>
  <si>
    <t>3D 구조물명 표기 ON/OFF</t>
  </si>
  <si>
    <t>3D 구조물 상부슬라브에 구조물명 표기 ON/OFF 기능</t>
  </si>
  <si>
    <t xml:space="preserve"> - 'ON(표기)가 Default값</t>
  </si>
  <si>
    <t>3D 표준배치도를 오픈한 상태에서 설계자가 수요에 따라, 구조물 모델등의 위치를 재배치할 수 있는 기능</t>
  </si>
  <si>
    <t xml:space="preserve"> - 배치된 3D 모델의 조정 (구조물, 기계, 배관, 전기 Tray)
- 3D 라이브러리안의 모델을 드래그하여 배치할 수 있는 기능 제공</t>
    <phoneticPr fontId="1" type="noConversion"/>
  </si>
  <si>
    <t>구조물 /기계/
(건축실)
 배치, 규격  조정</t>
  </si>
  <si>
    <t>- 구조물 더블 클릭 시 해당 속성정보 팝업이 뜬다(명칭/건축,토목/x,y,z축/W,L,H/부피 변경 시  3D에 반영된다)
#공동구 더블 클릭 시 해당 속성정보 팝업이 뜬다(명칭/건축,토목/x,y,z축/W,L,H/부피 변경 시 3D에 반영된다)
'-레이아웃 정렬: 반응조 및 저류조(용량계산서에서 계산된 구조물)의 경우 Total Area는 고정되어있고 W를 조정할 시 Area가 유지되도록 L이 자동으로 맞춰지도록 조정되어야함. (소수점은 반올림)
- 구조물 모델 사이즈 조정: 클릭또는 선택 작업을 통하여, L=( ), W=(  ), H=(  ) 설정으로 구조물 한 개 객체 로 보고 사이즈 업다운 진행
- 공동구 배치: 
3D 리스트에서 Drag and drop하여 공동구를 배치한다
1안) 사각형태의 공동구를 drag and drop하여 사이즈를 조정하고 모든 벽체를 활성/비활성(보이기/숨기기) 모드로 조정한다
2안) 다양한 형태의 공동구 리스트 중 원하는 형태의 공동구를 drag and drop하여 사이즈를 조정한다.
- 추가 구조물 배치:3D 리스트에서 Drag and drop하여 추가 구조물을 배치한다(ROOM)
 (*계산파트에서 넘어온 공정을 제외한 공정을 추가할 경우 오른쪽 탭2(3D 마크업)에서 drag and drop하여 배치한다)</t>
  </si>
  <si>
    <t>속성 정보창 표출</t>
  </si>
  <si>
    <t xml:space="preserve"> - 3D 더블 클릭시 해당 속성 정보 가시화
 - 구조물 속성정보 표현 
   : 폭, 길이, 높이, 수위
   : 소요용량, 적용용량, HRT(체류시간)
   : 설계 인자값 표현
 - 기계 속성정보 표현
   : 기기번호
   : 품명, 사양, 수량
   : Vendor, 동력, 성능곡선표
   : Openhole 필요여부 check</t>
  </si>
  <si>
    <t>각각의 구조물들의 손쉽게 정렬 할 수 있는 기능</t>
  </si>
  <si>
    <t xml:space="preserve"> - 왼쪽, 오른쪽, 위, 아래, 가운데 맞춤 등 레이아웃 정렬 기능 </t>
  </si>
  <si>
    <t xml:space="preserve"> 반응조 및 저류조 자동 길이 조정 (W 변경 시 L 자동 계산) 기능</t>
    <phoneticPr fontId="1" type="noConversion"/>
  </si>
  <si>
    <t xml:space="preserve"> - 반응조 및 저류조의 경우, 용량계산서에서 계산된 Total Area를 유지하면서 W(폭) 조정 시 L(길이) 값이 자동으로 조정됨 (소수점 반올림 적용)
- 잠금기능 제공(원하는 값 하나를 픽하고, 따라서 변경되는 기능)</t>
  </si>
  <si>
    <t>공동구(룸) 배치</t>
  </si>
  <si>
    <t xml:space="preserve"> 공동구 Drag &amp; Drop 배치 기능</t>
    <phoneticPr fontId="1" type="noConversion"/>
  </si>
  <si>
    <t xml:space="preserve"> - 공동구 등 추가 구조물 배치</t>
    <phoneticPr fontId="1" type="noConversion"/>
  </si>
  <si>
    <t>공동구 등 개별 구조물 크기 조정 기능</t>
  </si>
  <si>
    <t xml:space="preserve"> - 3D 구조물 내 공동구를 클릭하여 규격을 조정한다(W,L.H 입력) </t>
  </si>
  <si>
    <t>건축요소(악세사리) 배치</t>
  </si>
  <si>
    <t>출입문, 창문 등 추가 구조물에 대한 배치 기능</t>
  </si>
  <si>
    <t xml:space="preserve"> - 심볼과 3d모델을 매핑한 추가구조물 배치 가능</t>
  </si>
  <si>
    <t>사용자 지정 벽체 삭제 기능</t>
    <phoneticPr fontId="1" type="noConversion"/>
  </si>
  <si>
    <t xml:space="preserve"> - 3D 구조물 내 벽체, 슬라브 등을 클릭하여 삭제하는 기능</t>
  </si>
  <si>
    <t>배관라우팅</t>
  </si>
  <si>
    <t xml:space="preserve">- 설비별 정해진 routing 로직에 따라 배관이 자동 배치 된다.
- 연결할 구조물(ROOM)의 sleeve nozzle 2개(from/to)를 클릭하여 배관을 생성한다
- 구조물(ROOM)에 P&amp;ID정보가 포함된 sleeve nozzle 2개(from/to)를 클릭하면 파이프 정보, 밸브 등 P&amp;ID정보가 반영된 배관이 최적경로로 생성된다 </t>
    <phoneticPr fontId="1" type="noConversion"/>
  </si>
  <si>
    <t>정해진 라우팅 로직에 따라 배관들이 연결되어 배치되는 시각화 기능</t>
    <phoneticPr fontId="1" type="noConversion"/>
  </si>
  <si>
    <t xml:space="preserve"> - P&amp;ID 매핑자료에 따른 배관 설계 모듈 연동
 - 설비별 지정된 배관 Routing 로직을 기반으로 자동 배관 배치 기능
 </t>
  </si>
  <si>
    <t>기계와 배관 간섭 감지</t>
  </si>
  <si>
    <t xml:space="preserve"> - 기계와배관,배관배관 간섭을 감지
 - 간섭이 발생한 부위를 별도 하이라이트하여 시각화 </t>
  </si>
  <si>
    <t>노즐을 통한 구조물 연계
POC 기반 배관 연결 설정 (기계 간 배관 연결)</t>
  </si>
  <si>
    <t xml:space="preserve"> - 구조물(ROOM)에 P&amp;ID정보가 포함된 sleeve nozzle 2개(from/to)를 클릭하면 파이프 정보, 밸브 등 P&amp;ID정보가 반영된 배관이 최적경로로 생성
 - 사용자가 기계 노즐과 구조물 클릭하면 배관 생성
 - POC(Point of Connection) 개념 도입 → 벽체에 POC(노즐 배치) 설정 후 From → To 지정하면 배관 생성
- 최적 배관 경로 생성 기능 (시작점, 끝점 기준 배관 생성)</t>
  </si>
  <si>
    <t>배관 각도와 위치 조정 기능</t>
  </si>
  <si>
    <t>- 자동라우팅 된 배관 배치에 조정이 필요할 경우, 배관의 각도, 위치 등 조정 진행 가능</t>
  </si>
  <si>
    <t>전체 배관 레이어를 온/오프 할 수 있는 기능</t>
  </si>
  <si>
    <t>배관 배치 최종 확정된 후, 3d 배관도 생성 기능 제공</t>
    <phoneticPr fontId="1" type="noConversion"/>
  </si>
  <si>
    <t xml:space="preserve"> - 생성 완료된 후, 확인하고 3d 배관도 저장 버튼으로 도면 생성
 - 3D 정보 물량 산출에 활용
 - p&amp;id로 저장할 경우,P&amp;ID 변경 사항 안내 기능</t>
  </si>
  <si>
    <t>iso도면과 동일한 기능임으로 하나로 취합예정-고객사와 최종 합의 필요</t>
  </si>
  <si>
    <t>도면과 달리 변경할 경우, 알람 문구 표출</t>
    <phoneticPr fontId="1" type="noConversion"/>
  </si>
  <si>
    <t xml:space="preserve">  - 기계 리스트 변경 시 P&amp;ID 변경 사항 안내 기능</t>
  </si>
  <si>
    <t>연동 계산 확인</t>
  </si>
  <si>
    <t>- 용량 계산 연동: 조정한 기준으로 용량계산 반영 필요</t>
    <phoneticPr fontId="1" type="noConversion"/>
  </si>
  <si>
    <t>3d 레이아웃 단계에서 변동된 값들에 대한 반복적인 계산을 통한 결과 값 확인 기능</t>
    <phoneticPr fontId="1" type="noConversion"/>
  </si>
  <si>
    <t xml:space="preserve"> - 구조물 규격 조정과 변경된 사항 용량계산서 연동 확인</t>
    <phoneticPr fontId="1" type="noConversion"/>
  </si>
  <si>
    <t>- 전기실 판넬 배치 기능
- 전기 용량 계산서에서 산출된 판넬 외함 규격 호출하여 3D 배치
- MCC 구성도에서 반영된 외함 규격을 3D 반영 
- 배치 완료된 3D 도면은 2D 산출 
' - PANEL 3D 배치 후 , 3D로 전기 Tray 경로 그린 후 2D 산출
 - 전기 Tray 규격은 전기용량계산서에서 산출
 - 전기 케이블 스케줄 물량산출에 반영</t>
    <phoneticPr fontId="1" type="noConversion"/>
  </si>
  <si>
    <t>전기실 내 판넬을 배치 기능(고압반, 저압반, TR)제공</t>
    <phoneticPr fontId="1" type="noConversion"/>
  </si>
  <si>
    <t xml:space="preserve"> - 전기 용량 계산서에서 산출된 판넬 외함 규격을 호출하여 3D 배치
 - MCC 구성도 반영하여 3D 모델에 외함 규격 자동 적용 기능
 - Drag &amp; Drop 사용자 배치</t>
  </si>
  <si>
    <t>- 전기 용량 계산서 기반으로 자동 판넬 크기 적용 기능</t>
  </si>
  <si>
    <t xml:space="preserve"> - 3D Markup에 판넬 규격에 맞는 모듈 불러오기</t>
  </si>
  <si>
    <t>- 전기 판넬 3D 배치 완료 후, 3D에서 전기 Tray 경로를 설정 및 조정</t>
  </si>
  <si>
    <t xml:space="preserve"> - 자동라우팅 된 Tray 경로의 조정이 필요할 경우 위치 등 조정 진행 가능
 - 설정된 Tray 경로를 2D 도면으로 산출
 - 3D 정보 물량 산출에 활용</t>
  </si>
  <si>
    <t>전기 용량 계산서 기반으로 Tray 규격 자동 적용되는 기능</t>
    <phoneticPr fontId="1" type="noConversion"/>
  </si>
  <si>
    <t xml:space="preserve"> - 전기 용량계산 정보에 맞는 Tray 규격 적용</t>
  </si>
  <si>
    <t>배관 혹은 트레이 간의 간섭이 생길 경우 오류형태로 간섭체크 기능 제공</t>
    <phoneticPr fontId="1" type="noConversion"/>
  </si>
  <si>
    <t xml:space="preserve"> - 배관과 Tray 간섭을 감지
 - 간섭이 발생한 부위를 별도 하이라이트하여 시각화 </t>
  </si>
  <si>
    <r>
      <rPr>
        <sz val="11"/>
        <color rgb="FF000000"/>
        <rFont val="맑은 고딕"/>
        <family val="3"/>
        <charset val="129"/>
      </rPr>
      <t xml:space="preserve">배치된 내용에 따른 </t>
    </r>
    <r>
      <rPr>
        <sz val="11"/>
        <color rgb="FF000000"/>
        <rFont val="한양중고딕"/>
        <family val="3"/>
      </rPr>
      <t>전기 케이블 스케줄 물량</t>
    </r>
    <r>
      <rPr>
        <sz val="11"/>
        <color rgb="FF000000"/>
        <rFont val="맑은 고딕"/>
        <family val="3"/>
        <charset val="129"/>
      </rPr>
      <t xml:space="preserve">을 </t>
    </r>
    <r>
      <rPr>
        <sz val="11"/>
        <color rgb="FF000000"/>
        <rFont val="한양중고딕"/>
        <family val="3"/>
      </rPr>
      <t>산출</t>
    </r>
    <r>
      <rPr>
        <sz val="11"/>
        <color rgb="FF000000"/>
        <rFont val="맑은 고딕"/>
        <family val="3"/>
        <charset val="129"/>
      </rPr>
      <t>하는 기능</t>
    </r>
    <phoneticPr fontId="1" type="noConversion"/>
  </si>
  <si>
    <t xml:space="preserve"> - 전기 Tray의 From - To 반영하여 경로별 동력/제어설비 케이블 길이 산출 기능</t>
  </si>
  <si>
    <t>PFD 도면 생성</t>
  </si>
  <si>
    <t>제출용 PFD 파일 자동 생성 기능</t>
  </si>
  <si>
    <t>용량계산서 및 기기리스트를 기반으로 PFD 도면을 자동으로 생성(2d에서 사용했던 pfd 기준 )</t>
  </si>
  <si>
    <t xml:space="preserve"> - 공정 간의 From-To 정보를 통해 자동 생성됨(공정 흐름에 맞춘 PFD 카드 자동 생성)
 - PFD 라이브러리가 없을 경우 관리자에게 메세지 전달</t>
  </si>
  <si>
    <t>배치된 카드 속성정보의 도면 표현</t>
  </si>
  <si>
    <t xml:space="preserve"> - 구조물 이름, 기기이름 표기되어 2d도면에 반영</t>
  </si>
  <si>
    <t>생성된 산출물을 로컬에 저장할 수 있는 기능</t>
  </si>
  <si>
    <t xml:space="preserve"> - 생성된 도면을 pdf,dxf 포멧으로 출력하여 저장할 수 있는 기능</t>
  </si>
  <si>
    <t>P&amp;ID 도면 생성</t>
  </si>
  <si>
    <t>-용량계산서 및 기기리스트의 내용을 기반으로 P&amp;ID 도면을 불러온다.
(지정된 도면 번호를 갖는 도면들 불러오기)
- From-To 정보: 불러온 P&amp;ID 도면 상에 From-To 정보를 바탕으로 도면 번호/명칭, 기기 번호/명칭이 자동으로 기입된다.
-밸브리스트: 불러온 P&amp;ID 도면 상에 밸브리스트 정보를 바탕으로 밸브 번호/명칭이 자동으로 기입된다.
-계측기 리스트:불러온 P&amp;ID 도면 상에 계측기리스트 정보를 바탕으로 계측기 번호/명칭이 자동으로 기입된다. 
- 배관리스트:불러온 P&amp;ID 도면 상에 배관리스트 정보를 바탕으로 배관의 관경/사양이 자동으로 기입된다.
- 펀넬: 불러온 P&amp;ID 도면 상에 판넬 정보를 바탕으로 판넬 번호가 자동으로 기입된다.
- 도곽: 도곽을 이부분에서 삽입되는 것으로 할까, 미리 P&amp;ID에 작성해둘까
 1) 미리 P&amp;ID에 작성될 경우, 정보들이 반영되게 할 수 있음 (작성일자, 내용 등)
 2) 삽입할 경우, 정보들을 사용자가 직접 작성해야 함
* (지정된 번호가 From-To 정보, 밸브리스트, 계측기 리스트, 배관리스트, 판넬 정보 DB Table과 매칭하여 변환되어 출력되는 방식)</t>
  </si>
  <si>
    <t xml:space="preserve"> 제출용 P&amp;ID 파일 자동 생성 기능</t>
  </si>
  <si>
    <t>용량계산서 및 기기리스트를 기반으로 P&amp;ID 도면 자동 생성</t>
    <phoneticPr fontId="1" type="noConversion"/>
  </si>
  <si>
    <t xml:space="preserve"> - From-To 정보, 밸브리스트, 계측기 리스트, 배관리스트 정보가 자동 입력됨
 - P&amp;ID 라이브러리가 없을 경우 관리자에게 메세지 전달
 - P&amp;ID 실행에도 3D 시설배치 작업 진행 중일 경우 3D 시설배치 작업 상태 유지</t>
  </si>
  <si>
    <t>From-To 정보, 밸브리스트, 계측기 리스트, 배관리스트 정보가 자동 입력됨</t>
    <phoneticPr fontId="1" type="noConversion"/>
  </si>
  <si>
    <t xml:space="preserve"> - 밸브리스트 기반으로 밸브 번호/명칭 자동 입력
 - 계측기리스트 기반으로 계측기 번호/명칭 자동 입력
 - 배관리스트 기반으로 배관 관경/사양 자동 입력
 - 판넬 정보를 바탕으로 판넬 번호가 자동으로 기입된다.</t>
  </si>
  <si>
    <t>매핑테이블을 이용한 프로젝트에 사용된 심볼 불러오기 기능</t>
  </si>
  <si>
    <t xml:space="preserve"> - 프로젝트에 사용되는 심볼만 나타내고 자동정렬
 - 기본정보시스템에 업로된 심볼데이터 사용</t>
  </si>
  <si>
    <t>3d 레이아웃에서 확정된 정보에 따라 도면 생성</t>
  </si>
  <si>
    <t xml:space="preserve"> -설비 태그 자동 부여 및 From-To 정보를 통한 생성
 -P&amp;ID와 3D, 배관 라우팅 간의 데이터 연계를 유지하여 일관성 확보</t>
  </si>
  <si>
    <t>수리 계산에서 전달된 정보를 기준으로 수리계통도를 자동 생성</t>
  </si>
  <si>
    <t xml:space="preserve"> - 수리 계산에서 제공된 데이터를 바탕으로 수리계통도 자동 생성
 - 수리정보 변경시 공정계획 단계로 이동하여 변경한다.  </t>
  </si>
  <si>
    <t>3D 시설배치시 구조물 속성정보(H,He) 변경 시 계통도에 반영</t>
  </si>
  <si>
    <t xml:space="preserve"> - 수리 계산 정보 변경 시, 3D 시설배치 단계로 돌아가 수정
 - 3D 시설배치 변경 시 수리 계산 정보에 반영
 - 수리 계산 실행에도 작성된 레이아웃 배치정보 유지</t>
  </si>
  <si>
    <t>공정 설정에 따른 심볼 배치</t>
  </si>
  <si>
    <t xml:space="preserve"> - 유입~유출 흐름에 따라 심볼 자동 배치
 - 구조물 높이 Scale을 반영한 배치
 - 수리계산서 결과값을 기반으로 Water Level 표기
 - 구조물 정보 및 레이아웃 배치에 따라 Elevation Level 표기</t>
  </si>
  <si>
    <t>수위 정보, FGL, EL 정보가 자동 입력됨</t>
  </si>
  <si>
    <t xml:space="preserve"> - 3D 구조물 배치, 용량계산서와 연동하여 속성 정보 2D 도면에 입력</t>
  </si>
  <si>
    <t xml:space="preserve"> 시설 배치 부지 정보와 3D 시설 배치 동시 표출되었던 내용을 반영하여, 평면도를 생성하는 기능</t>
  </si>
  <si>
    <t xml:space="preserve"> - 부지 정보 및 시설 배치를 3D 동기화하여 가시성 확보</t>
  </si>
  <si>
    <t>배치된 3D 시설 정보를 기반으로 2D 계획 평면도 자동 생성하는 기능</t>
  </si>
  <si>
    <t xml:space="preserve"> - 구조물 상부 평면도 표현
 - 도곽(Title Board) 배치 (BKT_SFR_06_008)
 - PDF, DXF 저장 기능</t>
  </si>
  <si>
    <t>3D 배치 완료 후 평단면도 생성하는 기능</t>
  </si>
  <si>
    <t xml:space="preserve"> - 3D 배치가 완료된 후, 자동으로 구조물의 평단면도(2D) 생성
  - PDF, DXF 저장 기능
</t>
  </si>
  <si>
    <t>3D 모델에서 설정된 평, 단면 위치를 기반으로 2D 도면을 생성</t>
  </si>
  <si>
    <t>- 평, 단면 위치 설정 기능
   : 사용자가 3D 모델에서 평면 및 단면 위치를 설정하면 해당 정보 기반으로 2D 생성
   : 필요 시 여러 개의 평,단면 생성 가능</t>
  </si>
  <si>
    <t>미리 설정한 치수 기준에 맞춰 치수선이 기입되어 표기되는 기능</t>
  </si>
  <si>
    <t xml:space="preserve"> - 생성된 2D 도면에 구조물 벽체 두께 기준 치수선 기입
 - 치수선 기입 기준 변경 할 수 있는 기능
 - ft, inch 치수선 표기 경우 이중 치수 표시 (ex 10'-6")</t>
  </si>
  <si>
    <t>E.L, F.G.L 값 표기되어 2d도면에 반영</t>
  </si>
  <si>
    <t xml:space="preserve"> - 3D배치 Level 값 반영하여 2D 도면에 Level 정보 표기</t>
  </si>
  <si>
    <t>수위 값 표기되어 2d도면에 반영</t>
  </si>
  <si>
    <t xml:space="preserve"> - 2D 도면에 수위 Symbol 표기하는 기능</t>
  </si>
  <si>
    <t>구조물 이름 표기되어 2d도면에 반영</t>
  </si>
  <si>
    <t xml:space="preserve"> - 구조물 이름 표기되어 2d도면에 반영</t>
  </si>
  <si>
    <t>도곽이 표기되어 2d도면에 반영</t>
  </si>
  <si>
    <t xml:space="preserve"> - SCALE 조정
 - 도곽 내 표/내용(text) 입력 기능</t>
  </si>
  <si>
    <t xml:space="preserve"> - 3D 배치가 완료된 후, 자동으로 기계,배관의 평단면도(2D) 생성</t>
  </si>
  <si>
    <t xml:space="preserve"> - 3D 배치 완료 후 평단면도 생성
 - PDF, DXF 저장 기능
 - 기계, 배관 레이어 설정 (구조물은 회색 적용, 기계/배관은 흰색 적용)</t>
  </si>
  <si>
    <t xml:space="preserve"> - 사용자가 3D 모델에서 평면 및 단면 위치를 설정하면 해당 정보 기반으로 2D 생성
  - 필요 시 여러 개의 평,단면 생성 가능</t>
  </si>
  <si>
    <t>구조물 이름, 기기이름 표기되어 2d도면에 반영</t>
  </si>
  <si>
    <t>P&amp;ID Legend (범례)</t>
  </si>
  <si>
    <t>장비일람표 생성</t>
  </si>
  <si>
    <t>3D 배관 배치 정보를 기반으로 Isometric 도면 생성</t>
  </si>
  <si>
    <t xml:space="preserve"> - 3D 모델에서 배관 정보를 가져와서 등각투영(Isometric) 도면 생성
 - PDF, DXF 저장 기능</t>
  </si>
  <si>
    <t>ISO 도면 표현 
- 2D 형태 Line생성 또는 3D 찍어내기
 : 도면 생성되는 범위 설정은 어떻게 해야할지 논의 필요
&gt;&gt; 배관 라인은 3D 표기, From - to 시설 표현은 TEXT</t>
  </si>
  <si>
    <t>해당 배관 범위의 B.O.M (Bill of Materials) Table을 함께 표현</t>
  </si>
  <si>
    <t xml:space="preserve"> - 배관 길이, 관경, 피팅(Fitting)등  수량 정보 반영한 테이블 생성</t>
  </si>
  <si>
    <t>치수선 반영</t>
  </si>
  <si>
    <t>미리 설정한 치수 기준에 맞춰 배관 길이의 치수선이 기입되어 표기되는 기능</t>
  </si>
  <si>
    <t xml:space="preserve"> - 생성된 2D 도면에 배관 길이 기준 치수선 기입
 - 치수선 기입 기준 변경 할 수 있는 기능
 - ft, inch 치수선 표기 경우 이중 치수 표시 (ex 10'-6")</t>
  </si>
  <si>
    <t>배관 길이, 밸브 수량 등을 수량 산출서 양식에 반영</t>
  </si>
  <si>
    <t xml:space="preserve"> - 배관 길이, 밸브 수량 등을 수량 산출서 양식에 반영</t>
  </si>
  <si>
    <t>고압반, 저압반 변압기 구성에 따른 수변전 단선결선도 자동 생성</t>
  </si>
  <si>
    <t xml:space="preserve"> - 수변전 설계 정보 기반 블록 자동 생성 및 배치
 - 불러온 블럭들은 일정한 로직에 따라 자동배치</t>
  </si>
  <si>
    <t>수변전 규격 정보가 자동 입력됨</t>
  </si>
  <si>
    <t xml:space="preserve"> - 수배전설비 용량 계산 기반으로  설비 규격 자동 입력
 - 판넬 정보를 바탕으로 판넬 번호가 자동으로 기입된다.
 - 번호 및 명칭 자동 입력</t>
  </si>
  <si>
    <t xml:space="preserve"> - 프로젝트에 사용되는 심볼만 나타내고 자동정렬</t>
  </si>
  <si>
    <t>기동 방식에 따른 MCC 단선결선도 자동 생성</t>
  </si>
  <si>
    <t xml:space="preserve"> - MCC(전동기기동반) 설계 정보, 기계리스트를 바탕으로 모듈화된 블록을 불러옴
   (모듈 형태의 블록들은 직입기동, 인버터, 소프트스타터 등)
 - 불러온 블럭들은 일정한 로직에 따라 자동배치
 - Tag Number를 활용한 표준화된 심볼 자동 변경</t>
  </si>
  <si>
    <t>MCC Unit 규격 정보가 자동 입력됨</t>
  </si>
  <si>
    <t xml:space="preserve"> - 기계명, 입력용량, 차단기 등을 정리된 표에 내용 자동 입력
 - 번호 및 명칭 자동 입력</t>
  </si>
  <si>
    <t>기계 동력 부하에 따른 MCC반 구성도 생성
완성된 MCC반은 3D 형태로 저장되며, 전기실 배치도 작성 및 2D 도면 산출에 활용</t>
  </si>
  <si>
    <t xml:space="preserve"> - 2D 기반으로 MCC 모듈을 결합하여 배치
 - 2D 상태에서 슬롯 배치 기능 제공
 - MCC반 및 판넬 배치 정보 생성
 - 3D 형태의 MCC반 저장 및 2D 도면 출력</t>
  </si>
  <si>
    <t>MCC 정보가 자동 입력됨</t>
  </si>
  <si>
    <t xml:space="preserve"> - 기계번호, 기동방식 Type 등을 MCC반 구성도에 내용 자동 입력</t>
  </si>
  <si>
    <t>3D 전기실 배치 완료 후 평면도 생성</t>
  </si>
  <si>
    <t xml:space="preserve"> - 평면 위치 설정 기능
   : 사용자가 3D 모델에서 평면 위치를 설정하면 해당 정보 기반으로 2D 생성
   : 필요 시 여러 개의 평면 생성 가능
 - 미리 설정한 치수 기준에 맞춰 치수선 기입 기능</t>
  </si>
  <si>
    <t>3D 전기 Tray 배치 완료 후 평면도 생성</t>
  </si>
  <si>
    <t xml:space="preserve"> - 3D 배치 완료 후 평면도 생성
 - 평면 위치 설정 기능
   : 사용자가 3D 모델에서 평면 위치를 설정하면 해당 정보 기반으로 2D 생성
   : 필요 시 여러 개의 평면 생성 가능
 - 미리 설정한 치수 기준에 맞춰 치수선 기입 기능</t>
  </si>
  <si>
    <t xml:space="preserve"> - 판넬, 케이블 Tray 정보 Text 기입</t>
  </si>
  <si>
    <t>전기 용량계산서의 케이블 스케줄표 정보를 2D 도면 형식의 표로 변환하여 출력</t>
  </si>
  <si>
    <t xml:space="preserve"> - 케이블스케줄 테이블 자동 생성(2D 도면 변환)
 - From-To, 전선사양등의 정보를 불러와 Text 자동 기입</t>
  </si>
  <si>
    <t>도면 편집</t>
  </si>
  <si>
    <t>산출된 2d도면을 편집할 수 있는 기능 제공</t>
  </si>
  <si>
    <t xml:space="preserve"> - 산출된 2D 도면의 편집
 - 기기수량 및 사양 조정시, 연계된 모든 리스트 업데이트
   : 기기리스트, From-To, 밸브리스트, 계측기리스트, 배관리스트 정보 재산출</t>
  </si>
  <si>
    <t xml:space="preserve">-도각 이미지 삽입, 도면 치수 자동 표출, 수위표기, 2D 심볼 범례 정렬 표출 기능/ 도각내 내용및 테이블 기능 부분 추가:20250306.docx 회의록 참조 </t>
  </si>
  <si>
    <t>도곽을 편집 할 수 있는 기능 제공</t>
  </si>
  <si>
    <t xml:space="preserve"> -기본 템플릿 선택 제공
 - SCALE 조정
 - 회사 CI(로고), 주소 등 이미지 추가 가능
 - 도곽 내 표/내용(text) 입력 기능</t>
  </si>
  <si>
    <t>도면 치수 자동 표출 및 편집할 수 있는 기능 제공</t>
  </si>
  <si>
    <t xml:space="preserve"> - 2D 도면 생성 시 자동으로 치수 표출
 - 치수 적용 기준을 설정할 수 있도록 제공 (기준 확인 후 구현 여부 판단)</t>
  </si>
  <si>
    <t>태그정보 표출 및 조정 기능 제공</t>
  </si>
  <si>
    <t xml:space="preserve"> - Isometric 태그 정보 등  태그 정보 조정 가능</t>
  </si>
  <si>
    <t>심볼 자동 표출 및 정렬 기능 제공</t>
  </si>
  <si>
    <t xml:space="preserve"> - 레전드 라이브러리 도면에서 프로젝트 특성에 맞는 심볼 불러오기
 - 테이블에 맞춰 심볼 정렬 기능</t>
  </si>
  <si>
    <t>도면 출력</t>
  </si>
  <si>
    <t>DXF, PDF 등 다양한 포맷으로 저장 지원 기능</t>
  </si>
  <si>
    <t xml:space="preserve"> - 생성된 2D 도면을 출력하는 기능 제공
 - 지정된 위치에 도면 파일을 변경하여 저장 가능
 - 파트별 한 개의 파일에 여러 도면을 저장하는 기능 제공</t>
  </si>
  <si>
    <t>도면 병합 출력 기능 제공</t>
  </si>
  <si>
    <t xml:space="preserve"> - 파트별 생성된 여러 도면들을 하나의 파일로 저장</t>
  </si>
  <si>
    <t>파일 위치 지정하여 저장하는 기능</t>
  </si>
  <si>
    <t xml:space="preserve"> - 사용자 PC에 PDF, DXF 저장 기능</t>
  </si>
  <si>
    <t>수량 산출 및 내역서 산출</t>
  </si>
  <si>
    <t>가시설공, 오픈컷 물량 산출 기능</t>
  </si>
  <si>
    <t xml:space="preserve"> - 3D 설계 모듈에서 생성된 구조물 배치도 모델링 데이터를 물량 정보 연동
 - 토공 물량 산출 (가시설공, 오픈컷)
 - 산출 과정이 끝나면 프로그램 화면에 표기
 - 반복 작업이 가능한 고정 메뉴 제공
 - 공종별 선택 조건에 따라 출력 기능
 - 공사비 요율 테이블 관리 기능 제공
 - 설계 변경(SFR-04~06)시 물량, 내역서 반영</t>
  </si>
  <si>
    <t>콘크리트 거푸집, 비계, 동바리 등 산출 기능</t>
  </si>
  <si>
    <t xml:space="preserve"> - Excel 내역서 양식 반영하여 산출 내역 관리</t>
  </si>
  <si>
    <t>토공, 구조물공 물량산출 항목별 단가 정보 연계하여 내역서 산출</t>
  </si>
  <si>
    <t xml:space="preserve"> - 공사비 산출 기능 (토공, 구조물 공사비 계산)
 - 단가 테이블은 별도 db로 관리</t>
  </si>
  <si>
    <t>3D 정보 연계하여 토공, 구조물공 물량 산출</t>
  </si>
  <si>
    <t>프로그램 내 단가 수정할 수 있는 기능</t>
  </si>
  <si>
    <t>각 공정별 산출된 물량과 금액 리스트 저장하는 기능</t>
  </si>
  <si>
    <t xml:space="preserve"> - PDF, Excel 저장 기능</t>
  </si>
  <si>
    <t>연면적 또는 수평투영면적 산출 기능</t>
  </si>
  <si>
    <t xml:space="preserve"> - 3D 설계 모듈에서 생성된 구조물 배치도 모델링 데이터를 연계하여 물량 산출
 - 면적 기준으로 단가 적용하여 산출 (연면적 또는 수평투영면적 선택)
 - Excel 내역서 양식 반영하여 산출 내역 관리
 - 산출 과정이 끝나면 프로그램 화면에 표기
 - 반복 작업이 가능한 고정 메뉴 제공
 - 설계 변경(SFR-04~06)시 물량, 내역서 반영</t>
  </si>
  <si>
    <t>공사비 산출 기능 제공</t>
  </si>
  <si>
    <t>적용된 건축 연면적 또는 수평투영 면적 기준으로 단가 적용하여 산출
(연면적 또는 수평투영면적은 선택 사항)</t>
  </si>
  <si>
    <t>3D 정보 연계하여 건축 면적 정보 기반 물량 산출</t>
  </si>
  <si>
    <t>공사비 요율 테이블 관리 기능 제공</t>
  </si>
  <si>
    <t xml:space="preserve"> - 공사비 단가 데이터 관리 및 업데이트</t>
  </si>
  <si>
    <t>공종별 선택 조건에 따라 출력 기능(연면적 또는 수평투영면적 선택 계산)</t>
  </si>
  <si>
    <t xml:space="preserve"> - 공사비 산출 내역(Excel, PDF)
 - 각 공종별 산출된 물량 및 금액 리스트</t>
    <phoneticPr fontId="1" type="noConversion"/>
  </si>
  <si>
    <t>기계 용량계산 항목 데이터와 연계하여 물량 산출</t>
  </si>
  <si>
    <t xml:space="preserve"> - 계산파트 기계 용량계산 데이터(BKT_SFR_03_008)와 연계하여 물량 산출
 - 기계 단가 적용하여 산출 (자재비, 노무비 등)
 - Excel 내역서 양식 반영하여 산출 내역 관리
 - 산출 과정이 끝나면 프로그램 화면에 표기
 - 반복 작업이 가능한 고정 메뉴 제공
 - 설계 변경 시 물량, 내역서 반영</t>
  </si>
  <si>
    <t>물량산출 항목별 단가 정보 연계하여 내역서 산출(자재비, 노무비 등)</t>
  </si>
  <si>
    <t>단가 수정 및 관리 기능</t>
  </si>
  <si>
    <t xml:space="preserve"> - 공사비 요율 테이블 관리 기능 제공
 - 물가정보 API 연동</t>
  </si>
  <si>
    <t>공종별, 공정별 선택 조건에 따라 출력 기능</t>
  </si>
  <si>
    <t>- 공사비 산출 내역(Excel, PDF) 저장
 - 각 공종별 산출된 물량 및 금액 리스트</t>
  </si>
  <si>
    <t>배관, 플랜지, 밸브 등 항목별 물량산출</t>
  </si>
  <si>
    <t xml:space="preserve">- 계산파트 기계 용량계산 데이터(BKT_SFR_03_008)와 Isometric(BKT_SFR_06_007)연계하여 물량산출
 - 배관, 밸브 등 단가 적용하여 산출 (자재비, 노무비 등)
 - Excel 내역서 양식 반영하여 산출 내역 관리
 - 산출 과정이 끝나면 프로그램 화면에 표기
 - 반복 작업이 가능한 고정 메뉴 제공
</t>
    <phoneticPr fontId="1" type="noConversion"/>
  </si>
  <si>
    <t>배관, 밸브 등 항목별 단가 적용하여 산출 (자재비, 노무비 등)</t>
  </si>
  <si>
    <t>3D 정보 연계하여 배관 길이, 플랜지/밸브 수량 등 물량 산출</t>
  </si>
  <si>
    <t xml:space="preserve"> - 단가 테이블 관리 기능 제공
 - 물가정보 API 연동</t>
  </si>
  <si>
    <t xml:space="preserve"> - 공사비 산출 내역(Excel, PDF)
 - 각 공종별 산출된 물량 및 금액 리스트
 - PDF, Excel 저장 기능</t>
  </si>
  <si>
    <t>전기 용량계산 항목 데이터와 연계하여 물량 산출</t>
  </si>
  <si>
    <t xml:space="preserve"> - 계산파트 전기 용량계산 데이터(BKT_SFR_03_010)와 전기 Tray (BKT_SFR_05_010)연계하여 물량산출
 - 단가 적용하여 산출 (자재비, 노무비 등)
 - Excel 내역서 양식 반영하여 산출 내역 관리
 - 산출 과정이 끝나면 프로그램 화면에 표기
 - 반복 작업이 가능한 고정 메뉴 제공</t>
  </si>
  <si>
    <t>수변전설비, MCC 등 항목별 단가 적용하여 산출 (자재비, 노무비 등)</t>
  </si>
  <si>
    <t>3D 정보 연계하여 전기 Tray 길이 등 물량 산출</t>
  </si>
  <si>
    <t>계산파트 산출물 데이터 연계하여 유지관리비 산출
단가 적용하여 산출 (전력비, 약품비, 슬러지처리비, 대수선비)</t>
  </si>
  <si>
    <t xml:space="preserve"> - 계산파트 용량계산 데이터(BKT_SFR_03)와 연계하여 유지관리비 산출
 - 단가 적용하여 산출 (전력비, 약품비, 슬러지처리비, 대수선비)
 - Excel 내역서 양식 반영하여 산출 내역 관리
 - 산출 과정이 끝나면 프로그램 화면에 표기
  - 반복 작업이 가능한 고정 메뉴 제공
 - 설계 변경(SFR-04~06)시 유지관리비 계산 반영</t>
  </si>
  <si>
    <t xml:space="preserve"> 유지관리비 선택 조건에 따라 출력 기능</t>
  </si>
  <si>
    <t xml:space="preserve"> - 유지관리비 산출 내역(Excel, PDF)
 - 항목별 산출된 물량 및 금액 리스트
 - PDF, Excel 저장 기능</t>
  </si>
  <si>
    <t>계산 정보, 물량산출 정보, 내역서 정보를 보고서 양식에 기입
처리기술 소개 등의 내용을 보고서 양식에 기입</t>
  </si>
  <si>
    <t xml:space="preserve"> - 기술 검토 내용과 설계 데이터 포함 보고서 생성
  - 설계 데이터 업데이트 반영
- 출력내용:기술검토서 (WORD, PDF)</t>
  </si>
  <si>
    <t>정해진 양식에 따른 보고서 생성 및 수동 편집 기능 제공</t>
  </si>
  <si>
    <t>다양한 파일 형식(EXCEL, PDF, WORD 등)으로 내보내기 지원</t>
  </si>
  <si>
    <t>- excel. WORD, PDF 저장 기능</t>
  </si>
  <si>
    <t xml:space="preserve"> - ID, PW 등 기본 정보 입력하여 회원 가입
 - 관리자 페이지에 기본 정보 저장
 - ID, PW 신규 생성
 -입력 항목: ID, 부서명, 이메일, 연락처</t>
  </si>
  <si>
    <t>롤을 구분하여 설정(admin, 일반사용자, 등등 )</t>
  </si>
  <si>
    <t>- 메뉴별 권한 부여, 
- 서버에 저장하거나, 디폴트 값으로 저장할 경우, 권한 승인 필요하게 설정
- 권한 항목 설정</t>
  </si>
  <si>
    <t>메뉴를 추가하고, 편집할 수 있는 기능</t>
  </si>
  <si>
    <t>- 메뉴 추가/ 편집할 수 있는 기능 
- 권한 조건에 따라 메뉴 숨기기/표출 구현</t>
    <phoneticPr fontId="1" type="noConversion"/>
  </si>
  <si>
    <t>　</t>
  </si>
  <si>
    <t xml:space="preserve">프로젝트 조회, 기존 프로젝트 편집(수정/삭제/권장 프로젝트 설정 등) 기능 제공. </t>
  </si>
  <si>
    <r>
      <t xml:space="preserve">프로젝트 </t>
    </r>
    <r>
      <rPr>
        <sz val="11"/>
        <color rgb="FF000000"/>
        <rFont val="맑은 고딕"/>
        <family val="3"/>
        <charset val="129"/>
      </rPr>
      <t>승인관리</t>
    </r>
  </si>
  <si>
    <t>프로젝트 사용권한 승인 기능</t>
  </si>
  <si>
    <t>권장 프로젝트 사용여부 승인 기능</t>
  </si>
  <si>
    <t>고객사 관리</t>
  </si>
  <si>
    <t>고객사 정보 관리 기능</t>
  </si>
  <si>
    <t>고객 정보 입력:고객사명, 담당자명, 연락처, 이메일 등 정보 기입할 수 있는 창 표출; 입력,수정, 저장 필요</t>
  </si>
  <si>
    <t>업로딩 부지 도면 관리 기능</t>
  </si>
  <si>
    <t>유입성상 유형 추가 기능</t>
  </si>
  <si>
    <t xml:space="preserve"> 유형 추가/ 수정 가능해야함</t>
  </si>
  <si>
    <t xml:space="preserve">
 - 유입성상이 새로 생기면 최초 등록 필요</t>
  </si>
  <si>
    <t>신규 유입수질 항목 추가 기능</t>
  </si>
  <si>
    <t xml:space="preserve"> 유입성상, 유입수질, 목표 제거효율 기본값 설정 기능 제공</t>
  </si>
  <si>
    <r>
      <rPr>
        <sz val="10"/>
        <color rgb="FF000000"/>
        <rFont val="한양중고딕"/>
        <family val="3"/>
        <charset val="129"/>
      </rPr>
      <t xml:space="preserve">
  - </t>
    </r>
    <r>
      <rPr>
        <sz val="10"/>
        <color rgb="FF000000"/>
        <rFont val="맑은 고딕"/>
        <family val="3"/>
        <charset val="129"/>
      </rPr>
      <t>유입수질</t>
    </r>
    <r>
      <rPr>
        <sz val="10"/>
        <color rgb="FF000000"/>
        <rFont val="Courier New"/>
        <family val="3"/>
      </rPr>
      <t xml:space="preserve"> </t>
    </r>
    <r>
      <rPr>
        <sz val="10"/>
        <color rgb="FF000000"/>
        <rFont val="맑은 고딕"/>
        <family val="3"/>
        <charset val="129"/>
      </rPr>
      <t>정보</t>
    </r>
    <r>
      <rPr>
        <sz val="10"/>
        <color rgb="FF000000"/>
        <rFont val="Courier New"/>
        <family val="3"/>
      </rPr>
      <t xml:space="preserve"> </t>
    </r>
    <r>
      <rPr>
        <sz val="10"/>
        <color rgb="FF000000"/>
        <rFont val="맑은 고딕"/>
        <family val="3"/>
        <charset val="129"/>
      </rPr>
      <t>입력</t>
    </r>
    <r>
      <rPr>
        <sz val="10"/>
        <color rgb="FF000000"/>
        <rFont val="Courier New"/>
        <family val="3"/>
      </rPr>
      <t xml:space="preserve"> </t>
    </r>
    <r>
      <rPr>
        <sz val="10"/>
        <color rgb="FF000000"/>
        <rFont val="맑은 고딕"/>
        <family val="3"/>
        <charset val="129"/>
      </rPr>
      <t>항목</t>
    </r>
    <r>
      <rPr>
        <sz val="10"/>
        <color rgb="FF000000"/>
        <rFont val="Courier New"/>
        <family val="3"/>
      </rPr>
      <t xml:space="preserve"> </t>
    </r>
    <r>
      <rPr>
        <sz val="10"/>
        <color rgb="FF000000"/>
        <rFont val="맑은 고딕"/>
        <family val="3"/>
        <charset val="129"/>
      </rPr>
      <t xml:space="preserve">관리
</t>
    </r>
    <r>
      <rPr>
        <sz val="10"/>
        <color rgb="FF000000"/>
        <rFont val="Courier New"/>
        <family val="3"/>
      </rPr>
      <t xml:space="preserve">  - </t>
    </r>
    <r>
      <rPr>
        <sz val="10"/>
        <color rgb="FF000000"/>
        <rFont val="맑은 고딕"/>
        <family val="3"/>
        <charset val="129"/>
      </rPr>
      <t>유입</t>
    </r>
    <r>
      <rPr>
        <sz val="10"/>
        <color rgb="FF000000"/>
        <rFont val="Courier New"/>
        <family val="3"/>
      </rPr>
      <t xml:space="preserve"> </t>
    </r>
    <r>
      <rPr>
        <sz val="10"/>
        <color rgb="FF000000"/>
        <rFont val="맑은 고딕"/>
        <family val="3"/>
        <charset val="129"/>
      </rPr>
      <t>유량</t>
    </r>
    <r>
      <rPr>
        <sz val="10"/>
        <color rgb="FF000000"/>
        <rFont val="Courier New"/>
        <family val="3"/>
      </rPr>
      <t xml:space="preserve">, BOD,COD, SS, T-N, NHx-N, NO3-N, T-P, </t>
    </r>
    <r>
      <rPr>
        <sz val="10"/>
        <color rgb="FF000000"/>
        <rFont val="맑은 고딕"/>
        <family val="3"/>
        <charset val="129"/>
      </rPr>
      <t>수온</t>
    </r>
    <r>
      <rPr>
        <sz val="10"/>
        <color rgb="FF000000"/>
        <rFont val="Courier New"/>
        <family val="3"/>
      </rPr>
      <t xml:space="preserve">, Alk, TS,VS,FS
  - </t>
    </r>
    <r>
      <rPr>
        <sz val="10"/>
        <color rgb="FF000000"/>
        <rFont val="맑은 고딕"/>
        <family val="3"/>
        <charset val="129"/>
      </rPr>
      <t>유입성상이</t>
    </r>
    <r>
      <rPr>
        <sz val="10"/>
        <color rgb="FF000000"/>
        <rFont val="Courier New"/>
        <family val="3"/>
      </rPr>
      <t xml:space="preserve"> </t>
    </r>
    <r>
      <rPr>
        <sz val="10"/>
        <color rgb="FF000000"/>
        <rFont val="맑은 고딕"/>
        <family val="3"/>
        <charset val="129"/>
      </rPr>
      <t>새로</t>
    </r>
    <r>
      <rPr>
        <sz val="10"/>
        <color rgb="FF000000"/>
        <rFont val="Courier New"/>
        <family val="3"/>
      </rPr>
      <t xml:space="preserve"> </t>
    </r>
    <r>
      <rPr>
        <sz val="10"/>
        <color rgb="FF000000"/>
        <rFont val="맑은 고딕"/>
        <family val="3"/>
        <charset val="129"/>
      </rPr>
      <t>생기면</t>
    </r>
    <r>
      <rPr>
        <sz val="10"/>
        <color rgb="FF000000"/>
        <rFont val="Courier New"/>
        <family val="3"/>
      </rPr>
      <t xml:space="preserve"> </t>
    </r>
    <r>
      <rPr>
        <sz val="10"/>
        <color rgb="FF000000"/>
        <rFont val="맑은 고딕"/>
        <family val="3"/>
        <charset val="129"/>
      </rPr>
      <t>최초</t>
    </r>
    <r>
      <rPr>
        <sz val="10"/>
        <color rgb="FF000000"/>
        <rFont val="Courier New"/>
        <family val="3"/>
      </rPr>
      <t xml:space="preserve"> </t>
    </r>
    <r>
      <rPr>
        <sz val="10"/>
        <color rgb="FF000000"/>
        <rFont val="맑은 고딕"/>
        <family val="3"/>
        <charset val="129"/>
      </rPr>
      <t>등록</t>
    </r>
    <r>
      <rPr>
        <sz val="10"/>
        <color rgb="FF000000"/>
        <rFont val="Courier New"/>
        <family val="3"/>
      </rPr>
      <t xml:space="preserve"> </t>
    </r>
    <r>
      <rPr>
        <sz val="10"/>
        <color rgb="FF000000"/>
        <rFont val="맑은 고딕"/>
        <family val="3"/>
        <charset val="129"/>
      </rPr>
      <t xml:space="preserve">필요
</t>
    </r>
    <r>
      <rPr>
        <sz val="10"/>
        <color rgb="FF000000"/>
        <rFont val="Courier New"/>
        <family val="3"/>
      </rPr>
      <t xml:space="preserve">  - </t>
    </r>
    <r>
      <rPr>
        <sz val="10"/>
        <color rgb="FF000000"/>
        <rFont val="맑은 고딕"/>
        <family val="3"/>
        <charset val="129"/>
      </rPr>
      <t>최초</t>
    </r>
    <r>
      <rPr>
        <sz val="10"/>
        <color rgb="FF000000"/>
        <rFont val="Courier New"/>
        <family val="3"/>
      </rPr>
      <t xml:space="preserve"> </t>
    </r>
    <r>
      <rPr>
        <sz val="10"/>
        <color rgb="FF000000"/>
        <rFont val="맑은 고딕"/>
        <family val="3"/>
        <charset val="129"/>
      </rPr>
      <t>등록은</t>
    </r>
    <r>
      <rPr>
        <sz val="10"/>
        <color rgb="FF000000"/>
        <rFont val="Courier New"/>
        <family val="3"/>
      </rPr>
      <t xml:space="preserve"> </t>
    </r>
    <r>
      <rPr>
        <sz val="10"/>
        <color rgb="FF000000"/>
        <rFont val="맑은 고딕"/>
        <family val="3"/>
        <charset val="129"/>
      </rPr>
      <t>관리자</t>
    </r>
    <r>
      <rPr>
        <sz val="10"/>
        <color rgb="FF000000"/>
        <rFont val="Courier New"/>
        <family val="3"/>
      </rPr>
      <t xml:space="preserve"> </t>
    </r>
    <r>
      <rPr>
        <sz val="10"/>
        <color rgb="FF000000"/>
        <rFont val="맑은 고딕"/>
        <family val="3"/>
        <charset val="129"/>
      </rPr>
      <t>페이지에서</t>
    </r>
    <r>
      <rPr>
        <sz val="10"/>
        <color rgb="FF000000"/>
        <rFont val="Courier New"/>
        <family val="3"/>
      </rPr>
      <t xml:space="preserve"> </t>
    </r>
    <r>
      <rPr>
        <sz val="10"/>
        <color rgb="FF000000"/>
        <rFont val="맑은 고딕"/>
        <family val="3"/>
        <charset val="129"/>
      </rPr>
      <t xml:space="preserve">가능
</t>
    </r>
    <r>
      <rPr>
        <sz val="10"/>
        <color rgb="FF000000"/>
        <rFont val="Courier New"/>
        <family val="3"/>
      </rPr>
      <t xml:space="preserve">  - </t>
    </r>
    <r>
      <rPr>
        <sz val="10"/>
        <color rgb="FF000000"/>
        <rFont val="맑은 고딕"/>
        <family val="3"/>
        <charset val="129"/>
      </rPr>
      <t>필수</t>
    </r>
    <r>
      <rPr>
        <sz val="10"/>
        <color rgb="FF000000"/>
        <rFont val="Courier New"/>
        <family val="3"/>
      </rPr>
      <t xml:space="preserve"> </t>
    </r>
    <r>
      <rPr>
        <sz val="10"/>
        <color rgb="FF000000"/>
        <rFont val="맑은 고딕"/>
        <family val="3"/>
        <charset val="129"/>
      </rPr>
      <t>값</t>
    </r>
    <r>
      <rPr>
        <sz val="10"/>
        <color rgb="FF000000"/>
        <rFont val="Courier New"/>
        <family val="3"/>
      </rPr>
      <t xml:space="preserve"> </t>
    </r>
    <r>
      <rPr>
        <sz val="10"/>
        <color rgb="FF000000"/>
        <rFont val="맑은 고딕"/>
        <family val="3"/>
        <charset val="129"/>
      </rPr>
      <t>입력</t>
    </r>
    <r>
      <rPr>
        <sz val="10"/>
        <color rgb="FF000000"/>
        <rFont val="Courier New"/>
        <family val="3"/>
      </rPr>
      <t xml:space="preserve"> : </t>
    </r>
    <r>
      <rPr>
        <sz val="10"/>
        <color rgb="FF000000"/>
        <rFont val="맑은 고딕"/>
        <family val="3"/>
        <charset val="129"/>
      </rPr>
      <t>유입성상별</t>
    </r>
    <r>
      <rPr>
        <sz val="10"/>
        <color rgb="FF000000"/>
        <rFont val="Courier New"/>
        <family val="3"/>
      </rPr>
      <t xml:space="preserve"> </t>
    </r>
    <r>
      <rPr>
        <sz val="10"/>
        <color rgb="FF000000"/>
        <rFont val="맑은 고딕"/>
        <family val="3"/>
        <charset val="129"/>
      </rPr>
      <t>유입수질</t>
    </r>
    <r>
      <rPr>
        <sz val="10"/>
        <color rgb="FF000000"/>
        <rFont val="Courier New"/>
        <family val="3"/>
      </rPr>
      <t xml:space="preserve"> </t>
    </r>
    <r>
      <rPr>
        <sz val="10"/>
        <color rgb="FF000000"/>
        <rFont val="맑은 고딕"/>
        <family val="3"/>
        <charset val="129"/>
      </rPr>
      <t>항목</t>
    </r>
  </si>
  <si>
    <t xml:space="preserve"> - 유입성상 및 제거효율별 추천 공정 관리</t>
  </si>
  <si>
    <t>유닛 공정 등록, 설비/기계 연결</t>
  </si>
  <si>
    <r>
      <rPr>
        <sz val="10"/>
        <color rgb="FF000000"/>
        <rFont val="함초롬바탕"/>
        <family val="1"/>
        <charset val="129"/>
      </rPr>
      <t xml:space="preserve">[권장조합선택]
 1) 내용
 - 유입성상 선택에 따른 최적공정  조합 만들기
 - 추천된 공정 조합을 편집 및 저장기능 (관리자 권한)
</t>
    </r>
    <r>
      <rPr>
        <sz val="10"/>
        <color rgb="FF000000"/>
        <rFont val="맑은 고딕"/>
        <family val="3"/>
        <charset val="129"/>
      </rPr>
      <t>-공정 카테고리별 편집 (관리자)
 - 각 유닛 공정의 Design factor 범위를 설정할 수 있는 기능
 - 인자값 수정, 저장, 편집 기능 제공</t>
    </r>
  </si>
  <si>
    <t>도면 등록/관리기능</t>
  </si>
  <si>
    <t>신규 도면 등록 기능 및 산출물 도면 관리</t>
  </si>
  <si>
    <t>배관관리</t>
  </si>
  <si>
    <t xml:space="preserve"> - 배관 Routing 설정
 - 배관의 속성정보를 관리하는 데이터 테이블
 - From -To 정보를 관리하는 데이터 테이블
 - POC 정보 (위치, From-To 정보)</t>
  </si>
  <si>
    <t>단가표관리</t>
  </si>
  <si>
    <t>공종별 기계/설비/공사비/물가정보 단가관리 기능</t>
  </si>
  <si>
    <t>공정 관련 단가 등록/편집 가능한 기능 제공</t>
  </si>
  <si>
    <t>카테고리별 계신식 등록/편집 기능</t>
  </si>
  <si>
    <t>물질수지, 용량계산에 필요한 모든 계산식을 등록하고 관리하는 기능</t>
  </si>
  <si>
    <t xml:space="preserve"> - 계산식 관리 메뉴 / 계산식을 연동하여 사용할 수 있게 구현
 - 계산식 표현 방법: HLSL + python 언어 사용
 - 계산 결과 최종 값은 DB 저장 필요</t>
  </si>
  <si>
    <t>기계 리스트 매핑 기능</t>
  </si>
  <si>
    <t>기계리스트 매핑 관리 기능</t>
  </si>
  <si>
    <t>기계/설비 모델</t>
  </si>
  <si>
    <t>카테고리별 모델 등록/편집 기능</t>
  </si>
  <si>
    <r>
      <rPr>
        <sz val="10"/>
        <color rgb="FF000000"/>
        <rFont val="한양중고딕"/>
        <family val="3"/>
        <charset val="129"/>
      </rPr>
      <t>3D 모델 파일 (Revit)</t>
    </r>
    <r>
      <rPr>
        <sz val="10"/>
        <color rgb="FF000000"/>
        <rFont val="맑은 고딕"/>
        <family val="3"/>
        <charset val="129"/>
      </rPr>
      <t xml:space="preserve"> 등록 및 관리</t>
    </r>
  </si>
  <si>
    <t>3d 모델 라이브러리, 유닛공정과 연동되어 사용</t>
  </si>
  <si>
    <t>구조물 모델</t>
  </si>
  <si>
    <r>
      <t>3</t>
    </r>
    <r>
      <rPr>
        <sz val="10"/>
        <color rgb="FF000000"/>
        <rFont val="한양중고딕"/>
        <family val="3"/>
        <charset val="129"/>
      </rPr>
      <t>D 모델 파일 (Revit) 등록 및 관리</t>
    </r>
  </si>
  <si>
    <t>속성정보 관리</t>
  </si>
  <si>
    <t>모델 속성정보 관리 기능</t>
  </si>
  <si>
    <t>waidesign에서 추가등록 편집된 속성 정보확인 및 관리 기능</t>
  </si>
  <si>
    <t>3d 레이아웃 관리</t>
  </si>
  <si>
    <t>3d 레이아웃 배치 데이터 관리</t>
  </si>
  <si>
    <t>- 리포트 템플릿 생성 및 수정 기능</t>
  </si>
  <si>
    <t>BKT_SFR_08_001</t>
    <phoneticPr fontId="1" type="noConversion"/>
  </si>
  <si>
    <t>요구사항ID</t>
  </si>
  <si>
    <t>요구사항명 / 내용</t>
  </si>
  <si>
    <t>기능정의</t>
  </si>
  <si>
    <t>프로젝트 생성</t>
  </si>
  <si>
    <t>[ 프로젝트정보, 고객정보 입력 기능]
 - 신규 프로젝트 생성 클릭 시 팝업창에 프로젝트 정보 입력</t>
  </si>
  <si>
    <t xml:space="preserve">  - 고객사명, 담당자명, 연락처, 이메일 등 정보 기입</t>
  </si>
  <si>
    <t>- 입력,수정, 저장</t>
  </si>
  <si>
    <t>[프로그램 다국어 지원 기능]
 - 프로그램 UI 언어 지원
 - 결과 산출물 언어 지원</t>
  </si>
  <si>
    <t>- 국어/영문 변환</t>
  </si>
  <si>
    <t>[신규 프로젝트 생성]
 - 프로그램 및 결과 산출물 단위 지원 (Metric, Imperial Unit)</t>
  </si>
  <si>
    <t xml:space="preserve"> -단위계 설정 기능(길이, 무게, 압력, 온도) </t>
  </si>
  <si>
    <t xml:space="preserve">  - Metric(미터), Imperial(피트,인치) Unit (inch, ft 도면 치수선 표기의 경우 이중 치수 표시 (ex 10'-6"))</t>
  </si>
  <si>
    <t>부지도면 등록</t>
    <phoneticPr fontId="1" type="noConversion"/>
  </si>
  <si>
    <t>[시설 배치 제공 부지 화면 표기]
 - 프로젝트 특성에 따라 제공되는 시설배치부지 정보를 업로드하여 3D 모델링 환경에서 가시화
 - 제공된 부지 정보가 있을 경우, CAD 도면 또는 이미지 파일을 Plan view 기준 (0,0,0) 위치에 반투명으로 표시
 - 제공된 부지 정보가 없을 경우, 기본 부지 (100m x 100m) 를 Plan view 기준 (0,0,0) 위치에 반투명으로 생성 및 가시화</t>
  </si>
  <si>
    <t xml:space="preserve"> - CAD 도면 또는 이미지 기반 부지 표현 기능(PNG, DXF 파일 업로드 기능)</t>
  </si>
  <si>
    <t xml:space="preserve"> - 기본 부지 (100m x 100m) 자동 생성 기능</t>
  </si>
  <si>
    <t>- 관리자 항목
  : 기본 부지 크기 설정</t>
  </si>
  <si>
    <t>- 화면 표시 ON/OFF 기능</t>
  </si>
  <si>
    <t>- 부지 DATA 없을 경우 빈화면에 지면 표기 필요, 프로젝트 개시 후, 부지 추가 등록 기능 제공</t>
  </si>
  <si>
    <t xml:space="preserve">1) 기존 프로젝트 리스트화 표출, 키워드 검색으로 불러오기 기능 구현
</t>
  </si>
  <si>
    <t>[프로젝트 조회]
 1) 내용 
 - 프로젝트 불러오기 클릭 시 저장된 프로젝트 정보 조회
 - 항목 선택 시 지난 설계 자료 화면에 불러오기(MB, 3D도면 등)</t>
  </si>
  <si>
    <t xml:space="preserve"> - 기존 프로젝트 리스트화 표출, 키워드 조회</t>
  </si>
  <si>
    <t>- 조회항목
  : 프로젝트명, 유입성상, 시설용량, 적용공정, 적용일자</t>
  </si>
  <si>
    <t>1) 기존프로젝트 이름 변경, 유입성상, 적용공정 등 내용의 재작성을 통한 공정 설계</t>
  </si>
  <si>
    <t xml:space="preserve">[프로젝트 정보 수정]
 1) 내용 
 - 검증된 기존 프로젝트 정보 수정하여 활용
 2) 기능
  - 기존프로젝트를 편집 수정 및 저장 기능 제공
  - 기존 프로젝트 다른 이름으로 저장
  - 기존 프로젝트 정보를 활용한 유사 프로젝트 생성 기능 제공
 3) 수정항목
  - 프로젝트명, 유입성상, 시설용량, 적용공정
</t>
  </si>
  <si>
    <t>유입수질 정보 입력</t>
  </si>
  <si>
    <r>
      <rPr>
        <sz val="11"/>
        <color rgb="FF000000"/>
        <rFont val="함초롬바탕"/>
        <family val="1"/>
        <charset val="129"/>
      </rPr>
      <t xml:space="preserve"> '-제거효율 별 추천공정은 이번 단계에서 제외, 유입성상별로만 관리
</t>
    </r>
    <r>
      <rPr>
        <sz val="11"/>
        <color rgb="FFFF0000"/>
        <rFont val="함초롬바탕"/>
        <family val="1"/>
        <charset val="129"/>
      </rPr>
      <t xml:space="preserve">- capex,opex 계산 정보는 상시 화면구역에 표출하여, 공정에 변화가 있을 때마다 계산되어 계산값 표출
</t>
    </r>
  </si>
  <si>
    <t>SFR-12</t>
  </si>
  <si>
    <t>기본정보시스템</t>
  </si>
  <si>
    <t>사용자 관리</t>
  </si>
  <si>
    <t>BKT_SFR_12_001</t>
  </si>
  <si>
    <t>사용자 권한</t>
  </si>
  <si>
    <t>BKT_SFR_12_002</t>
  </si>
  <si>
    <t>BKT_SFR_12_003</t>
  </si>
  <si>
    <t>권장공정관리</t>
    <phoneticPr fontId="1" type="noConversion"/>
  </si>
  <si>
    <t>3D 모델 관리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</si>
</sst>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맑은 고딕"/>
      <family val="2"/>
      <charset val="129"/>
      <scheme val="minor"/>
    </font>
    <font>
      <sz val="8"/>
      <name val="맑은 고딕"/>
      <family val="2"/>
      <charset val="129"/>
      <scheme val="minor"/>
    </font>
    <font>
      <sz val="11"/>
      <color rgb="FF000000"/>
      <name val="맑은 고딕"/>
      <family val="2"/>
      <scheme val="minor"/>
    </font>
    <font>
      <b/>
      <sz val="11"/>
      <color rgb="FF000000"/>
      <name val="한양중고딕"/>
      <family val="3"/>
      <charset val="129"/>
    </font>
    <font>
      <sz val="11"/>
      <color rgb="FF000000"/>
      <name val="한양중고딕"/>
      <family val="3"/>
      <charset val="129"/>
    </font>
    <font>
      <sz val="11"/>
      <color rgb="FF000000"/>
      <name val="맑은 고딕"/>
      <family val="3"/>
      <charset val="129"/>
    </font>
    <font>
      <sz val="11"/>
      <color theme="1"/>
      <name val="한양중고딕"/>
      <family val="3"/>
      <charset val="129"/>
    </font>
    <font>
      <sz val="11"/>
      <color rgb="FF000000"/>
      <name val="함초롬바탕"/>
      <family val="1"/>
      <charset val="129"/>
    </font>
    <font>
      <b/>
      <sz val="11"/>
      <color rgb="FF000000"/>
      <name val="함초롬바탕"/>
      <family val="1"/>
      <charset val="129"/>
    </font>
    <font>
      <b/>
      <sz val="11"/>
      <color theme="1"/>
      <name val="함초롬바탕"/>
      <family val="1"/>
      <charset val="129"/>
    </font>
    <font>
      <sz val="11"/>
      <color theme="1"/>
      <name val="함초롬바탕"/>
      <family val="1"/>
      <charset val="129"/>
    </font>
    <font>
      <sz val="11"/>
      <name val="함초롬바탕"/>
      <family val="1"/>
      <charset val="129"/>
    </font>
    <font>
      <sz val="10"/>
      <color rgb="FF000000"/>
      <name val="함초롬바탕"/>
      <family val="1"/>
      <charset val="129"/>
    </font>
    <font>
      <sz val="10"/>
      <color rgb="FFFF0000"/>
      <name val="함초롬바탕"/>
      <family val="1"/>
      <charset val="129"/>
    </font>
    <font>
      <b/>
      <sz val="11"/>
      <color rgb="FF000000"/>
      <name val="함초롬바탕"/>
      <family val="3"/>
      <charset val="129"/>
    </font>
    <font>
      <sz val="11"/>
      <color rgb="FFFF0000"/>
      <name val="함초롬바탕"/>
      <family val="1"/>
      <charset val="129"/>
    </font>
    <font>
      <b/>
      <sz val="11"/>
      <name val="함초롬바탕"/>
      <family val="1"/>
      <charset val="129"/>
    </font>
    <font>
      <sz val="8"/>
      <color rgb="FF000000"/>
      <name val="함초롬바탕"/>
      <family val="1"/>
      <charset val="129"/>
    </font>
    <font>
      <sz val="11"/>
      <color rgb="FF000000"/>
      <name val="Microsoft YaHei"/>
      <family val="1"/>
      <charset val="134"/>
    </font>
    <font>
      <sz val="11"/>
      <color rgb="FF000000"/>
      <name val="맑은 고딕"/>
      <family val="1"/>
      <charset val="129"/>
    </font>
    <font>
      <sz val="11"/>
      <color rgb="FF000000"/>
      <name val="함초롬바탕"/>
      <family val="1"/>
    </font>
    <font>
      <sz val="10"/>
      <name val="함초롬바탕"/>
      <family val="1"/>
      <charset val="129"/>
    </font>
    <font>
      <strike/>
      <sz val="11"/>
      <color rgb="FFFF0000"/>
      <name val="함초롬바탕"/>
      <family val="1"/>
      <charset val="129"/>
    </font>
    <font>
      <sz val="11"/>
      <color rgb="FF000000"/>
      <name val="맑은 고딕"/>
      <family val="3"/>
    </font>
    <font>
      <sz val="11"/>
      <color rgb="FF000000"/>
      <name val="Microsoft YaHei"/>
      <family val="2"/>
      <charset val="134"/>
    </font>
    <font>
      <sz val="11"/>
      <color theme="0" tint="-0.34998626667073579"/>
      <name val="함초롬바탕"/>
      <family val="1"/>
      <charset val="129"/>
    </font>
    <font>
      <sz val="11"/>
      <color rgb="FF000000"/>
      <name val="한양중고딕"/>
      <family val="3"/>
    </font>
    <font>
      <sz val="11"/>
      <color theme="1"/>
      <name val="한양중고딕"/>
      <family val="3"/>
    </font>
    <font>
      <b/>
      <sz val="11"/>
      <color rgb="FF000000"/>
      <name val="함초롬바탕"/>
      <family val="1"/>
    </font>
    <font>
      <b/>
      <sz val="11"/>
      <color rgb="FF000000"/>
      <name val="함초롬바탕"/>
      <family val="3"/>
    </font>
    <font>
      <b/>
      <sz val="11"/>
      <color theme="1"/>
      <name val="함초롬바탕"/>
      <family val="1"/>
    </font>
    <font>
      <sz val="11"/>
      <color theme="1"/>
      <name val="함초롬바탕"/>
      <family val="1"/>
    </font>
    <font>
      <sz val="11"/>
      <name val="함초롬바탕"/>
      <family val="1"/>
    </font>
    <font>
      <b/>
      <sz val="11"/>
      <color rgb="FF000000"/>
      <name val="한양중고딕"/>
      <family val="3"/>
    </font>
    <font>
      <sz val="10"/>
      <color rgb="FF000000"/>
      <name val="함초롬바탕"/>
      <family val="1"/>
    </font>
    <font>
      <sz val="10"/>
      <color rgb="FFFF0000"/>
      <name val="함초롬바탕"/>
      <family val="1"/>
    </font>
    <font>
      <sz val="8"/>
      <color rgb="FF000000"/>
      <name val="함초롬바탕"/>
      <family val="1"/>
    </font>
    <font>
      <sz val="11"/>
      <color rgb="FFFF0000"/>
      <name val="함초롬바탕"/>
      <family val="1"/>
    </font>
    <font>
      <sz val="11"/>
      <color theme="0" tint="-0.34998626667073579"/>
      <name val="함초롬바탕"/>
      <family val="1"/>
    </font>
    <font>
      <sz val="10"/>
      <color theme="0" tint="-0.34998626667073579"/>
      <name val="함초롬바탕"/>
      <family val="1"/>
    </font>
    <font>
      <sz val="11"/>
      <color rgb="FF000000"/>
      <name val="함초롬바탕"/>
      <family val="3"/>
      <charset val="129"/>
    </font>
    <font>
      <sz val="10"/>
      <color rgb="FF000000"/>
      <name val="한양중고딕"/>
      <family val="3"/>
    </font>
    <font>
      <sz val="10"/>
      <name val="함초롬바탕"/>
      <family val="1"/>
    </font>
    <font>
      <sz val="10"/>
      <color theme="1"/>
      <name val="한양중고딕"/>
      <family val="3"/>
    </font>
    <font>
      <sz val="10"/>
      <color rgb="FF000000"/>
      <name val="함초롬바탕"/>
      <family val="3"/>
      <charset val="129"/>
    </font>
    <font>
      <sz val="10"/>
      <color rgb="FF000000"/>
      <name val="맑은 고딕"/>
      <family val="3"/>
      <charset val="129"/>
    </font>
    <font>
      <sz val="10"/>
      <color rgb="FF000000"/>
      <name val="한양중고딕"/>
      <family val="3"/>
      <charset val="129"/>
    </font>
    <font>
      <sz val="10"/>
      <color theme="1"/>
      <name val="함초롬바탕"/>
      <family val="1"/>
    </font>
    <font>
      <strike/>
      <sz val="11"/>
      <color theme="1"/>
      <name val="함초롬바탕"/>
      <family val="1"/>
      <charset val="129"/>
    </font>
    <font>
      <sz val="10"/>
      <color rgb="FF000000"/>
      <name val="맑은 고딕"/>
      <family val="3"/>
    </font>
    <font>
      <sz val="10"/>
      <color rgb="FF000000"/>
      <name val="Courier New"/>
      <family val="3"/>
    </font>
    <font>
      <sz val="11"/>
      <color theme="4"/>
      <name val="함초롬바탕"/>
      <family val="1"/>
    </font>
  </fonts>
  <fills count="11">
    <fill>
      <patternFill patternType="none"/>
    </fill>
    <fill>
      <patternFill patternType="gray125"/>
    </fill>
    <fill>
      <patternFill patternType="solid">
        <fgColor theme="2" tint="-9.9978637043366805E-2"/>
        <bgColor indexed="64"/>
      </patternFill>
    </fill>
    <fill>
      <patternFill patternType="solid">
        <fgColor rgb="FF00B0F0"/>
        <bgColor indexed="64"/>
      </patternFill>
    </fill>
    <fill>
      <patternFill patternType="solid">
        <fgColor rgb="FFC0C0C0"/>
        <bgColor rgb="FFC0C0C0"/>
      </patternFill>
    </fill>
    <fill>
      <patternFill patternType="solid">
        <fgColor rgb="FFFFFFFF"/>
        <bgColor rgb="FFFFFFFF"/>
      </patternFill>
    </fill>
    <fill>
      <patternFill patternType="solid">
        <fgColor theme="0" tint="-0.249977111117893"/>
        <bgColor indexed="64"/>
      </patternFill>
    </fill>
    <fill>
      <patternFill patternType="solid">
        <fgColor rgb="FFFFFF00"/>
        <bgColor rgb="FFFFFFFF"/>
      </patternFill>
    </fill>
    <fill>
      <patternFill patternType="solid">
        <fgColor rgb="FFFFFF00"/>
        <bgColor indexed="64"/>
      </patternFill>
    </fill>
    <fill>
      <patternFill patternType="solid">
        <fgColor rgb="FFFFFF00"/>
        <bgColor rgb="FF000000"/>
      </patternFill>
    </fill>
    <fill>
      <patternFill patternType="solid">
        <fgColor theme="0" tint="-0.14999847407452621"/>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bottom/>
      <diagonal/>
    </border>
    <border>
      <left style="hair">
        <color rgb="FF000000"/>
      </left>
      <right/>
      <top style="hair">
        <color rgb="FF000000"/>
      </top>
      <bottom/>
      <diagonal/>
    </border>
    <border>
      <left style="hair">
        <color rgb="FF000000"/>
      </left>
      <right/>
      <top/>
      <bottom/>
      <diagonal/>
    </border>
    <border>
      <left style="hair">
        <color rgb="FF000000"/>
      </left>
      <right/>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diagonal/>
    </border>
    <border>
      <left/>
      <right style="hair">
        <color rgb="FF000000"/>
      </right>
      <top/>
      <bottom/>
      <diagonal/>
    </border>
    <border>
      <left style="hair">
        <color indexed="64"/>
      </left>
      <right style="hair">
        <color indexed="64"/>
      </right>
      <top style="hair">
        <color indexed="64"/>
      </top>
      <bottom style="hair">
        <color indexed="64"/>
      </bottom>
      <diagonal/>
    </border>
    <border>
      <left style="hair">
        <color indexed="64"/>
      </left>
      <right/>
      <top style="hair">
        <color rgb="FF000000"/>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rgb="FF000000"/>
      </left>
      <right style="hair">
        <color indexed="64"/>
      </right>
      <top style="hair">
        <color rgb="FF000000"/>
      </top>
      <bottom/>
      <diagonal/>
    </border>
    <border>
      <left style="hair">
        <color rgb="FF000000"/>
      </left>
      <right style="hair">
        <color indexed="64"/>
      </right>
      <top/>
      <bottom/>
      <diagonal/>
    </border>
    <border>
      <left style="hair">
        <color rgb="FF000000"/>
      </left>
      <right style="hair">
        <color indexed="64"/>
      </right>
      <top/>
      <bottom style="hair">
        <color rgb="FF000000"/>
      </bottom>
      <diagonal/>
    </border>
    <border>
      <left/>
      <right style="hair">
        <color rgb="FF000000"/>
      </right>
      <top/>
      <bottom style="hair">
        <color rgb="FF000000"/>
      </bottom>
      <diagonal/>
    </border>
    <border>
      <left style="dotted">
        <color rgb="FF000000"/>
      </left>
      <right style="dotted">
        <color rgb="FF000000"/>
      </right>
      <top style="dotted">
        <color rgb="FF000000"/>
      </top>
      <bottom style="dotted">
        <color rgb="FF000000"/>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diagonal/>
    </border>
    <border>
      <left style="dotted">
        <color rgb="FF000000"/>
      </left>
      <right style="dotted">
        <color rgb="FF000000"/>
      </right>
      <top/>
      <bottom style="dotted">
        <color rgb="FF000000"/>
      </bottom>
      <diagonal/>
    </border>
    <border>
      <left style="hair">
        <color indexed="64"/>
      </left>
      <right style="hair">
        <color indexed="64"/>
      </right>
      <top/>
      <bottom style="hair">
        <color indexed="64"/>
      </bottom>
      <diagonal/>
    </border>
    <border>
      <left style="hair">
        <color rgb="FF000000"/>
      </left>
      <right style="hair">
        <color indexed="64"/>
      </right>
      <top/>
      <bottom style="dotted">
        <color rgb="FF000000"/>
      </bottom>
      <diagonal/>
    </border>
    <border>
      <left style="hair">
        <color rgb="FF000000"/>
      </left>
      <right style="hair">
        <color indexed="64"/>
      </right>
      <top style="dotted">
        <color rgb="FF000000"/>
      </top>
      <bottom/>
      <diagonal/>
    </border>
    <border>
      <left style="dotted">
        <color rgb="FF000000"/>
      </left>
      <right style="dotted">
        <color rgb="FF000000"/>
      </right>
      <top/>
      <bottom/>
      <diagonal/>
    </border>
    <border>
      <left style="hair">
        <color rgb="FF000000"/>
      </left>
      <right style="hair">
        <color rgb="FF000000"/>
      </right>
      <top/>
      <bottom style="hair">
        <color indexed="64"/>
      </bottom>
      <diagonal/>
    </border>
    <border>
      <left style="dotted">
        <color rgb="FF000000"/>
      </left>
      <right style="dotted">
        <color rgb="FF000000"/>
      </right>
      <top style="dotted">
        <color rgb="FF000000"/>
      </top>
      <bottom style="hair">
        <color indexed="64"/>
      </bottom>
      <diagonal/>
    </border>
    <border>
      <left style="dotted">
        <color rgb="FF000000"/>
      </left>
      <right style="dotted">
        <color rgb="FF000000"/>
      </right>
      <top style="hair">
        <color indexed="64"/>
      </top>
      <bottom style="hair">
        <color indexed="64"/>
      </bottom>
      <diagonal/>
    </border>
    <border>
      <left style="hair">
        <color indexed="64"/>
      </left>
      <right style="hair">
        <color indexed="64"/>
      </right>
      <top style="hair">
        <color indexed="64"/>
      </top>
      <bottom style="dotted">
        <color rgb="FF000000"/>
      </bottom>
      <diagonal/>
    </border>
    <border>
      <left/>
      <right style="hair">
        <color indexed="64"/>
      </right>
      <top style="dotted">
        <color rgb="FF000000"/>
      </top>
      <bottom style="hair">
        <color indexed="64"/>
      </bottom>
      <diagonal/>
    </border>
    <border>
      <left style="hair">
        <color indexed="64"/>
      </left>
      <right style="hair">
        <color indexed="64"/>
      </right>
      <top style="dotted">
        <color rgb="FF000000"/>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dotted">
        <color rgb="FF000000"/>
      </left>
      <right style="dotted">
        <color rgb="FF000000"/>
      </right>
      <top style="hair">
        <color indexed="64"/>
      </top>
      <bottom/>
      <diagonal/>
    </border>
    <border>
      <left style="hair">
        <color indexed="64"/>
      </left>
      <right/>
      <top/>
      <bottom style="hair">
        <color indexed="64"/>
      </bottom>
      <diagonal/>
    </border>
    <border>
      <left style="hair">
        <color indexed="64"/>
      </left>
      <right style="hair">
        <color indexed="64"/>
      </right>
      <top style="hair">
        <color rgb="FF000000"/>
      </top>
      <bottom/>
      <diagonal/>
    </border>
    <border>
      <left style="hair">
        <color indexed="64"/>
      </left>
      <right style="hair">
        <color indexed="64"/>
      </right>
      <top/>
      <bottom/>
      <diagonal/>
    </border>
    <border>
      <left/>
      <right/>
      <top style="hair">
        <color rgb="FF000000"/>
      </top>
      <bottom/>
      <diagonal/>
    </border>
    <border>
      <left style="hair">
        <color indexed="64"/>
      </left>
      <right/>
      <top style="hair">
        <color rgb="FF000000"/>
      </top>
      <bottom/>
      <diagonal/>
    </border>
    <border>
      <left style="hair">
        <color indexed="64"/>
      </left>
      <right style="hair">
        <color indexed="64"/>
      </right>
      <top style="thin">
        <color indexed="64"/>
      </top>
      <bottom/>
      <diagonal/>
    </border>
    <border>
      <left style="dotted">
        <color rgb="FF000000"/>
      </left>
      <right style="dotted">
        <color rgb="FF000000"/>
      </right>
      <top style="dotted">
        <color rgb="FF000000"/>
      </top>
      <bottom style="thin">
        <color rgb="FF000000"/>
      </bottom>
      <diagonal/>
    </border>
    <border>
      <left style="dashed">
        <color rgb="FF000000"/>
      </left>
      <right style="dashed">
        <color rgb="FF000000"/>
      </right>
      <top style="dashed">
        <color rgb="FF000000"/>
      </top>
      <bottom style="dashed">
        <color rgb="FF000000"/>
      </bottom>
      <diagonal/>
    </border>
    <border>
      <left/>
      <right style="dotted">
        <color rgb="FF000000"/>
      </right>
      <top/>
      <bottom style="dotted">
        <color rgb="FF000000"/>
      </bottom>
      <diagonal/>
    </border>
    <border>
      <left style="dotted">
        <color rgb="FF000000"/>
      </left>
      <right/>
      <top style="dotted">
        <color rgb="FF000000"/>
      </top>
      <bottom/>
      <diagonal/>
    </border>
    <border>
      <left style="dotted">
        <color rgb="FF000000"/>
      </left>
      <right/>
      <top/>
      <bottom/>
      <diagonal/>
    </border>
    <border>
      <left style="dotted">
        <color rgb="FF000000"/>
      </left>
      <right/>
      <top/>
      <bottom style="dotted">
        <color rgb="FF000000"/>
      </bottom>
      <diagonal/>
    </border>
  </borders>
  <cellStyleXfs count="4">
    <xf numFmtId="0" fontId="0" fillId="0" borderId="0">
      <alignment vertical="center"/>
    </xf>
    <xf numFmtId="0" fontId="2" fillId="0" borderId="0"/>
    <xf numFmtId="0" fontId="2" fillId="0" borderId="0"/>
    <xf numFmtId="0" fontId="2" fillId="0" borderId="0"/>
  </cellStyleXfs>
  <cellXfs count="333">
    <xf numFmtId="0" fontId="0" fillId="0" borderId="0" xfId="0">
      <alignment vertical="center"/>
    </xf>
    <xf numFmtId="0" fontId="0" fillId="0" borderId="1" xfId="0" applyBorder="1" applyAlignment="1">
      <alignment horizontal="left" vertical="center" wrapText="1"/>
    </xf>
    <xf numFmtId="0" fontId="4" fillId="0" borderId="0" xfId="3" applyFont="1" applyAlignment="1">
      <alignment vertical="center"/>
    </xf>
    <xf numFmtId="0" fontId="6" fillId="0" borderId="0" xfId="3" applyFont="1" applyAlignment="1">
      <alignment horizontal="center" vertical="center"/>
    </xf>
    <xf numFmtId="0" fontId="6" fillId="0" borderId="0" xfId="3" applyFont="1" applyAlignment="1">
      <alignment horizontal="left" vertical="center"/>
    </xf>
    <xf numFmtId="0" fontId="4" fillId="0" borderId="0" xfId="3" applyFont="1" applyAlignment="1">
      <alignment horizontal="left" vertical="center"/>
    </xf>
    <xf numFmtId="0" fontId="7" fillId="5" borderId="14" xfId="3" applyFont="1" applyFill="1" applyBorder="1" applyAlignment="1">
      <alignment horizontal="left" vertical="center" wrapText="1"/>
    </xf>
    <xf numFmtId="0" fontId="10" fillId="0" borderId="5" xfId="3" applyFont="1" applyBorder="1" applyAlignment="1">
      <alignment horizontal="center" vertical="center"/>
    </xf>
    <xf numFmtId="0" fontId="7" fillId="5" borderId="5" xfId="3" applyFont="1" applyFill="1" applyBorder="1" applyAlignment="1">
      <alignment horizontal="center" vertical="center" wrapText="1"/>
    </xf>
    <xf numFmtId="0" fontId="7" fillId="5" borderId="5" xfId="3" applyFont="1" applyFill="1" applyBorder="1" applyAlignment="1">
      <alignment horizontal="left" vertical="center" wrapText="1"/>
    </xf>
    <xf numFmtId="0" fontId="7" fillId="5" borderId="4" xfId="3" applyFont="1" applyFill="1" applyBorder="1" applyAlignment="1">
      <alignment horizontal="left" vertical="center" wrapText="1"/>
    </xf>
    <xf numFmtId="0" fontId="12" fillId="5" borderId="4" xfId="3" applyFont="1" applyFill="1" applyBorder="1" applyAlignment="1">
      <alignment horizontal="left" vertical="center" wrapText="1"/>
    </xf>
    <xf numFmtId="0" fontId="7" fillId="5" borderId="7" xfId="3" applyFont="1" applyFill="1" applyBorder="1" applyAlignment="1">
      <alignment horizontal="left" vertical="center" wrapText="1"/>
    </xf>
    <xf numFmtId="0" fontId="12" fillId="5" borderId="7" xfId="3" applyFont="1" applyFill="1" applyBorder="1" applyAlignment="1">
      <alignment horizontal="left" vertical="center" wrapText="1"/>
    </xf>
    <xf numFmtId="0" fontId="7" fillId="5" borderId="6" xfId="3" applyFont="1" applyFill="1" applyBorder="1" applyAlignment="1">
      <alignment horizontal="left" vertical="center" wrapText="1"/>
    </xf>
    <xf numFmtId="0" fontId="7" fillId="5" borderId="8" xfId="3" applyFont="1" applyFill="1" applyBorder="1" applyAlignment="1">
      <alignment horizontal="left" vertical="center" wrapText="1"/>
    </xf>
    <xf numFmtId="0" fontId="12" fillId="5" borderId="14" xfId="3" applyFont="1" applyFill="1" applyBorder="1" applyAlignment="1">
      <alignment horizontal="left" vertical="center" wrapText="1"/>
    </xf>
    <xf numFmtId="0" fontId="7" fillId="5" borderId="15" xfId="3" quotePrefix="1" applyFont="1" applyFill="1" applyBorder="1" applyAlignment="1">
      <alignment horizontal="left" vertical="center" wrapText="1"/>
    </xf>
    <xf numFmtId="0" fontId="7" fillId="5" borderId="14" xfId="3" quotePrefix="1" applyFont="1" applyFill="1" applyBorder="1" applyAlignment="1">
      <alignment horizontal="left" vertical="center" wrapText="1"/>
    </xf>
    <xf numFmtId="0" fontId="7" fillId="5" borderId="16" xfId="3" applyFont="1" applyFill="1" applyBorder="1" applyAlignment="1">
      <alignment horizontal="left" vertical="center" wrapText="1"/>
    </xf>
    <xf numFmtId="0" fontId="13" fillId="5" borderId="14" xfId="3" quotePrefix="1" applyFont="1" applyFill="1" applyBorder="1" applyAlignment="1">
      <alignment horizontal="left" vertical="center" wrapText="1"/>
    </xf>
    <xf numFmtId="0" fontId="7" fillId="5" borderId="16" xfId="3" quotePrefix="1" applyFont="1" applyFill="1" applyBorder="1" applyAlignment="1">
      <alignment horizontal="left" vertical="center" wrapText="1"/>
    </xf>
    <xf numFmtId="0" fontId="13" fillId="5" borderId="13" xfId="3" applyFont="1" applyFill="1" applyBorder="1" applyAlignment="1">
      <alignment horizontal="left" vertical="center" wrapText="1"/>
    </xf>
    <xf numFmtId="0" fontId="7" fillId="5" borderId="17" xfId="3" applyFont="1" applyFill="1" applyBorder="1" applyAlignment="1">
      <alignment horizontal="left" vertical="center" wrapText="1"/>
    </xf>
    <xf numFmtId="0" fontId="7" fillId="5" borderId="6" xfId="3" applyFont="1" applyFill="1" applyBorder="1" applyAlignment="1">
      <alignment horizontal="center" vertical="center" wrapText="1"/>
    </xf>
    <xf numFmtId="0" fontId="7" fillId="5" borderId="10" xfId="3" applyFont="1" applyFill="1" applyBorder="1" applyAlignment="1">
      <alignment horizontal="left" vertical="center" wrapText="1"/>
    </xf>
    <xf numFmtId="0" fontId="7" fillId="5" borderId="11" xfId="3" applyFont="1" applyFill="1" applyBorder="1" applyAlignment="1">
      <alignment horizontal="left" vertical="center" wrapText="1"/>
    </xf>
    <xf numFmtId="0" fontId="7" fillId="0" borderId="14" xfId="3" applyFont="1" applyBorder="1" applyAlignment="1">
      <alignment vertical="center"/>
    </xf>
    <xf numFmtId="0" fontId="12" fillId="0" borderId="14" xfId="3" applyFont="1" applyBorder="1" applyAlignment="1">
      <alignment vertical="center"/>
    </xf>
    <xf numFmtId="0" fontId="12" fillId="5" borderId="6" xfId="3" applyFont="1" applyFill="1" applyBorder="1" applyAlignment="1">
      <alignment horizontal="left" vertical="center" wrapText="1"/>
    </xf>
    <xf numFmtId="0" fontId="13" fillId="5" borderId="14" xfId="3" applyFont="1" applyFill="1" applyBorder="1" applyAlignment="1">
      <alignment horizontal="left" vertical="center" wrapText="1"/>
    </xf>
    <xf numFmtId="0" fontId="9" fillId="3" borderId="3" xfId="0" applyFont="1" applyFill="1" applyBorder="1" applyAlignment="1">
      <alignment vertical="center" wrapText="1"/>
    </xf>
    <xf numFmtId="0" fontId="9" fillId="3" borderId="3" xfId="0" applyFont="1" applyFill="1" applyBorder="1">
      <alignment vertical="center"/>
    </xf>
    <xf numFmtId="0" fontId="9" fillId="2" borderId="1" xfId="0" applyFont="1" applyFill="1" applyBorder="1">
      <alignment vertical="center"/>
    </xf>
    <xf numFmtId="0" fontId="9" fillId="2" borderId="1" xfId="0" applyFont="1" applyFill="1" applyBorder="1" applyAlignment="1">
      <alignment vertical="center" wrapText="1"/>
    </xf>
    <xf numFmtId="0" fontId="9" fillId="2" borderId="3" xfId="0" applyFont="1" applyFill="1" applyBorder="1">
      <alignment vertical="center"/>
    </xf>
    <xf numFmtId="0" fontId="9" fillId="2" borderId="3" xfId="0" applyFont="1" applyFill="1" applyBorder="1" applyAlignment="1">
      <alignment vertical="center" wrapText="1"/>
    </xf>
    <xf numFmtId="0" fontId="8" fillId="4" borderId="11" xfId="3" applyFont="1" applyFill="1" applyBorder="1" applyAlignment="1">
      <alignment horizontal="center" vertical="center" wrapText="1"/>
    </xf>
    <xf numFmtId="0" fontId="7" fillId="7" borderId="14" xfId="3" quotePrefix="1" applyFont="1" applyFill="1" applyBorder="1" applyAlignment="1">
      <alignment horizontal="left" vertical="center" wrapText="1"/>
    </xf>
    <xf numFmtId="0" fontId="7" fillId="7" borderId="17" xfId="3" quotePrefix="1" applyFont="1" applyFill="1" applyBorder="1" applyAlignment="1">
      <alignment horizontal="left" vertical="center" wrapText="1"/>
    </xf>
    <xf numFmtId="0" fontId="20" fillId="7" borderId="14" xfId="3" quotePrefix="1" applyFont="1" applyFill="1" applyBorder="1" applyAlignment="1">
      <alignment horizontal="left" vertical="center" wrapText="1"/>
    </xf>
    <xf numFmtId="0" fontId="17" fillId="5" borderId="9" xfId="3" applyFont="1" applyFill="1" applyBorder="1" applyAlignment="1">
      <alignment horizontal="left" vertical="center" wrapText="1"/>
    </xf>
    <xf numFmtId="0" fontId="21" fillId="5" borderId="14" xfId="3" quotePrefix="1" applyFont="1" applyFill="1" applyBorder="1" applyAlignment="1">
      <alignment horizontal="left" vertical="center" wrapText="1"/>
    </xf>
    <xf numFmtId="0" fontId="22" fillId="5" borderId="17" xfId="3" applyFont="1" applyFill="1" applyBorder="1" applyAlignment="1">
      <alignment horizontal="left" vertical="center" wrapText="1"/>
    </xf>
    <xf numFmtId="0" fontId="7" fillId="0" borderId="14" xfId="3" quotePrefix="1" applyFont="1" applyBorder="1" applyAlignment="1">
      <alignment vertical="center" wrapText="1"/>
    </xf>
    <xf numFmtId="0" fontId="7" fillId="5" borderId="22" xfId="3" applyFont="1" applyFill="1" applyBorder="1" applyAlignment="1">
      <alignment horizontal="left" vertical="center" wrapText="1"/>
    </xf>
    <xf numFmtId="0" fontId="20" fillId="5" borderId="14" xfId="3" applyFont="1" applyFill="1" applyBorder="1" applyAlignment="1">
      <alignment horizontal="left" vertical="center" wrapText="1"/>
    </xf>
    <xf numFmtId="0" fontId="7" fillId="5" borderId="17" xfId="3" quotePrefix="1" applyFont="1" applyFill="1" applyBorder="1" applyAlignment="1">
      <alignment horizontal="left" vertical="center" wrapText="1"/>
    </xf>
    <xf numFmtId="0" fontId="25" fillId="5" borderId="14" xfId="3" applyFont="1" applyFill="1" applyBorder="1" applyAlignment="1">
      <alignment horizontal="left" vertical="center" wrapText="1"/>
    </xf>
    <xf numFmtId="0" fontId="20" fillId="5" borderId="7" xfId="3" applyFont="1" applyFill="1" applyBorder="1" applyAlignment="1">
      <alignment horizontal="center" vertical="center" wrapText="1"/>
    </xf>
    <xf numFmtId="0" fontId="20" fillId="5" borderId="6" xfId="3" applyFont="1" applyFill="1" applyBorder="1" applyAlignment="1">
      <alignment horizontal="center" vertical="center" wrapText="1"/>
    </xf>
    <xf numFmtId="0" fontId="26" fillId="0" borderId="0" xfId="3" applyFont="1" applyAlignment="1">
      <alignment vertical="center"/>
    </xf>
    <xf numFmtId="0" fontId="26" fillId="0" borderId="0" xfId="3" applyFont="1" applyAlignment="1">
      <alignment horizontal="left" vertical="center"/>
    </xf>
    <xf numFmtId="0" fontId="27" fillId="0" borderId="0" xfId="3" applyFont="1" applyAlignment="1">
      <alignment horizontal="left" vertical="center"/>
    </xf>
    <xf numFmtId="0" fontId="27" fillId="0" borderId="0" xfId="3" applyFont="1" applyAlignment="1">
      <alignment vertical="center"/>
    </xf>
    <xf numFmtId="0" fontId="27" fillId="0" borderId="0" xfId="3" applyFont="1" applyAlignment="1">
      <alignment horizontal="center" vertical="center"/>
    </xf>
    <xf numFmtId="0" fontId="28" fillId="4" borderId="11" xfId="3" applyFont="1" applyFill="1" applyBorder="1" applyAlignment="1">
      <alignment horizontal="center" vertical="center" wrapText="1"/>
    </xf>
    <xf numFmtId="0" fontId="30" fillId="2" borderId="1" xfId="0" applyFont="1" applyFill="1" applyBorder="1">
      <alignment vertical="center"/>
    </xf>
    <xf numFmtId="0" fontId="30" fillId="2" borderId="1" xfId="0" applyFont="1" applyFill="1" applyBorder="1" applyAlignment="1">
      <alignment vertical="center" wrapText="1"/>
    </xf>
    <xf numFmtId="0" fontId="31" fillId="0" borderId="5" xfId="3" applyFont="1" applyBorder="1" applyAlignment="1">
      <alignment horizontal="center" vertical="center"/>
    </xf>
    <xf numFmtId="0" fontId="30" fillId="3" borderId="3" xfId="0" applyFont="1" applyFill="1" applyBorder="1" applyAlignment="1">
      <alignment vertical="center" wrapText="1"/>
    </xf>
    <xf numFmtId="0" fontId="30" fillId="3" borderId="3" xfId="0" applyFont="1" applyFill="1" applyBorder="1">
      <alignment vertical="center"/>
    </xf>
    <xf numFmtId="0" fontId="30" fillId="2" borderId="3" xfId="0" applyFont="1" applyFill="1" applyBorder="1">
      <alignment vertical="center"/>
    </xf>
    <xf numFmtId="0" fontId="30" fillId="2" borderId="3" xfId="0" applyFont="1" applyFill="1" applyBorder="1" applyAlignment="1">
      <alignment vertical="center" wrapText="1"/>
    </xf>
    <xf numFmtId="0" fontId="20" fillId="5" borderId="14" xfId="3" applyFont="1" applyFill="1" applyBorder="1" applyAlignment="1">
      <alignment vertical="center" wrapText="1"/>
    </xf>
    <xf numFmtId="0" fontId="34" fillId="5" borderId="14" xfId="3" applyFont="1" applyFill="1" applyBorder="1" applyAlignment="1">
      <alignment horizontal="left" vertical="center" wrapText="1"/>
    </xf>
    <xf numFmtId="0" fontId="20" fillId="5" borderId="16" xfId="3" applyFont="1" applyFill="1" applyBorder="1" applyAlignment="1">
      <alignment horizontal="left" vertical="center" wrapText="1"/>
    </xf>
    <xf numFmtId="0" fontId="35" fillId="5" borderId="14" xfId="3" applyFont="1" applyFill="1" applyBorder="1" applyAlignment="1">
      <alignment horizontal="left" vertical="center" wrapText="1"/>
    </xf>
    <xf numFmtId="0" fontId="36" fillId="5" borderId="9" xfId="3" applyFont="1" applyFill="1" applyBorder="1" applyAlignment="1">
      <alignment horizontal="left" vertical="center" wrapText="1"/>
    </xf>
    <xf numFmtId="0" fontId="37" fillId="5" borderId="17" xfId="3" applyFont="1" applyFill="1" applyBorder="1" applyAlignment="1">
      <alignment horizontal="left" vertical="center" wrapText="1"/>
    </xf>
    <xf numFmtId="0" fontId="20" fillId="5" borderId="17" xfId="3" applyFont="1" applyFill="1" applyBorder="1" applyAlignment="1">
      <alignment horizontal="left" vertical="center" wrapText="1"/>
    </xf>
    <xf numFmtId="0" fontId="20" fillId="5" borderId="19" xfId="3" applyFont="1" applyFill="1" applyBorder="1" applyAlignment="1">
      <alignment horizontal="center" vertical="center" wrapText="1"/>
    </xf>
    <xf numFmtId="0" fontId="37" fillId="5" borderId="14" xfId="3" applyFont="1" applyFill="1" applyBorder="1" applyAlignment="1">
      <alignment horizontal="left" vertical="center" wrapText="1"/>
    </xf>
    <xf numFmtId="0" fontId="20" fillId="5" borderId="23" xfId="3" applyFont="1" applyFill="1" applyBorder="1" applyAlignment="1">
      <alignment vertical="center" wrapText="1"/>
    </xf>
    <xf numFmtId="0" fontId="20" fillId="5" borderId="31" xfId="3" applyFont="1" applyFill="1" applyBorder="1" applyAlignment="1">
      <alignment horizontal="left" vertical="center" wrapText="1"/>
    </xf>
    <xf numFmtId="0" fontId="34" fillId="5" borderId="14" xfId="3" applyFont="1" applyFill="1" applyBorder="1" applyAlignment="1">
      <alignment horizontal="center" vertical="center" wrapText="1"/>
    </xf>
    <xf numFmtId="0" fontId="20" fillId="5" borderId="32" xfId="3" applyFont="1" applyFill="1" applyBorder="1" applyAlignment="1">
      <alignment horizontal="left" vertical="center" wrapText="1"/>
    </xf>
    <xf numFmtId="0" fontId="20" fillId="5" borderId="36" xfId="3" applyFont="1" applyFill="1" applyBorder="1" applyAlignment="1">
      <alignment vertical="center" wrapText="1"/>
    </xf>
    <xf numFmtId="0" fontId="34" fillId="5" borderId="17" xfId="3" applyFont="1" applyFill="1" applyBorder="1" applyAlignment="1">
      <alignment horizontal="left" vertical="center" wrapText="1"/>
    </xf>
    <xf numFmtId="0" fontId="20" fillId="5" borderId="33" xfId="3" applyFont="1" applyFill="1" applyBorder="1" applyAlignment="1">
      <alignment horizontal="left" vertical="center" wrapText="1"/>
    </xf>
    <xf numFmtId="0" fontId="20" fillId="5" borderId="37" xfId="3" applyFont="1" applyFill="1" applyBorder="1" applyAlignment="1">
      <alignment horizontal="left" vertical="center" wrapText="1"/>
    </xf>
    <xf numFmtId="0" fontId="20" fillId="5" borderId="38" xfId="3" applyFont="1" applyFill="1" applyBorder="1" applyAlignment="1">
      <alignment horizontal="left" vertical="center" wrapText="1"/>
    </xf>
    <xf numFmtId="0" fontId="20" fillId="5" borderId="34" xfId="3" applyFont="1" applyFill="1" applyBorder="1" applyAlignment="1">
      <alignment vertical="center" wrapText="1"/>
    </xf>
    <xf numFmtId="0" fontId="34" fillId="5" borderId="35" xfId="3" applyFont="1" applyFill="1" applyBorder="1" applyAlignment="1">
      <alignment horizontal="left" vertical="center" wrapText="1"/>
    </xf>
    <xf numFmtId="0" fontId="20" fillId="5" borderId="35" xfId="3" applyFont="1" applyFill="1" applyBorder="1" applyAlignment="1">
      <alignment horizontal="left" vertical="center" wrapText="1"/>
    </xf>
    <xf numFmtId="0" fontId="37" fillId="5" borderId="35" xfId="3" applyFont="1" applyFill="1" applyBorder="1" applyAlignment="1">
      <alignment horizontal="left" vertical="center" wrapText="1"/>
    </xf>
    <xf numFmtId="0" fontId="38" fillId="5" borderId="23" xfId="3" applyFont="1" applyFill="1" applyBorder="1" applyAlignment="1">
      <alignment vertical="center" wrapText="1"/>
    </xf>
    <xf numFmtId="0" fontId="39" fillId="5" borderId="14" xfId="3" applyFont="1" applyFill="1" applyBorder="1" applyAlignment="1">
      <alignment horizontal="left" vertical="center" wrapText="1"/>
    </xf>
    <xf numFmtId="0" fontId="38" fillId="5" borderId="14" xfId="3" applyFont="1" applyFill="1" applyBorder="1" applyAlignment="1">
      <alignment horizontal="left" vertical="center" wrapText="1"/>
    </xf>
    <xf numFmtId="0" fontId="38" fillId="5" borderId="35" xfId="3" applyFont="1" applyFill="1" applyBorder="1" applyAlignment="1">
      <alignment horizontal="left" vertical="center" wrapText="1"/>
    </xf>
    <xf numFmtId="0" fontId="20" fillId="5" borderId="22" xfId="3" applyFont="1" applyFill="1" applyBorder="1" applyAlignment="1">
      <alignment horizontal="center" vertical="center" wrapText="1"/>
    </xf>
    <xf numFmtId="0" fontId="20" fillId="5" borderId="22" xfId="3" applyFont="1" applyFill="1" applyBorder="1" applyAlignment="1">
      <alignment horizontal="left" vertical="center" wrapText="1"/>
    </xf>
    <xf numFmtId="0" fontId="20" fillId="5" borderId="10" xfId="3" applyFont="1" applyFill="1" applyBorder="1" applyAlignment="1">
      <alignment horizontal="left" vertical="center" wrapText="1"/>
    </xf>
    <xf numFmtId="0" fontId="20" fillId="0" borderId="14" xfId="3" applyFont="1" applyBorder="1" applyAlignment="1">
      <alignment vertical="center" wrapText="1"/>
    </xf>
    <xf numFmtId="0" fontId="20" fillId="0" borderId="14" xfId="3" applyFont="1" applyBorder="1" applyAlignment="1">
      <alignment vertical="center"/>
    </xf>
    <xf numFmtId="0" fontId="20" fillId="5" borderId="14" xfId="3" quotePrefix="1" applyFont="1" applyFill="1" applyBorder="1" applyAlignment="1">
      <alignment horizontal="left" vertical="center" wrapText="1"/>
    </xf>
    <xf numFmtId="0" fontId="35" fillId="5" borderId="14" xfId="3" quotePrefix="1" applyFont="1" applyFill="1" applyBorder="1" applyAlignment="1">
      <alignment horizontal="left" vertical="center" wrapText="1"/>
    </xf>
    <xf numFmtId="0" fontId="20" fillId="5" borderId="16" xfId="3" quotePrefix="1" applyFont="1" applyFill="1" applyBorder="1" applyAlignment="1">
      <alignment horizontal="left" vertical="center" wrapText="1"/>
    </xf>
    <xf numFmtId="0" fontId="20" fillId="7" borderId="17" xfId="3" quotePrefix="1" applyFont="1" applyFill="1" applyBorder="1" applyAlignment="1">
      <alignment horizontal="left" vertical="center" wrapText="1"/>
    </xf>
    <xf numFmtId="0" fontId="35" fillId="5" borderId="14" xfId="3" quotePrefix="1" applyFont="1" applyFill="1" applyBorder="1" applyAlignment="1">
      <alignment horizontal="left" vertical="top" wrapText="1"/>
    </xf>
    <xf numFmtId="0" fontId="20" fillId="5" borderId="17" xfId="3" quotePrefix="1" applyFont="1" applyFill="1" applyBorder="1" applyAlignment="1">
      <alignment horizontal="left" vertical="center" wrapText="1"/>
    </xf>
    <xf numFmtId="0" fontId="26" fillId="0" borderId="0" xfId="3" quotePrefix="1" applyFont="1" applyAlignment="1">
      <alignment vertical="center" wrapText="1"/>
    </xf>
    <xf numFmtId="0" fontId="38" fillId="5" borderId="14" xfId="3" quotePrefix="1" applyFont="1" applyFill="1" applyBorder="1" applyAlignment="1">
      <alignment horizontal="left" vertical="center" wrapText="1"/>
    </xf>
    <xf numFmtId="0" fontId="20" fillId="0" borderId="14" xfId="3" quotePrefix="1" applyFont="1" applyBorder="1" applyAlignment="1">
      <alignment vertical="center" wrapText="1"/>
    </xf>
    <xf numFmtId="0" fontId="20" fillId="5" borderId="17" xfId="3" applyFont="1" applyFill="1" applyBorder="1" applyAlignment="1">
      <alignment vertical="center" wrapText="1"/>
    </xf>
    <xf numFmtId="0" fontId="20" fillId="5" borderId="26" xfId="3" applyFont="1" applyFill="1" applyBorder="1" applyAlignment="1">
      <alignment vertical="center" wrapText="1"/>
    </xf>
    <xf numFmtId="0" fontId="32" fillId="0" borderId="0" xfId="3" applyFont="1" applyAlignment="1">
      <alignment vertical="center"/>
    </xf>
    <xf numFmtId="0" fontId="20" fillId="5" borderId="39" xfId="3" quotePrefix="1" applyFont="1" applyFill="1" applyBorder="1" applyAlignment="1">
      <alignment horizontal="left" vertical="center" wrapText="1"/>
    </xf>
    <xf numFmtId="0" fontId="20" fillId="8" borderId="14" xfId="3" quotePrefix="1" applyFont="1" applyFill="1" applyBorder="1" applyAlignment="1">
      <alignment horizontal="left" vertical="center" wrapText="1"/>
    </xf>
    <xf numFmtId="0" fontId="20" fillId="5" borderId="26" xfId="3" applyFont="1" applyFill="1" applyBorder="1" applyAlignment="1">
      <alignment horizontal="left" vertical="center" wrapText="1"/>
    </xf>
    <xf numFmtId="0" fontId="34" fillId="5" borderId="17" xfId="3" applyFont="1" applyFill="1" applyBorder="1" applyAlignment="1">
      <alignment horizontal="center" vertical="center" wrapText="1"/>
    </xf>
    <xf numFmtId="0" fontId="34" fillId="5" borderId="26" xfId="3" applyFont="1" applyFill="1" applyBorder="1" applyAlignment="1">
      <alignment horizontal="center" vertical="center" wrapText="1"/>
    </xf>
    <xf numFmtId="0" fontId="7" fillId="0" borderId="0" xfId="0" applyFont="1">
      <alignment vertical="center"/>
    </xf>
    <xf numFmtId="0" fontId="7" fillId="0" borderId="0" xfId="0" applyFont="1" applyAlignment="1">
      <alignment vertical="center" wrapText="1"/>
    </xf>
    <xf numFmtId="0" fontId="38" fillId="5" borderId="26" xfId="3" applyFont="1" applyFill="1" applyBorder="1" applyAlignment="1">
      <alignment horizontal="left" vertical="center" wrapText="1"/>
    </xf>
    <xf numFmtId="0" fontId="34" fillId="5" borderId="0" xfId="3" applyFont="1" applyFill="1" applyAlignment="1">
      <alignment horizontal="left" vertical="center" wrapText="1"/>
    </xf>
    <xf numFmtId="0" fontId="39" fillId="5" borderId="26" xfId="3" applyFont="1" applyFill="1" applyBorder="1" applyAlignment="1">
      <alignment horizontal="left" vertical="center" wrapText="1"/>
    </xf>
    <xf numFmtId="0" fontId="20" fillId="8" borderId="16" xfId="3" quotePrefix="1" applyFont="1" applyFill="1" applyBorder="1" applyAlignment="1">
      <alignment horizontal="left" vertical="center" wrapText="1"/>
    </xf>
    <xf numFmtId="0" fontId="34" fillId="5" borderId="14" xfId="3" quotePrefix="1" applyFont="1" applyFill="1" applyBorder="1" applyAlignment="1">
      <alignment horizontal="left" vertical="center" wrapText="1"/>
    </xf>
    <xf numFmtId="0" fontId="26" fillId="0" borderId="0" xfId="3" applyFont="1" applyAlignment="1">
      <alignment horizontal="center" vertical="center"/>
    </xf>
    <xf numFmtId="0" fontId="34" fillId="8" borderId="23" xfId="3" applyFont="1" applyFill="1" applyBorder="1" applyAlignment="1">
      <alignment horizontal="left" vertical="center" wrapText="1"/>
    </xf>
    <xf numFmtId="0" fontId="34" fillId="8" borderId="23" xfId="3" quotePrefix="1" applyFont="1" applyFill="1" applyBorder="1" applyAlignment="1">
      <alignment vertical="center" wrapText="1"/>
    </xf>
    <xf numFmtId="0" fontId="34" fillId="8" borderId="14" xfId="3" applyFont="1" applyFill="1" applyBorder="1" applyAlignment="1">
      <alignment horizontal="left" vertical="center" wrapText="1"/>
    </xf>
    <xf numFmtId="0" fontId="20" fillId="0" borderId="14" xfId="3" quotePrefix="1" applyFont="1" applyBorder="1" applyAlignment="1">
      <alignment horizontal="left" vertical="center" wrapText="1"/>
    </xf>
    <xf numFmtId="0" fontId="20" fillId="0" borderId="16" xfId="3" quotePrefix="1" applyFont="1" applyBorder="1" applyAlignment="1">
      <alignment horizontal="left" vertical="center" wrapText="1"/>
    </xf>
    <xf numFmtId="0" fontId="7" fillId="0" borderId="13" xfId="3" applyFont="1" applyBorder="1" applyAlignment="1">
      <alignment horizontal="left" vertical="center" wrapText="1"/>
    </xf>
    <xf numFmtId="0" fontId="7" fillId="0" borderId="0" xfId="3" applyFont="1" applyAlignment="1">
      <alignment horizontal="left" vertical="center" wrapText="1"/>
    </xf>
    <xf numFmtId="0" fontId="32" fillId="0" borderId="14" xfId="3" quotePrefix="1" applyFont="1" applyBorder="1" applyAlignment="1">
      <alignment horizontal="left" vertical="center" wrapText="1"/>
    </xf>
    <xf numFmtId="0" fontId="26" fillId="0" borderId="14" xfId="3" applyFont="1" applyBorder="1" applyAlignment="1">
      <alignment vertical="center"/>
    </xf>
    <xf numFmtId="0" fontId="0" fillId="0" borderId="14" xfId="0" applyBorder="1" applyAlignment="1">
      <alignment horizontal="left" vertical="center" wrapText="1"/>
    </xf>
    <xf numFmtId="0" fontId="0" fillId="0" borderId="14" xfId="0" applyBorder="1">
      <alignment vertical="center"/>
    </xf>
    <xf numFmtId="0" fontId="0" fillId="0" borderId="14" xfId="0" applyBorder="1" applyAlignment="1">
      <alignment horizontal="left" vertical="center"/>
    </xf>
    <xf numFmtId="0" fontId="27" fillId="0" borderId="14" xfId="3" applyFont="1" applyBorder="1" applyAlignment="1">
      <alignment horizontal="center" vertical="center"/>
    </xf>
    <xf numFmtId="0" fontId="27" fillId="0" borderId="14" xfId="3" applyFont="1" applyBorder="1" applyAlignment="1">
      <alignment vertical="center"/>
    </xf>
    <xf numFmtId="0" fontId="34" fillId="5" borderId="22" xfId="3" applyFont="1" applyFill="1" applyBorder="1" applyAlignment="1">
      <alignment horizontal="left" vertical="center" wrapText="1"/>
    </xf>
    <xf numFmtId="0" fontId="23" fillId="0" borderId="22" xfId="0" applyFont="1" applyBorder="1">
      <alignment vertical="center"/>
    </xf>
    <xf numFmtId="0" fontId="26" fillId="0" borderId="22" xfId="3" applyFont="1" applyBorder="1" applyAlignment="1">
      <alignment vertical="center"/>
    </xf>
    <xf numFmtId="0" fontId="27" fillId="0" borderId="22" xfId="3" applyFont="1" applyBorder="1" applyAlignment="1">
      <alignment horizontal="center" vertical="center"/>
    </xf>
    <xf numFmtId="0" fontId="20" fillId="5" borderId="22" xfId="3" quotePrefix="1" applyFont="1" applyFill="1" applyBorder="1" applyAlignment="1">
      <alignment horizontal="left" vertical="center" wrapText="1"/>
    </xf>
    <xf numFmtId="0" fontId="35" fillId="5" borderId="22" xfId="3" quotePrefix="1" applyFont="1" applyFill="1" applyBorder="1" applyAlignment="1">
      <alignment horizontal="left" vertical="top" wrapText="1"/>
    </xf>
    <xf numFmtId="0" fontId="35" fillId="5" borderId="22" xfId="3" quotePrefix="1" applyFont="1" applyFill="1" applyBorder="1" applyAlignment="1">
      <alignment horizontal="left" vertical="center" wrapText="1"/>
    </xf>
    <xf numFmtId="0" fontId="34" fillId="0" borderId="22" xfId="3" quotePrefix="1" applyFont="1" applyBorder="1" applyAlignment="1">
      <alignment horizontal="left" vertical="center" wrapText="1"/>
    </xf>
    <xf numFmtId="0" fontId="20" fillId="0" borderId="22" xfId="3" quotePrefix="1" applyFont="1" applyBorder="1" applyAlignment="1">
      <alignment horizontal="left" vertical="center" wrapText="1"/>
    </xf>
    <xf numFmtId="0" fontId="37" fillId="5" borderId="22" xfId="3" applyFont="1" applyFill="1" applyBorder="1" applyAlignment="1">
      <alignment horizontal="left" vertical="center" wrapText="1"/>
    </xf>
    <xf numFmtId="0" fontId="26" fillId="0" borderId="22" xfId="3" quotePrefix="1" applyFont="1" applyBorder="1" applyAlignment="1">
      <alignment vertical="center" wrapText="1"/>
    </xf>
    <xf numFmtId="0" fontId="26" fillId="0" borderId="22" xfId="3" applyFont="1" applyBorder="1" applyAlignment="1">
      <alignment horizontal="center" vertical="center"/>
    </xf>
    <xf numFmtId="0" fontId="41" fillId="0" borderId="22" xfId="3" applyFont="1" applyBorder="1" applyAlignment="1">
      <alignment vertical="center"/>
    </xf>
    <xf numFmtId="0" fontId="40" fillId="0" borderId="22" xfId="3" applyFont="1" applyBorder="1" applyAlignment="1">
      <alignment horizontal="center" vertical="center" wrapText="1"/>
    </xf>
    <xf numFmtId="0" fontId="26" fillId="0" borderId="22" xfId="3" quotePrefix="1" applyFont="1" applyBorder="1" applyAlignment="1">
      <alignment horizontal="left" vertical="center"/>
    </xf>
    <xf numFmtId="0" fontId="5" fillId="5" borderId="22" xfId="3" applyFont="1" applyFill="1" applyBorder="1" applyAlignment="1">
      <alignment horizontal="center" vertical="center" wrapText="1"/>
    </xf>
    <xf numFmtId="0" fontId="20" fillId="0" borderId="22" xfId="3" applyFont="1" applyBorder="1" applyAlignment="1">
      <alignment horizontal="center" vertical="center" wrapText="1"/>
    </xf>
    <xf numFmtId="0" fontId="34" fillId="5" borderId="22" xfId="3" applyFont="1" applyFill="1" applyBorder="1" applyAlignment="1">
      <alignment horizontal="center" vertical="center" wrapText="1"/>
    </xf>
    <xf numFmtId="0" fontId="12" fillId="0" borderId="22" xfId="3" applyFont="1" applyBorder="1" applyAlignment="1">
      <alignment horizontal="center" vertical="center" wrapText="1"/>
    </xf>
    <xf numFmtId="0" fontId="7" fillId="5" borderId="22" xfId="3" quotePrefix="1" applyFont="1" applyFill="1" applyBorder="1" applyAlignment="1">
      <alignment horizontal="left" vertical="center" wrapText="1"/>
    </xf>
    <xf numFmtId="0" fontId="20" fillId="5" borderId="22" xfId="0" applyFont="1" applyFill="1" applyBorder="1" applyAlignment="1">
      <alignment vertical="center" wrapText="1"/>
    </xf>
    <xf numFmtId="0" fontId="26" fillId="0" borderId="22" xfId="0" applyFont="1" applyBorder="1">
      <alignment vertical="center"/>
    </xf>
    <xf numFmtId="0" fontId="34" fillId="5" borderId="22" xfId="0" applyFont="1" applyFill="1" applyBorder="1" applyAlignment="1">
      <alignment vertical="center" wrapText="1"/>
    </xf>
    <xf numFmtId="0" fontId="43" fillId="0" borderId="22" xfId="3" applyFont="1" applyBorder="1" applyAlignment="1">
      <alignment horizontal="center" vertical="center"/>
    </xf>
    <xf numFmtId="0" fontId="0" fillId="0" borderId="22" xfId="0" applyBorder="1" applyAlignment="1">
      <alignment horizontal="center" vertical="center"/>
    </xf>
    <xf numFmtId="0" fontId="23" fillId="0" borderId="22" xfId="0" applyFont="1" applyBorder="1" applyAlignment="1">
      <alignment vertical="center" wrapText="1"/>
    </xf>
    <xf numFmtId="0" fontId="43" fillId="0" borderId="22" xfId="3" applyFont="1" applyBorder="1" applyAlignment="1">
      <alignment horizontal="center" vertical="center" wrapText="1"/>
    </xf>
    <xf numFmtId="0" fontId="20" fillId="0" borderId="22" xfId="3" quotePrefix="1" applyFont="1" applyBorder="1" applyAlignment="1">
      <alignment vertical="center" wrapText="1"/>
    </xf>
    <xf numFmtId="0" fontId="20" fillId="0" borderId="22" xfId="3" applyFont="1" applyBorder="1" applyAlignment="1">
      <alignment vertical="center"/>
    </xf>
    <xf numFmtId="0" fontId="27" fillId="0" borderId="0" xfId="3" applyFont="1" applyAlignment="1">
      <alignment horizontal="center" vertical="center" wrapText="1"/>
    </xf>
    <xf numFmtId="0" fontId="34" fillId="0" borderId="22" xfId="3" applyFont="1" applyBorder="1" applyAlignment="1">
      <alignment horizontal="left" vertical="center" wrapText="1"/>
    </xf>
    <xf numFmtId="0" fontId="12" fillId="0" borderId="22" xfId="3" applyFont="1" applyBorder="1" applyAlignment="1">
      <alignment vertical="center"/>
    </xf>
    <xf numFmtId="0" fontId="7" fillId="0" borderId="22" xfId="3" quotePrefix="1" applyFont="1" applyBorder="1" applyAlignment="1">
      <alignment horizontal="left" vertical="center"/>
    </xf>
    <xf numFmtId="0" fontId="12" fillId="0" borderId="22" xfId="3" quotePrefix="1" applyFont="1" applyBorder="1" applyAlignment="1">
      <alignment horizontal="left" vertical="center" wrapText="1"/>
    </xf>
    <xf numFmtId="0" fontId="34" fillId="0" borderId="22" xfId="0" applyFont="1" applyBorder="1" applyAlignment="1">
      <alignment vertical="center" wrapText="1"/>
    </xf>
    <xf numFmtId="0" fontId="49" fillId="0" borderId="22" xfId="0" applyFont="1" applyBorder="1" applyAlignment="1">
      <alignment vertical="center" wrapText="1"/>
    </xf>
    <xf numFmtId="0" fontId="49" fillId="0" borderId="22" xfId="0" quotePrefix="1" applyFont="1" applyBorder="1" applyAlignment="1">
      <alignment vertical="center" wrapText="1"/>
    </xf>
    <xf numFmtId="0" fontId="42" fillId="0" borderId="22" xfId="3" quotePrefix="1" applyFont="1" applyBorder="1" applyAlignment="1">
      <alignment horizontal="left" vertical="center" wrapText="1"/>
    </xf>
    <xf numFmtId="0" fontId="40" fillId="0" borderId="22" xfId="3" quotePrefix="1" applyFont="1" applyBorder="1" applyAlignment="1">
      <alignment vertical="center"/>
    </xf>
    <xf numFmtId="0" fontId="12" fillId="0" borderId="22" xfId="3" quotePrefix="1" applyFont="1" applyBorder="1" applyAlignment="1">
      <alignment vertical="center"/>
    </xf>
    <xf numFmtId="0" fontId="46" fillId="0" borderId="22" xfId="3" applyFont="1" applyBorder="1" applyAlignment="1">
      <alignment vertical="center"/>
    </xf>
    <xf numFmtId="0" fontId="41" fillId="0" borderId="22" xfId="3" applyFont="1" applyBorder="1" applyAlignment="1">
      <alignment vertical="center" wrapText="1"/>
    </xf>
    <xf numFmtId="0" fontId="41" fillId="0" borderId="22" xfId="3" quotePrefix="1" applyFont="1" applyBorder="1" applyAlignment="1">
      <alignment vertical="center" wrapText="1"/>
    </xf>
    <xf numFmtId="0" fontId="44" fillId="0" borderId="22" xfId="3" quotePrefix="1" applyFont="1" applyBorder="1" applyAlignment="1">
      <alignment vertical="center" wrapText="1"/>
    </xf>
    <xf numFmtId="0" fontId="45" fillId="0" borderId="22" xfId="3" applyFont="1" applyBorder="1" applyAlignment="1">
      <alignment vertical="center"/>
    </xf>
    <xf numFmtId="0" fontId="45" fillId="0" borderId="22" xfId="3" quotePrefix="1" applyFont="1" applyBorder="1" applyAlignment="1">
      <alignment vertical="center" wrapText="1"/>
    </xf>
    <xf numFmtId="0" fontId="34" fillId="0" borderId="22" xfId="3" applyFont="1" applyBorder="1" applyAlignment="1">
      <alignment vertical="center" wrapText="1"/>
    </xf>
    <xf numFmtId="0" fontId="34" fillId="0" borderId="22" xfId="3" quotePrefix="1" applyFont="1" applyBorder="1" applyAlignment="1">
      <alignment vertical="center" wrapText="1"/>
    </xf>
    <xf numFmtId="0" fontId="34" fillId="0" borderId="22" xfId="3" quotePrefix="1" applyFont="1" applyBorder="1" applyAlignment="1">
      <alignment horizontal="left" vertical="top" wrapText="1"/>
    </xf>
    <xf numFmtId="0" fontId="26" fillId="0" borderId="22" xfId="3" applyFont="1" applyBorder="1" applyAlignment="1">
      <alignment vertical="center" wrapText="1"/>
    </xf>
    <xf numFmtId="0" fontId="0" fillId="0" borderId="22" xfId="0" applyBorder="1" applyAlignment="1">
      <alignment vertical="center" wrapText="1"/>
    </xf>
    <xf numFmtId="0" fontId="26" fillId="0" borderId="22" xfId="3" quotePrefix="1" applyFont="1" applyBorder="1" applyAlignment="1">
      <alignment vertical="center"/>
    </xf>
    <xf numFmtId="0" fontId="12" fillId="0" borderId="22" xfId="3" applyFont="1" applyBorder="1" applyAlignment="1">
      <alignment horizontal="left" vertical="center" wrapText="1"/>
    </xf>
    <xf numFmtId="0" fontId="47" fillId="0" borderId="22" xfId="3" quotePrefix="1" applyFont="1" applyBorder="1" applyAlignment="1">
      <alignment horizontal="left" vertical="center" wrapText="1"/>
    </xf>
    <xf numFmtId="0" fontId="41" fillId="0" borderId="22" xfId="0" applyFont="1" applyBorder="1" applyAlignment="1">
      <alignment vertical="center" wrapText="1"/>
    </xf>
    <xf numFmtId="0" fontId="49" fillId="0" borderId="22" xfId="0" applyFont="1" applyBorder="1">
      <alignment vertical="center"/>
    </xf>
    <xf numFmtId="0" fontId="34" fillId="0" borderId="22" xfId="0" applyFont="1" applyBorder="1">
      <alignment vertical="center"/>
    </xf>
    <xf numFmtId="0" fontId="41" fillId="0" borderId="22" xfId="0" applyFont="1" applyBorder="1">
      <alignment vertical="center"/>
    </xf>
    <xf numFmtId="0" fontId="26" fillId="0" borderId="22" xfId="0" quotePrefix="1" applyFont="1" applyBorder="1">
      <alignment vertical="center"/>
    </xf>
    <xf numFmtId="0" fontId="34" fillId="0" borderId="22" xfId="0" quotePrefix="1" applyFont="1" applyBorder="1">
      <alignment vertical="center"/>
    </xf>
    <xf numFmtId="0" fontId="20" fillId="0" borderId="22" xfId="0" applyFont="1" applyBorder="1" applyAlignment="1">
      <alignment vertical="center" wrapText="1"/>
    </xf>
    <xf numFmtId="0" fontId="26" fillId="0" borderId="0" xfId="3" applyFont="1" applyAlignment="1">
      <alignment vertical="center" wrapText="1"/>
    </xf>
    <xf numFmtId="0" fontId="28" fillId="10" borderId="22" xfId="3" applyFont="1" applyFill="1" applyBorder="1" applyAlignment="1">
      <alignment horizontal="center" vertical="center" wrapText="1"/>
    </xf>
    <xf numFmtId="0" fontId="30" fillId="10" borderId="22" xfId="0" applyFont="1" applyFill="1" applyBorder="1">
      <alignment vertical="center"/>
    </xf>
    <xf numFmtId="0" fontId="30" fillId="10" borderId="22" xfId="0" applyFont="1" applyFill="1" applyBorder="1" applyAlignment="1">
      <alignment vertical="center" wrapText="1"/>
    </xf>
    <xf numFmtId="0" fontId="23" fillId="0" borderId="22" xfId="0" applyFont="1" applyBorder="1" applyAlignment="1">
      <alignment horizontal="center" vertical="center"/>
    </xf>
    <xf numFmtId="0" fontId="26" fillId="0" borderId="22" xfId="0" applyFont="1" applyBorder="1" applyAlignment="1">
      <alignment horizontal="center" vertical="center"/>
    </xf>
    <xf numFmtId="0" fontId="23" fillId="9" borderId="22" xfId="0" applyFont="1" applyFill="1" applyBorder="1" applyAlignment="1">
      <alignment horizontal="center" vertical="center"/>
    </xf>
    <xf numFmtId="0" fontId="34" fillId="0" borderId="45" xfId="3" applyFont="1" applyBorder="1" applyAlignment="1">
      <alignment horizontal="left" vertical="center" wrapText="1"/>
    </xf>
    <xf numFmtId="0" fontId="34" fillId="0" borderId="45" xfId="3" quotePrefix="1" applyFont="1" applyBorder="1" applyAlignment="1">
      <alignment horizontal="left" vertical="center" wrapText="1"/>
    </xf>
    <xf numFmtId="0" fontId="34" fillId="5" borderId="25" xfId="3" applyFont="1" applyFill="1" applyBorder="1" applyAlignment="1">
      <alignment horizontal="left" vertical="center" wrapText="1"/>
    </xf>
    <xf numFmtId="0" fontId="34" fillId="0" borderId="25" xfId="3" quotePrefix="1" applyFont="1" applyBorder="1" applyAlignment="1">
      <alignment horizontal="left" vertical="center" wrapText="1"/>
    </xf>
    <xf numFmtId="0" fontId="34" fillId="5" borderId="46" xfId="3" applyFont="1" applyFill="1" applyBorder="1" applyAlignment="1">
      <alignment horizontal="left" vertical="center" wrapText="1"/>
    </xf>
    <xf numFmtId="0" fontId="34" fillId="0" borderId="47" xfId="3" applyFont="1" applyBorder="1" applyAlignment="1">
      <alignment horizontal="left" vertical="center" wrapText="1"/>
    </xf>
    <xf numFmtId="0" fontId="34" fillId="5" borderId="24" xfId="3" applyFont="1" applyFill="1" applyBorder="1" applyAlignment="1">
      <alignment horizontal="left" vertical="center" wrapText="1"/>
    </xf>
    <xf numFmtId="0" fontId="26" fillId="0" borderId="22" xfId="0" applyFont="1" applyBorder="1" applyAlignment="1">
      <alignment horizontal="left" vertical="center"/>
    </xf>
    <xf numFmtId="0" fontId="27" fillId="0" borderId="22" xfId="3" applyFont="1" applyBorder="1" applyAlignment="1">
      <alignment horizontal="left" vertical="center"/>
    </xf>
    <xf numFmtId="0" fontId="7" fillId="0" borderId="22" xfId="3" applyFont="1" applyBorder="1" applyAlignment="1">
      <alignment vertical="center"/>
    </xf>
    <xf numFmtId="0" fontId="12" fillId="0" borderId="22" xfId="0" quotePrefix="1" applyFont="1" applyBorder="1" applyAlignment="1">
      <alignment vertical="center" wrapText="1"/>
    </xf>
    <xf numFmtId="0" fontId="12" fillId="0" borderId="22" xfId="0" quotePrefix="1" applyFont="1" applyBorder="1">
      <alignment vertical="center"/>
    </xf>
    <xf numFmtId="0" fontId="12" fillId="0" borderId="22" xfId="0" applyFont="1" applyBorder="1">
      <alignment vertical="center"/>
    </xf>
    <xf numFmtId="0" fontId="51" fillId="5" borderId="22" xfId="3" quotePrefix="1" applyFont="1" applyFill="1" applyBorder="1" applyAlignment="1">
      <alignment horizontal="left" vertical="center" wrapText="1"/>
    </xf>
    <xf numFmtId="0" fontId="20" fillId="0" borderId="22" xfId="3" applyFont="1" applyBorder="1" applyAlignment="1">
      <alignment horizontal="center" vertical="center" wrapText="1"/>
    </xf>
    <xf numFmtId="0" fontId="20" fillId="5" borderId="22" xfId="3" applyFont="1" applyFill="1" applyBorder="1" applyAlignment="1">
      <alignment horizontal="center" vertical="center" wrapText="1"/>
    </xf>
    <xf numFmtId="0" fontId="5" fillId="0" borderId="22" xfId="3" applyFont="1" applyBorder="1" applyAlignment="1">
      <alignment horizontal="center" vertical="center"/>
    </xf>
    <xf numFmtId="0" fontId="26" fillId="0" borderId="22" xfId="3" applyFont="1" applyBorder="1" applyAlignment="1">
      <alignment horizontal="center" vertical="center"/>
    </xf>
    <xf numFmtId="0" fontId="30" fillId="10" borderId="22" xfId="0" applyFont="1" applyFill="1" applyBorder="1" applyAlignment="1">
      <alignment horizontal="center" vertical="center" wrapText="1"/>
    </xf>
    <xf numFmtId="0" fontId="30" fillId="10" borderId="22" xfId="0" applyFont="1" applyFill="1" applyBorder="1" applyAlignment="1">
      <alignment horizontal="center" vertical="center"/>
    </xf>
    <xf numFmtId="0" fontId="29" fillId="10" borderId="22" xfId="3" applyFont="1" applyFill="1" applyBorder="1" applyAlignment="1">
      <alignment horizontal="center" vertical="center"/>
    </xf>
    <xf numFmtId="0" fontId="33" fillId="10" borderId="22" xfId="3" applyFont="1" applyFill="1" applyBorder="1" applyAlignment="1">
      <alignment horizontal="center" vertical="center"/>
    </xf>
    <xf numFmtId="0" fontId="28" fillId="10" borderId="22" xfId="3" applyFont="1" applyFill="1" applyBorder="1" applyAlignment="1">
      <alignment horizontal="center" vertical="center" wrapText="1"/>
    </xf>
    <xf numFmtId="0" fontId="32" fillId="10" borderId="22" xfId="3" applyFont="1" applyFill="1" applyBorder="1" applyAlignment="1">
      <alignment horizontal="center" vertical="center"/>
    </xf>
    <xf numFmtId="0" fontId="28" fillId="10" borderId="22" xfId="3" applyFont="1" applyFill="1" applyBorder="1" applyAlignment="1">
      <alignment horizontal="left" vertical="center" wrapText="1"/>
    </xf>
    <xf numFmtId="0" fontId="20" fillId="5" borderId="22" xfId="3" quotePrefix="1" applyFont="1" applyFill="1" applyBorder="1" applyAlignment="1">
      <alignment horizontal="left" vertical="center" wrapText="1"/>
    </xf>
    <xf numFmtId="0" fontId="0" fillId="0" borderId="22" xfId="0" applyBorder="1" applyAlignment="1">
      <alignment horizontal="center" vertical="center" wrapText="1"/>
    </xf>
    <xf numFmtId="0" fontId="20" fillId="5" borderId="22" xfId="3" quotePrefix="1" applyFont="1" applyFill="1" applyBorder="1" applyAlignment="1">
      <alignment horizontal="center" vertical="center" wrapText="1"/>
    </xf>
    <xf numFmtId="0" fontId="34" fillId="5" borderId="22" xfId="3" applyFont="1" applyFill="1" applyBorder="1" applyAlignment="1">
      <alignment horizontal="center" vertical="center" wrapText="1"/>
    </xf>
    <xf numFmtId="0" fontId="20" fillId="5" borderId="22" xfId="3" applyFont="1" applyFill="1" applyBorder="1" applyAlignment="1">
      <alignment horizontal="left" vertical="center" wrapText="1"/>
    </xf>
    <xf numFmtId="0" fontId="20" fillId="0" borderId="22" xfId="3" quotePrefix="1" applyFont="1" applyBorder="1" applyAlignment="1">
      <alignment horizontal="left" vertical="center" wrapText="1"/>
    </xf>
    <xf numFmtId="0" fontId="20" fillId="0" borderId="22" xfId="3" applyFont="1" applyBorder="1" applyAlignment="1">
      <alignment horizontal="left" vertical="center" wrapText="1"/>
    </xf>
    <xf numFmtId="0" fontId="31" fillId="5" borderId="22" xfId="3" quotePrefix="1" applyFont="1" applyFill="1" applyBorder="1" applyAlignment="1">
      <alignment horizontal="left" vertical="center" wrapText="1"/>
    </xf>
    <xf numFmtId="0" fontId="7" fillId="0" borderId="22" xfId="0" applyFont="1" applyBorder="1" applyAlignment="1">
      <alignment horizontal="left" vertical="center"/>
    </xf>
    <xf numFmtId="0" fontId="26" fillId="0" borderId="22" xfId="3" quotePrefix="1" applyFont="1" applyBorder="1" applyAlignment="1">
      <alignment horizontal="left" vertical="center" wrapText="1"/>
    </xf>
    <xf numFmtId="0" fontId="20" fillId="5" borderId="48" xfId="3" quotePrefix="1" applyFont="1" applyFill="1" applyBorder="1" applyAlignment="1">
      <alignment horizontal="left" vertical="center" wrapText="1"/>
    </xf>
    <xf numFmtId="0" fontId="20" fillId="5" borderId="49" xfId="3" quotePrefix="1" applyFont="1" applyFill="1" applyBorder="1" applyAlignment="1">
      <alignment horizontal="left" vertical="center" wrapText="1"/>
    </xf>
    <xf numFmtId="0" fontId="20" fillId="5" borderId="50" xfId="3" quotePrefix="1" applyFont="1" applyFill="1" applyBorder="1" applyAlignment="1">
      <alignment horizontal="left" vertical="center" wrapText="1"/>
    </xf>
    <xf numFmtId="0" fontId="40" fillId="0" borderId="22" xfId="3" applyFont="1" applyBorder="1" applyAlignment="1">
      <alignment horizontal="center" vertical="center"/>
    </xf>
    <xf numFmtId="0" fontId="5" fillId="5" borderId="22" xfId="3" applyFont="1" applyFill="1" applyBorder="1" applyAlignment="1">
      <alignment horizontal="center" vertical="center" wrapText="1"/>
    </xf>
    <xf numFmtId="0" fontId="5" fillId="0" borderId="22" xfId="3" applyFont="1" applyBorder="1" applyAlignment="1">
      <alignment horizontal="center" vertical="center" wrapText="1"/>
    </xf>
    <xf numFmtId="0" fontId="7" fillId="0" borderId="22" xfId="3" quotePrefix="1" applyFont="1" applyBorder="1" applyAlignment="1">
      <alignment horizontal="left" vertical="center" wrapText="1"/>
    </xf>
    <xf numFmtId="0" fontId="20" fillId="5" borderId="24" xfId="3" applyFont="1" applyFill="1" applyBorder="1" applyAlignment="1">
      <alignment horizontal="center" vertical="center" wrapText="1"/>
    </xf>
    <xf numFmtId="0" fontId="20" fillId="5" borderId="29" xfId="3" applyFont="1" applyFill="1" applyBorder="1" applyAlignment="1">
      <alignment horizontal="center" vertical="center" wrapText="1"/>
    </xf>
    <xf numFmtId="0" fontId="20" fillId="5" borderId="25" xfId="3" applyFont="1" applyFill="1" applyBorder="1" applyAlignment="1">
      <alignment horizontal="center" vertical="center" wrapText="1"/>
    </xf>
    <xf numFmtId="0" fontId="20" fillId="0" borderId="24" xfId="3" applyFont="1" applyBorder="1" applyAlignment="1">
      <alignment horizontal="center" vertical="center" wrapText="1"/>
    </xf>
    <xf numFmtId="0" fontId="20" fillId="0" borderId="29" xfId="3" applyFont="1" applyBorder="1" applyAlignment="1">
      <alignment horizontal="center" vertical="center" wrapText="1"/>
    </xf>
    <xf numFmtId="0" fontId="20" fillId="0" borderId="25" xfId="3" applyFont="1" applyBorder="1" applyAlignment="1">
      <alignment horizontal="center" vertical="center" wrapText="1"/>
    </xf>
    <xf numFmtId="0" fontId="20" fillId="0" borderId="24" xfId="3" quotePrefix="1" applyFont="1" applyBorder="1" applyAlignment="1">
      <alignment horizontal="left" vertical="center" wrapText="1"/>
    </xf>
    <xf numFmtId="0" fontId="20" fillId="0" borderId="29" xfId="3" quotePrefix="1" applyFont="1" applyBorder="1" applyAlignment="1">
      <alignment horizontal="left" vertical="center" wrapText="1"/>
    </xf>
    <xf numFmtId="0" fontId="20" fillId="0" borderId="25" xfId="3" quotePrefix="1" applyFont="1" applyBorder="1" applyAlignment="1">
      <alignment horizontal="left" vertical="center" wrapText="1"/>
    </xf>
    <xf numFmtId="0" fontId="20" fillId="0" borderId="14" xfId="3" applyFont="1" applyBorder="1" applyAlignment="1">
      <alignment horizontal="center" vertical="center" wrapText="1"/>
    </xf>
    <xf numFmtId="0" fontId="20" fillId="5" borderId="17" xfId="3" applyFont="1" applyFill="1" applyBorder="1" applyAlignment="1">
      <alignment horizontal="center" vertical="center" wrapText="1"/>
    </xf>
    <xf numFmtId="0" fontId="20" fillId="5" borderId="41" xfId="3" applyFont="1" applyFill="1" applyBorder="1" applyAlignment="1">
      <alignment horizontal="center" vertical="center" wrapText="1"/>
    </xf>
    <xf numFmtId="0" fontId="20" fillId="5" borderId="26" xfId="3" applyFont="1" applyFill="1" applyBorder="1" applyAlignment="1">
      <alignment horizontal="center" vertical="center" wrapText="1"/>
    </xf>
    <xf numFmtId="0" fontId="20" fillId="5" borderId="14" xfId="3" applyFont="1" applyFill="1" applyBorder="1" applyAlignment="1">
      <alignment horizontal="center" vertical="center" wrapText="1"/>
    </xf>
    <xf numFmtId="0" fontId="29" fillId="6" borderId="14" xfId="3" applyFont="1" applyFill="1" applyBorder="1" applyAlignment="1">
      <alignment horizontal="center" vertical="center"/>
    </xf>
    <xf numFmtId="0" fontId="7" fillId="5" borderId="4" xfId="3" applyFont="1" applyFill="1" applyBorder="1" applyAlignment="1">
      <alignment horizontal="center" vertical="center" wrapText="1"/>
    </xf>
    <xf numFmtId="0" fontId="7" fillId="5" borderId="7" xfId="3" applyFont="1" applyFill="1" applyBorder="1" applyAlignment="1">
      <alignment horizontal="center" vertical="center" wrapText="1"/>
    </xf>
    <xf numFmtId="0" fontId="11" fillId="0" borderId="7" xfId="3" applyFont="1" applyBorder="1" applyAlignment="1">
      <alignment vertical="center"/>
    </xf>
    <xf numFmtId="0" fontId="11" fillId="0" borderId="9" xfId="3" applyFont="1" applyBorder="1" applyAlignment="1">
      <alignment vertical="center"/>
    </xf>
    <xf numFmtId="0" fontId="11" fillId="0" borderId="6" xfId="3" applyFont="1" applyBorder="1" applyAlignment="1">
      <alignment vertical="center"/>
    </xf>
    <xf numFmtId="0" fontId="8" fillId="4" borderId="4" xfId="3" applyFont="1" applyFill="1" applyBorder="1" applyAlignment="1">
      <alignment horizontal="center" vertical="center" wrapText="1"/>
    </xf>
    <xf numFmtId="0" fontId="8" fillId="4" borderId="12" xfId="3" applyFont="1" applyFill="1" applyBorder="1" applyAlignment="1">
      <alignment horizontal="left" vertical="center" wrapText="1"/>
    </xf>
    <xf numFmtId="0" fontId="11" fillId="0" borderId="21" xfId="3" applyFont="1" applyBorder="1" applyAlignment="1">
      <alignment horizontal="left" vertical="center"/>
    </xf>
    <xf numFmtId="0" fontId="7" fillId="5" borderId="8" xfId="3" applyFont="1" applyFill="1" applyBorder="1" applyAlignment="1">
      <alignment horizontal="left" vertical="center" wrapText="1"/>
    </xf>
    <xf numFmtId="0" fontId="7" fillId="5" borderId="9" xfId="3" applyFont="1" applyFill="1" applyBorder="1" applyAlignment="1">
      <alignment horizontal="left" vertical="center" wrapText="1"/>
    </xf>
    <xf numFmtId="0" fontId="7" fillId="0" borderId="14" xfId="3" applyFont="1" applyBorder="1" applyAlignment="1">
      <alignment horizontal="center" vertical="center"/>
    </xf>
    <xf numFmtId="0" fontId="7" fillId="5" borderId="14" xfId="3" applyFont="1" applyFill="1" applyBorder="1" applyAlignment="1">
      <alignment horizontal="center" vertical="center" wrapText="1"/>
    </xf>
    <xf numFmtId="0" fontId="14" fillId="6" borderId="14" xfId="3" applyFont="1" applyFill="1" applyBorder="1" applyAlignment="1">
      <alignment horizontal="center" vertical="center"/>
    </xf>
    <xf numFmtId="0" fontId="3" fillId="6" borderId="14" xfId="3" applyFont="1" applyFill="1" applyBorder="1" applyAlignment="1">
      <alignment horizontal="center" vertical="center"/>
    </xf>
    <xf numFmtId="0" fontId="10" fillId="0" borderId="4" xfId="3" applyFont="1" applyBorder="1" applyAlignment="1">
      <alignment horizontal="center" vertical="center"/>
    </xf>
    <xf numFmtId="0" fontId="8" fillId="4" borderId="6" xfId="3" applyFont="1" applyFill="1" applyBorder="1" applyAlignment="1">
      <alignment horizontal="center" vertical="center" wrapText="1"/>
    </xf>
    <xf numFmtId="0" fontId="10" fillId="0" borderId="12" xfId="3" applyFont="1" applyBorder="1" applyAlignment="1">
      <alignment horizontal="center" vertical="center"/>
    </xf>
    <xf numFmtId="0" fontId="10" fillId="0" borderId="13" xfId="3" applyFont="1" applyBorder="1" applyAlignment="1">
      <alignment horizontal="center" vertical="center"/>
    </xf>
    <xf numFmtId="0" fontId="11" fillId="0" borderId="13" xfId="3" applyFont="1" applyBorder="1" applyAlignment="1">
      <alignment vertical="center"/>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7" fillId="5" borderId="6" xfId="3" applyFont="1" applyFill="1" applyBorder="1" applyAlignment="1">
      <alignment horizontal="center" vertical="center" wrapText="1"/>
    </xf>
    <xf numFmtId="0" fontId="7" fillId="5" borderId="18" xfId="3" applyFont="1" applyFill="1" applyBorder="1" applyAlignment="1">
      <alignment horizontal="center" vertical="center" wrapText="1"/>
    </xf>
    <xf numFmtId="0" fontId="7" fillId="5" borderId="19" xfId="3" applyFont="1" applyFill="1" applyBorder="1" applyAlignment="1">
      <alignment horizontal="center" vertical="center" wrapText="1"/>
    </xf>
    <xf numFmtId="0" fontId="7" fillId="5" borderId="20" xfId="3" applyFont="1" applyFill="1" applyBorder="1" applyAlignment="1">
      <alignment horizontal="center" vertical="center" wrapText="1"/>
    </xf>
    <xf numFmtId="0" fontId="9" fillId="3" borderId="1" xfId="0" applyFont="1" applyFill="1" applyBorder="1" applyAlignment="1">
      <alignment horizontal="center" vertical="center"/>
    </xf>
    <xf numFmtId="0" fontId="20" fillId="5" borderId="4" xfId="3" applyFont="1" applyFill="1" applyBorder="1" applyAlignment="1">
      <alignment horizontal="center" vertical="center" wrapText="1"/>
    </xf>
    <xf numFmtId="0" fontId="20" fillId="5" borderId="7" xfId="3" applyFont="1" applyFill="1" applyBorder="1" applyAlignment="1">
      <alignment horizontal="center" vertical="center" wrapText="1"/>
    </xf>
    <xf numFmtId="0" fontId="20" fillId="5" borderId="6" xfId="3" applyFont="1" applyFill="1" applyBorder="1" applyAlignment="1">
      <alignment horizontal="center" vertical="center" wrapText="1"/>
    </xf>
    <xf numFmtId="0" fontId="7" fillId="5" borderId="17" xfId="3" quotePrefix="1" applyFont="1" applyFill="1" applyBorder="1" applyAlignment="1">
      <alignment horizontal="left" vertical="center" wrapText="1"/>
    </xf>
    <xf numFmtId="0" fontId="7" fillId="5" borderId="17" xfId="3" applyFont="1" applyFill="1" applyBorder="1" applyAlignment="1">
      <alignment horizontal="left" vertical="center" wrapText="1"/>
    </xf>
    <xf numFmtId="0" fontId="20" fillId="5" borderId="30" xfId="3" applyFont="1" applyFill="1" applyBorder="1" applyAlignment="1">
      <alignment horizontal="center" vertical="center" wrapText="1"/>
    </xf>
    <xf numFmtId="0" fontId="30" fillId="3" borderId="3" xfId="0" applyFont="1" applyFill="1" applyBorder="1" applyAlignment="1">
      <alignment horizontal="center" vertical="center" wrapText="1"/>
    </xf>
    <xf numFmtId="0" fontId="30" fillId="3" borderId="3" xfId="0" applyFont="1" applyFill="1" applyBorder="1" applyAlignment="1">
      <alignment horizontal="center" vertical="center"/>
    </xf>
    <xf numFmtId="0" fontId="30" fillId="3" borderId="1" xfId="0" applyFont="1" applyFill="1" applyBorder="1" applyAlignment="1">
      <alignment horizontal="center" vertical="center"/>
    </xf>
    <xf numFmtId="0" fontId="20" fillId="5" borderId="8" xfId="3" applyFont="1" applyFill="1" applyBorder="1" applyAlignment="1">
      <alignment horizontal="left" vertical="center" wrapText="1"/>
    </xf>
    <xf numFmtId="0" fontId="20" fillId="5" borderId="43" xfId="3" applyFont="1" applyFill="1" applyBorder="1" applyAlignment="1">
      <alignment horizontal="center" vertical="center" wrapText="1"/>
    </xf>
    <xf numFmtId="0" fontId="20" fillId="5" borderId="40" xfId="3" quotePrefix="1" applyFont="1" applyFill="1" applyBorder="1" applyAlignment="1">
      <alignment horizontal="center" vertical="center" wrapText="1"/>
    </xf>
    <xf numFmtId="0" fontId="20" fillId="0" borderId="40" xfId="3" quotePrefix="1" applyFont="1" applyBorder="1" applyAlignment="1">
      <alignment vertical="center" wrapText="1"/>
    </xf>
    <xf numFmtId="0" fontId="28" fillId="4" borderId="4" xfId="3" applyFont="1" applyFill="1" applyBorder="1" applyAlignment="1">
      <alignment horizontal="center" vertical="center" wrapText="1"/>
    </xf>
    <xf numFmtId="0" fontId="28" fillId="4" borderId="12" xfId="3" applyFont="1" applyFill="1" applyBorder="1" applyAlignment="1">
      <alignment vertical="center" wrapText="1"/>
    </xf>
    <xf numFmtId="0" fontId="31" fillId="0" borderId="12" xfId="3" applyFont="1" applyBorder="1" applyAlignment="1">
      <alignment horizontal="center" vertical="center"/>
    </xf>
    <xf numFmtId="0" fontId="20" fillId="5" borderId="9" xfId="3" applyFont="1" applyFill="1" applyBorder="1" applyAlignment="1">
      <alignment horizontal="left" vertical="center" wrapText="1"/>
    </xf>
    <xf numFmtId="0" fontId="20" fillId="5" borderId="18" xfId="3" applyFont="1" applyFill="1" applyBorder="1" applyAlignment="1">
      <alignment horizontal="center" vertical="center" wrapText="1"/>
    </xf>
    <xf numFmtId="0" fontId="20" fillId="5" borderId="19" xfId="3" applyFont="1" applyFill="1" applyBorder="1" applyAlignment="1">
      <alignment horizontal="center" vertical="center" wrapText="1"/>
    </xf>
    <xf numFmtId="0" fontId="20" fillId="5" borderId="27" xfId="3" applyFont="1" applyFill="1" applyBorder="1" applyAlignment="1">
      <alignment horizontal="center" vertical="center" wrapText="1"/>
    </xf>
    <xf numFmtId="0" fontId="20" fillId="8" borderId="28" xfId="3" applyFont="1" applyFill="1" applyBorder="1" applyAlignment="1">
      <alignment horizontal="center" vertical="center" wrapText="1"/>
    </xf>
    <xf numFmtId="0" fontId="20" fillId="8" borderId="19" xfId="3" applyFont="1" applyFill="1" applyBorder="1" applyAlignment="1">
      <alignment horizontal="center" vertical="center" wrapText="1"/>
    </xf>
    <xf numFmtId="0" fontId="20" fillId="8" borderId="20" xfId="3" applyFont="1" applyFill="1" applyBorder="1" applyAlignment="1">
      <alignment horizontal="center" vertical="center" wrapText="1"/>
    </xf>
    <xf numFmtId="0" fontId="20" fillId="5" borderId="17" xfId="3" applyFont="1" applyFill="1" applyBorder="1" applyAlignment="1">
      <alignment vertical="center" wrapText="1"/>
    </xf>
    <xf numFmtId="0" fontId="20" fillId="5" borderId="26" xfId="3" applyFont="1" applyFill="1" applyBorder="1" applyAlignment="1">
      <alignment vertical="center" wrapText="1"/>
    </xf>
    <xf numFmtId="0" fontId="34" fillId="5" borderId="17" xfId="3" applyFont="1" applyFill="1" applyBorder="1" applyAlignment="1">
      <alignment horizontal="center" vertical="center" wrapText="1"/>
    </xf>
    <xf numFmtId="0" fontId="34" fillId="5" borderId="26" xfId="3" applyFont="1" applyFill="1" applyBorder="1" applyAlignment="1">
      <alignment horizontal="center" vertical="center" wrapText="1"/>
    </xf>
    <xf numFmtId="0" fontId="20" fillId="5" borderId="17" xfId="3" quotePrefix="1" applyFont="1" applyFill="1" applyBorder="1" applyAlignment="1">
      <alignment horizontal="left" vertical="center" wrapText="1"/>
    </xf>
    <xf numFmtId="0" fontId="20" fillId="5" borderId="26" xfId="3" applyFont="1" applyFill="1" applyBorder="1" applyAlignment="1">
      <alignment horizontal="left" vertical="center" wrapText="1"/>
    </xf>
    <xf numFmtId="0" fontId="20" fillId="5" borderId="17" xfId="3" applyFont="1" applyFill="1" applyBorder="1" applyAlignment="1">
      <alignment horizontal="left" vertical="center" wrapText="1"/>
    </xf>
    <xf numFmtId="0" fontId="20" fillId="0" borderId="14" xfId="3" applyFont="1" applyBorder="1" applyAlignment="1">
      <alignment horizontal="center" vertical="center"/>
    </xf>
    <xf numFmtId="0" fontId="20" fillId="8" borderId="22" xfId="3" applyFont="1" applyFill="1" applyBorder="1" applyAlignment="1">
      <alignment horizontal="center" vertical="center" wrapText="1"/>
    </xf>
    <xf numFmtId="0" fontId="20" fillId="8" borderId="24" xfId="3" applyFont="1" applyFill="1" applyBorder="1" applyAlignment="1">
      <alignment horizontal="center" vertical="center" wrapText="1"/>
    </xf>
    <xf numFmtId="0" fontId="20" fillId="5" borderId="20" xfId="3" applyFont="1" applyFill="1" applyBorder="1" applyAlignment="1">
      <alignment horizontal="center" vertical="center" wrapText="1"/>
    </xf>
    <xf numFmtId="0" fontId="20" fillId="5" borderId="24" xfId="3" applyFont="1" applyFill="1" applyBorder="1" applyAlignment="1">
      <alignment horizontal="left" vertical="center" wrapText="1"/>
    </xf>
    <xf numFmtId="0" fontId="20" fillId="5" borderId="25" xfId="3" applyFont="1" applyFill="1" applyBorder="1" applyAlignment="1">
      <alignment horizontal="left" vertical="center" wrapText="1"/>
    </xf>
    <xf numFmtId="0" fontId="20" fillId="5" borderId="42" xfId="3" applyFont="1" applyFill="1" applyBorder="1" applyAlignment="1">
      <alignment horizontal="center" vertical="center" wrapText="1"/>
    </xf>
    <xf numFmtId="0" fontId="20" fillId="5" borderId="0" xfId="3" applyFont="1" applyFill="1" applyAlignment="1">
      <alignment horizontal="center" vertical="center" wrapText="1"/>
    </xf>
    <xf numFmtId="0" fontId="0" fillId="0" borderId="14" xfId="0" applyBorder="1">
      <alignment vertical="center"/>
    </xf>
    <xf numFmtId="0" fontId="34" fillId="8" borderId="17" xfId="3" quotePrefix="1" applyFont="1" applyFill="1" applyBorder="1" applyAlignment="1">
      <alignment horizontal="left" vertical="center" wrapText="1"/>
    </xf>
    <xf numFmtId="0" fontId="34" fillId="8" borderId="41" xfId="3" applyFont="1" applyFill="1" applyBorder="1" applyAlignment="1">
      <alignment horizontal="left" vertical="center" wrapText="1"/>
    </xf>
    <xf numFmtId="0" fontId="34" fillId="8" borderId="26" xfId="3" applyFont="1" applyFill="1" applyBorder="1" applyAlignment="1">
      <alignment horizontal="left" vertical="center" wrapText="1"/>
    </xf>
    <xf numFmtId="0" fontId="20" fillId="0" borderId="17" xfId="3" quotePrefix="1" applyFont="1" applyBorder="1" applyAlignment="1">
      <alignment vertical="center" wrapText="1"/>
    </xf>
    <xf numFmtId="0" fontId="20" fillId="0" borderId="41" xfId="3" applyFont="1" applyBorder="1" applyAlignment="1">
      <alignment vertical="center" wrapText="1"/>
    </xf>
    <xf numFmtId="0" fontId="20" fillId="0" borderId="26" xfId="3" quotePrefix="1" applyFont="1" applyBorder="1" applyAlignment="1">
      <alignment vertical="center" wrapText="1"/>
    </xf>
    <xf numFmtId="0" fontId="20" fillId="5" borderId="44" xfId="3" applyFont="1" applyFill="1" applyBorder="1" applyAlignment="1">
      <alignment horizontal="center" vertical="center" wrapText="1"/>
    </xf>
  </cellXfs>
  <cellStyles count="4">
    <cellStyle name="표준" xfId="0" builtinId="0"/>
    <cellStyle name="표준 2" xfId="1" xr:uid="{2CB31843-281A-43FC-990D-E3F07980C5C1}"/>
    <cellStyle name="표준 3" xfId="2" xr:uid="{094FFFB7-19EC-4D59-9982-4FD6102AEA7D}"/>
    <cellStyle name="표준 4" xfId="3" xr:uid="{C4A40664-4839-49E0-B965-2A1F1AD9950E}"/>
  </cellStyles>
  <dxfs count="0"/>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71236</xdr:colOff>
      <xdr:row>10</xdr:row>
      <xdr:rowOff>395409</xdr:rowOff>
    </xdr:from>
    <xdr:to>
      <xdr:col>14</xdr:col>
      <xdr:colOff>843644</xdr:colOff>
      <xdr:row>11</xdr:row>
      <xdr:rowOff>1049452</xdr:rowOff>
    </xdr:to>
    <xdr:pic>
      <xdr:nvPicPr>
        <xdr:cNvPr id="2" name="그림 1">
          <a:extLst>
            <a:ext uri="{FF2B5EF4-FFF2-40B4-BE49-F238E27FC236}">
              <a16:creationId xmlns:a16="http://schemas.microsoft.com/office/drawing/2014/main" id="{427312ED-ECFA-CB06-091F-A08D5B78F20B}"/>
            </a:ext>
          </a:extLst>
        </xdr:cNvPr>
        <xdr:cNvPicPr>
          <a:picLocks noChangeAspect="1"/>
        </xdr:cNvPicPr>
      </xdr:nvPicPr>
      <xdr:blipFill>
        <a:blip xmlns:r="http://schemas.openxmlformats.org/officeDocument/2006/relationships" r:embed="rId1"/>
        <a:stretch>
          <a:fillRect/>
        </a:stretch>
      </xdr:blipFill>
      <xdr:spPr>
        <a:xfrm>
          <a:off x="20237022" y="8967909"/>
          <a:ext cx="6283301" cy="29264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33618</xdr:colOff>
      <xdr:row>29</xdr:row>
      <xdr:rowOff>372997</xdr:rowOff>
    </xdr:from>
    <xdr:to>
      <xdr:col>28</xdr:col>
      <xdr:colOff>279350</xdr:colOff>
      <xdr:row>34</xdr:row>
      <xdr:rowOff>64863</xdr:rowOff>
    </xdr:to>
    <xdr:pic>
      <xdr:nvPicPr>
        <xdr:cNvPr id="2" name="그림 1">
          <a:extLst>
            <a:ext uri="{FF2B5EF4-FFF2-40B4-BE49-F238E27FC236}">
              <a16:creationId xmlns:a16="http://schemas.microsoft.com/office/drawing/2014/main" id="{78DC186A-C07E-482F-AE46-481976CF0D76}"/>
            </a:ext>
          </a:extLst>
        </xdr:cNvPr>
        <xdr:cNvPicPr>
          <a:picLocks noChangeAspect="1"/>
        </xdr:cNvPicPr>
      </xdr:nvPicPr>
      <xdr:blipFill>
        <a:blip xmlns:r="http://schemas.openxmlformats.org/officeDocument/2006/relationships" r:embed="rId1"/>
        <a:stretch>
          <a:fillRect/>
        </a:stretch>
      </xdr:blipFill>
      <xdr:spPr>
        <a:xfrm>
          <a:off x="25773530" y="14212262"/>
          <a:ext cx="6296908" cy="26154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71236</xdr:colOff>
      <xdr:row>16</xdr:row>
      <xdr:rowOff>395409</xdr:rowOff>
    </xdr:from>
    <xdr:to>
      <xdr:col>17</xdr:col>
      <xdr:colOff>843644</xdr:colOff>
      <xdr:row>17</xdr:row>
      <xdr:rowOff>117684</xdr:rowOff>
    </xdr:to>
    <xdr:pic>
      <xdr:nvPicPr>
        <xdr:cNvPr id="2" name="그림 1">
          <a:extLst>
            <a:ext uri="{FF2B5EF4-FFF2-40B4-BE49-F238E27FC236}">
              <a16:creationId xmlns:a16="http://schemas.microsoft.com/office/drawing/2014/main" id="{B76A3A59-E548-4D31-8699-CB8F38793CE3}"/>
            </a:ext>
          </a:extLst>
        </xdr:cNvPr>
        <xdr:cNvPicPr>
          <a:picLocks noChangeAspect="1"/>
        </xdr:cNvPicPr>
      </xdr:nvPicPr>
      <xdr:blipFill>
        <a:blip xmlns:r="http://schemas.openxmlformats.org/officeDocument/2006/relationships" r:embed="rId1"/>
        <a:stretch>
          <a:fillRect/>
        </a:stretch>
      </xdr:blipFill>
      <xdr:spPr>
        <a:xfrm>
          <a:off x="24245686" y="41733909"/>
          <a:ext cx="6287383" cy="29131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김 성철" id="{B7D1DF8C-C889-4F2C-80C8-AE20AD75760F}" userId="S::chengzhe.jin@iaan2011.onmicrosoft.com::593166a2-25f9-4795-b00e-25a42f157a1d" providerId="AD"/>
  <person displayName="게스트 사용자" id="{E43F945F-DBE8-4F19-B9DC-7B113B00D325}" userId="S::urn:spo:anon#fcf7d971c85d9f51866ac0a7d0f7a46e0b7446a1a432e7c03b67299ba2b838e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16383</v>
    <v>8</v>
    <v>172</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5-02-12T00:57:49.96" personId="{B7D1DF8C-C889-4F2C-80C8-AE20AD75760F}" id="{F0439171-6E4B-4451-A32D-221106771F46}">
    <text>상세정의 필요, 공정별 유입수질 선택이 가능해야 할가요? 유출 수질정보 표출은 어떤 방식으로 표출 되나요?</text>
  </threadedComment>
  <threadedComment ref="G8" dT="2025-02-14T00:22:17.47" personId="{E43F945F-DBE8-4F19-B9DC-7B113B00D325}" id="{0A86E0E4-B9C0-4504-B587-00DACAA85DE1}" parentId="{F0439171-6E4B-4451-A32D-221106771F46}">
    <text>순서는 아래처럼 정리를 하였습니다.
1.유입성상선택
3.유입성상에 대한 유입수질 정보 입력
3.권장 공정 선택
4. 공정 흐름도(MB) 화면 생성
5. 생성된 공정 흐름도의 아이콘 더블클릭하여 설계 인자값 설정
*유출수질 정보 표출은 제거효율에 따라 계산되어짐
* 유입수질과 유출수질 입력에 따라 권장공정을 나타내는 로직을 만들 수 있을 때 프로그램에 반영하려고 합니다.</text>
  </threadedComment>
</ThreadedComments>
</file>

<file path=xl/threadedComments/threadedComment2.xml><?xml version="1.0" encoding="utf-8"?>
<ThreadedComments xmlns="http://schemas.microsoft.com/office/spreadsheetml/2018/threadedcomments" xmlns:x="http://schemas.openxmlformats.org/spreadsheetml/2006/main">
  <threadedComment ref="J4" dT="2025-03-27T00:50:08.31" personId="{B7D1DF8C-C889-4F2C-80C8-AE20AD75760F}" id="{187E7D2B-C32D-4BCB-860B-197831FEF178}">
    <text xml:space="preserve">기능과 내용을 위치 바꾸어도 괜찮죠?
</text>
  </threadedComment>
  <threadedComment ref="F18" dT="2025-02-12T00:57:49.96" personId="{B7D1DF8C-C889-4F2C-80C8-AE20AD75760F}" id="{3B348388-ADBD-4A21-8336-77FFF1C47E63}" done="1">
    <text>상세정의 필요, 공정별 유입수질 선택이 가능해야 할가요? 유출 수질정보 표출은 어떤 방식으로 표출 되나요?</text>
  </threadedComment>
  <threadedComment ref="F18" dT="2025-02-14T00:22:17.47" personId="{E43F945F-DBE8-4F19-B9DC-7B113B00D325}" id="{8F1991FA-03C1-41B2-9AD0-1B06669A334C}" parentId="{3B348388-ADBD-4A21-8336-77FFF1C47E63}">
    <text>순서는 아래처럼 정리를 하였습니다.
1.유입성상선택
3.유입성상에 대한 유입수질 정보 입력
3.권장 공정 선택
4. 공정 흐름도(MB) 화면 생성
5. 생성된 공정 흐름도의 아이콘 더블클릭하여 설계 인자값 설정
*유출수질 정보 표출은 제거효율에 따라 계산되어짐
* 유입수질과 유출수질 입력에 따라 권장공정을 나타내는 로직을 만들 수 있을 때 프로그램에 반영하려고 합니다.</text>
  </threadedComment>
  <threadedComment ref="G31" dT="2025-04-01T06:15:10.44" personId="{E43F945F-DBE8-4F19-B9DC-7B113B00D325}" id="{64356903-AF18-4FB7-91F5-B9B689E8C9CC}">
    <text xml:space="preserve">관리자 기능만 필요
</text>
  </threadedComment>
</ThreadedComments>
</file>

<file path=xl/threadedComments/threadedComment3.xml><?xml version="1.0" encoding="utf-8"?>
<ThreadedComments xmlns="http://schemas.microsoft.com/office/spreadsheetml/2018/threadedcomments" xmlns:x="http://schemas.openxmlformats.org/spreadsheetml/2006/main">
  <threadedComment ref="J4" dT="2025-03-27T00:50:08.31" personId="{B7D1DF8C-C889-4F2C-80C8-AE20AD75760F}" id="{48AC8A14-4457-4AFC-956D-3B6E8D92E69D}">
    <text xml:space="preserve">기능과 내용을 위치 바꾸어도 괜찮죠?
</text>
  </threadedComment>
  <threadedComment ref="G14" dT="2025-02-12T00:57:49.96" personId="{B7D1DF8C-C889-4F2C-80C8-AE20AD75760F}" id="{B541D89D-A2FF-498E-8389-8A3A72E1542E}">
    <text>상세정의 필요, 공정별 유입수질 선택이 가능해야 할가요? 유출 수질정보 표출은 어떤 방식으로 표출 되나요?</text>
  </threadedComment>
  <threadedComment ref="G14" dT="2025-02-14T00:22:17.47" personId="{E43F945F-DBE8-4F19-B9DC-7B113B00D325}" id="{AC2C2C7A-1AF6-43C8-A1BA-9C0E0C1FB814}" parentId="{B541D89D-A2FF-498E-8389-8A3A72E1542E}">
    <text>순서는 아래처럼 정리를 하였습니다.
1.유입성상선택
3.유입성상에 대한 유입수질 정보 입력
3.권장 공정 선택
4. 공정 흐름도(MB) 화면 생성
5. 생성된 공정 흐름도의 아이콘 더블클릭하여 설계 인자값 설정
*유출수질 정보 표출은 제거효율에 따라 계산되어짐
* 유입수질과 유출수질 입력에 따라 권장공정을 나타내는 로직을 만들 수 있을 때 프로그램에 반영하려고 합니다.</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30A85-D305-4CBA-B40B-188C6B041042}">
  <sheetPr>
    <pageSetUpPr fitToPage="1"/>
  </sheetPr>
  <dimension ref="B1:R1003"/>
  <sheetViews>
    <sheetView topLeftCell="B1" zoomScale="85" zoomScaleNormal="85" workbookViewId="0">
      <pane xSplit="8010" ySplit="915" topLeftCell="A9" activePane="bottomRight"/>
      <selection pane="topRight" activeCell="I1" sqref="I1:I1048576"/>
      <selection pane="bottomLeft" activeCell="E30" sqref="E30"/>
      <selection pane="bottomRight" activeCell="D9" sqref="D9:D15"/>
    </sheetView>
  </sheetViews>
  <sheetFormatPr defaultColWidth="12.625" defaultRowHeight="15" customHeight="1"/>
  <cols>
    <col min="1" max="1" width="2.5" style="2" customWidth="1"/>
    <col min="2" max="2" width="18.75" style="2" customWidth="1"/>
    <col min="3" max="3" width="11.75" style="2" customWidth="1"/>
    <col min="4" max="4" width="17.75" style="5" customWidth="1"/>
    <col min="5" max="5" width="23.875" style="2" customWidth="1"/>
    <col min="6" max="6" width="15" style="2" customWidth="1"/>
    <col min="7" max="7" width="79.625" style="2" customWidth="1"/>
    <col min="8" max="8" width="56.625" style="2" customWidth="1"/>
    <col min="9" max="9" width="16.5" style="2" customWidth="1"/>
    <col min="10" max="10" width="41.625" style="2" customWidth="1"/>
    <col min="11" max="11" width="9.375" style="2" customWidth="1"/>
    <col min="12" max="12" width="30.75" style="2" customWidth="1"/>
    <col min="13" max="14" width="16.125" style="2" customWidth="1"/>
    <col min="15" max="15" width="22.375" style="2" customWidth="1"/>
    <col min="16" max="17" width="8.875" style="2" customWidth="1"/>
    <col min="18" max="37" width="8" style="2" customWidth="1"/>
    <col min="38" max="16384" width="12.625" style="2"/>
  </cols>
  <sheetData>
    <row r="1" spans="2:18" ht="13.5" customHeight="1">
      <c r="D1" s="4"/>
      <c r="E1" s="3"/>
      <c r="F1" s="3"/>
      <c r="G1" s="3"/>
      <c r="H1" s="3"/>
      <c r="I1" s="3"/>
      <c r="J1" s="3"/>
      <c r="K1" s="3"/>
      <c r="L1" s="3"/>
      <c r="M1" s="3"/>
      <c r="N1" s="3"/>
      <c r="O1" s="3"/>
      <c r="P1" s="3"/>
      <c r="Q1" s="3"/>
      <c r="R1" s="3"/>
    </row>
    <row r="2" spans="2:18" ht="13.5" customHeight="1">
      <c r="B2" s="264" t="s">
        <v>407</v>
      </c>
      <c r="C2" s="37" t="s">
        <v>0</v>
      </c>
      <c r="D2" s="271" t="s">
        <v>1</v>
      </c>
      <c r="E2" s="265" t="s">
        <v>2</v>
      </c>
      <c r="F2" s="264" t="s">
        <v>4</v>
      </c>
      <c r="G2" s="264" t="s">
        <v>415</v>
      </c>
      <c r="H2" s="264" t="s">
        <v>397</v>
      </c>
      <c r="I2" s="278" t="s">
        <v>398</v>
      </c>
      <c r="J2" s="280" t="s">
        <v>399</v>
      </c>
      <c r="K2" s="286" t="s">
        <v>400</v>
      </c>
      <c r="L2" s="286"/>
      <c r="M2" s="33" t="s">
        <v>401</v>
      </c>
      <c r="N2" s="34" t="s">
        <v>402</v>
      </c>
      <c r="O2" s="34" t="s">
        <v>403</v>
      </c>
      <c r="P2" s="7"/>
      <c r="Q2" s="3"/>
      <c r="R2" s="3"/>
    </row>
    <row r="3" spans="2:18" ht="13.5" customHeight="1">
      <c r="B3" s="263"/>
      <c r="C3" s="37" t="s">
        <v>6</v>
      </c>
      <c r="D3" s="272"/>
      <c r="E3" s="266"/>
      <c r="F3" s="274"/>
      <c r="G3" s="274"/>
      <c r="H3" s="274"/>
      <c r="I3" s="279"/>
      <c r="J3" s="281"/>
      <c r="K3" s="31" t="s">
        <v>404</v>
      </c>
      <c r="L3" s="32" t="s">
        <v>405</v>
      </c>
      <c r="M3" s="35"/>
      <c r="N3" s="36"/>
      <c r="O3" s="36"/>
      <c r="P3" s="7"/>
      <c r="Q3" s="3"/>
      <c r="R3" s="3"/>
    </row>
    <row r="4" spans="2:18" ht="128.25" customHeight="1">
      <c r="B4" s="259" t="s">
        <v>408</v>
      </c>
      <c r="C4" s="259" t="s">
        <v>7</v>
      </c>
      <c r="D4" s="267" t="s">
        <v>8</v>
      </c>
      <c r="E4" s="6" t="s">
        <v>416</v>
      </c>
      <c r="F4" s="16" t="s">
        <v>11</v>
      </c>
      <c r="G4" s="17" t="s">
        <v>417</v>
      </c>
      <c r="H4" s="18" t="s">
        <v>418</v>
      </c>
      <c r="I4" s="19"/>
      <c r="J4" s="20"/>
      <c r="K4" s="6"/>
      <c r="L4" s="6"/>
      <c r="M4" s="6"/>
      <c r="N4" s="6"/>
      <c r="O4" s="6"/>
      <c r="P4" s="275" t="s">
        <v>419</v>
      </c>
      <c r="Q4" s="3"/>
      <c r="R4" s="3"/>
    </row>
    <row r="5" spans="2:18" ht="21.75" customHeight="1">
      <c r="B5" s="260"/>
      <c r="C5" s="260"/>
      <c r="D5" s="268"/>
      <c r="E5" s="6" t="s">
        <v>420</v>
      </c>
      <c r="F5" s="16" t="s">
        <v>13</v>
      </c>
      <c r="G5" s="21" t="s">
        <v>421</v>
      </c>
      <c r="H5" s="6"/>
      <c r="I5" s="19"/>
      <c r="J5" s="6"/>
      <c r="K5" s="6"/>
      <c r="L5" s="6"/>
      <c r="M5" s="6"/>
      <c r="N5" s="6"/>
      <c r="O5" s="6"/>
      <c r="P5" s="276"/>
      <c r="Q5" s="3"/>
      <c r="R5" s="3"/>
    </row>
    <row r="6" spans="2:18" ht="21.75" customHeight="1">
      <c r="B6" s="260"/>
      <c r="C6" s="260"/>
      <c r="D6" s="268"/>
      <c r="E6" s="6" t="s">
        <v>422</v>
      </c>
      <c r="F6" s="16" t="s">
        <v>14</v>
      </c>
      <c r="G6" s="19" t="s">
        <v>423</v>
      </c>
      <c r="H6" s="6"/>
      <c r="I6" s="19"/>
      <c r="J6" s="6"/>
      <c r="K6" s="6"/>
      <c r="L6" s="6"/>
      <c r="M6" s="6"/>
      <c r="N6" s="6"/>
      <c r="O6" s="6"/>
      <c r="P6" s="276"/>
      <c r="Q6" s="3"/>
      <c r="R6" s="3"/>
    </row>
    <row r="7" spans="2:18" ht="96" customHeight="1">
      <c r="B7" s="261"/>
      <c r="C7" s="259" t="s">
        <v>32</v>
      </c>
      <c r="D7" s="267" t="s">
        <v>424</v>
      </c>
      <c r="E7" s="6" t="s">
        <v>425</v>
      </c>
      <c r="F7" s="16" t="s">
        <v>36</v>
      </c>
      <c r="G7" s="21" t="s">
        <v>426</v>
      </c>
      <c r="H7" s="20"/>
      <c r="I7" s="19"/>
      <c r="J7" s="6" t="s">
        <v>427</v>
      </c>
      <c r="K7" s="6"/>
      <c r="L7" s="6"/>
      <c r="M7" s="6"/>
      <c r="N7" s="6"/>
      <c r="O7" s="6"/>
      <c r="P7" s="277"/>
      <c r="Q7" s="3"/>
      <c r="R7" s="3"/>
    </row>
    <row r="8" spans="2:18" ht="120" customHeight="1">
      <c r="B8" s="261"/>
      <c r="C8" s="260"/>
      <c r="D8" s="268"/>
      <c r="E8" s="6" t="s">
        <v>428</v>
      </c>
      <c r="F8" s="16" t="s">
        <v>38</v>
      </c>
      <c r="G8" s="39" t="s">
        <v>429</v>
      </c>
      <c r="H8" s="22" t="s">
        <v>430</v>
      </c>
      <c r="I8" s="41" t="s">
        <v>431</v>
      </c>
      <c r="J8" s="43"/>
      <c r="K8" s="23"/>
      <c r="L8" s="23"/>
      <c r="M8" s="23"/>
      <c r="N8" s="23"/>
      <c r="O8" s="23"/>
      <c r="P8" s="277"/>
      <c r="Q8" s="3"/>
      <c r="R8" s="3"/>
    </row>
    <row r="9" spans="2:18" ht="119.25" customHeight="1">
      <c r="B9" s="261"/>
      <c r="C9" s="259" t="s">
        <v>45</v>
      </c>
      <c r="D9" s="267" t="s">
        <v>432</v>
      </c>
      <c r="E9" s="6" t="s">
        <v>433</v>
      </c>
      <c r="F9" s="16" t="s">
        <v>49</v>
      </c>
      <c r="G9" s="18" t="s">
        <v>434</v>
      </c>
      <c r="H9" s="30" t="s">
        <v>435</v>
      </c>
      <c r="I9" s="6"/>
      <c r="J9" s="6"/>
      <c r="K9" s="6"/>
      <c r="L9" s="6"/>
      <c r="M9" s="6"/>
      <c r="N9" s="6"/>
      <c r="O9" s="6"/>
      <c r="P9" s="277"/>
      <c r="Q9" s="3"/>
      <c r="R9" s="3"/>
    </row>
    <row r="10" spans="2:18" ht="126" customHeight="1">
      <c r="B10" s="261"/>
      <c r="C10" s="260"/>
      <c r="D10" s="268"/>
      <c r="E10" s="6" t="s">
        <v>436</v>
      </c>
      <c r="F10" s="16" t="s">
        <v>51</v>
      </c>
      <c r="G10" s="18" t="s">
        <v>437</v>
      </c>
      <c r="H10" s="42"/>
      <c r="I10" s="6"/>
      <c r="J10" s="6" t="s">
        <v>438</v>
      </c>
      <c r="K10" s="6"/>
      <c r="L10" s="6"/>
      <c r="M10" s="6"/>
      <c r="N10" s="6"/>
      <c r="O10" s="6"/>
      <c r="P10" s="277"/>
      <c r="Q10" s="3"/>
      <c r="R10" s="3"/>
    </row>
    <row r="11" spans="2:18" ht="178.5" customHeight="1">
      <c r="B11" s="261"/>
      <c r="C11" s="260"/>
      <c r="D11" s="268"/>
      <c r="E11" s="6" t="s">
        <v>439</v>
      </c>
      <c r="F11" s="16" t="s">
        <v>440</v>
      </c>
      <c r="G11" s="18" t="s">
        <v>441</v>
      </c>
      <c r="H11" s="18" t="s">
        <v>442</v>
      </c>
      <c r="I11" s="6"/>
      <c r="J11" s="6"/>
      <c r="K11" s="6"/>
      <c r="L11" s="6"/>
      <c r="M11" s="6"/>
      <c r="N11" s="6"/>
      <c r="O11" s="6"/>
      <c r="P11" s="277"/>
      <c r="Q11" s="3"/>
      <c r="R11" s="3"/>
    </row>
    <row r="12" spans="2:18" ht="98.25" customHeight="1">
      <c r="B12" s="261"/>
      <c r="C12" s="260"/>
      <c r="D12" s="268"/>
      <c r="E12" s="6" t="s">
        <v>443</v>
      </c>
      <c r="F12" s="16" t="s">
        <v>55</v>
      </c>
      <c r="G12" s="6" t="s">
        <v>444</v>
      </c>
      <c r="H12" s="18" t="s">
        <v>445</v>
      </c>
      <c r="I12" s="6"/>
      <c r="J12" s="6"/>
      <c r="K12" s="6"/>
      <c r="L12" s="6"/>
      <c r="M12" s="6"/>
      <c r="N12" s="6"/>
      <c r="O12" s="6" t="s">
        <v>446</v>
      </c>
      <c r="P12" s="277"/>
      <c r="Q12" s="3"/>
      <c r="R12" s="3"/>
    </row>
    <row r="13" spans="2:18" ht="90" customHeight="1">
      <c r="B13" s="261"/>
      <c r="C13" s="260"/>
      <c r="D13" s="268"/>
      <c r="E13" s="6" t="s">
        <v>447</v>
      </c>
      <c r="F13" s="16" t="s">
        <v>57</v>
      </c>
      <c r="G13" s="18" t="s">
        <v>448</v>
      </c>
      <c r="H13" s="42" t="s">
        <v>449</v>
      </c>
      <c r="I13" s="6"/>
      <c r="J13" s="6"/>
      <c r="K13" s="6" t="s">
        <v>450</v>
      </c>
      <c r="L13" s="6" t="s">
        <v>451</v>
      </c>
      <c r="M13" s="6"/>
      <c r="N13" s="6"/>
      <c r="O13" s="6"/>
      <c r="P13" s="277"/>
      <c r="Q13" s="3"/>
      <c r="R13" s="3"/>
    </row>
    <row r="14" spans="2:18" ht="96" customHeight="1">
      <c r="B14" s="261"/>
      <c r="C14" s="260"/>
      <c r="D14" s="268"/>
      <c r="E14" s="6" t="s">
        <v>452</v>
      </c>
      <c r="F14" s="16" t="s">
        <v>59</v>
      </c>
      <c r="G14" s="18" t="s">
        <v>453</v>
      </c>
      <c r="H14" s="30" t="s">
        <v>454</v>
      </c>
      <c r="I14" s="6"/>
      <c r="K14" s="6"/>
      <c r="L14" s="6"/>
      <c r="M14" s="6"/>
      <c r="N14" s="6"/>
      <c r="O14" s="6"/>
      <c r="P14" s="277"/>
      <c r="Q14" s="3"/>
      <c r="R14" s="3"/>
    </row>
    <row r="15" spans="2:18" ht="231.75" customHeight="1">
      <c r="B15" s="261"/>
      <c r="C15" s="260"/>
      <c r="D15" s="268"/>
      <c r="E15" s="6" t="s">
        <v>455</v>
      </c>
      <c r="F15" s="16" t="s">
        <v>61</v>
      </c>
      <c r="G15" s="18" t="s">
        <v>456</v>
      </c>
      <c r="H15" s="18" t="s">
        <v>457</v>
      </c>
      <c r="I15" s="6"/>
      <c r="J15" s="20" t="s">
        <v>458</v>
      </c>
      <c r="K15" s="6" t="s">
        <v>450</v>
      </c>
      <c r="L15" s="6" t="s">
        <v>459</v>
      </c>
      <c r="M15" s="6"/>
      <c r="N15" s="6"/>
      <c r="O15" s="6"/>
      <c r="P15" s="277"/>
      <c r="Q15" s="3"/>
      <c r="R15" s="3"/>
    </row>
    <row r="16" spans="2:18" ht="69" customHeight="1">
      <c r="B16" s="261"/>
      <c r="C16" s="259" t="s">
        <v>113</v>
      </c>
      <c r="D16" s="267" t="s">
        <v>460</v>
      </c>
      <c r="E16" s="6" t="s">
        <v>461</v>
      </c>
      <c r="F16" s="16" t="s">
        <v>462</v>
      </c>
      <c r="G16" s="6" t="s">
        <v>463</v>
      </c>
      <c r="H16" s="18" t="s">
        <v>464</v>
      </c>
      <c r="I16" s="6"/>
      <c r="J16" s="6"/>
      <c r="K16" s="6"/>
      <c r="L16" s="6"/>
      <c r="M16" s="6"/>
      <c r="N16" s="6"/>
      <c r="O16" s="6"/>
      <c r="P16" s="277"/>
      <c r="Q16" s="3"/>
      <c r="R16" s="3"/>
    </row>
    <row r="17" spans="2:18" ht="37.5" customHeight="1">
      <c r="B17" s="261"/>
      <c r="C17" s="260"/>
      <c r="D17" s="268"/>
      <c r="E17" s="6" t="s">
        <v>465</v>
      </c>
      <c r="F17" s="16" t="s">
        <v>115</v>
      </c>
      <c r="G17" s="6" t="s">
        <v>466</v>
      </c>
      <c r="H17" s="18" t="s">
        <v>467</v>
      </c>
      <c r="I17" s="6"/>
      <c r="J17" s="6" t="s">
        <v>468</v>
      </c>
      <c r="K17" s="6"/>
      <c r="L17" s="6"/>
      <c r="M17" s="6"/>
      <c r="N17" s="6"/>
      <c r="O17" s="6"/>
      <c r="P17" s="277"/>
      <c r="Q17" s="3"/>
      <c r="R17" s="3"/>
    </row>
    <row r="18" spans="2:18" ht="67.5" customHeight="1">
      <c r="B18" s="261"/>
      <c r="C18" s="260"/>
      <c r="D18" s="268"/>
      <c r="E18" s="6" t="s">
        <v>469</v>
      </c>
      <c r="F18" s="16" t="s">
        <v>117</v>
      </c>
      <c r="G18" s="6" t="s">
        <v>470</v>
      </c>
      <c r="H18" s="18" t="s">
        <v>471</v>
      </c>
      <c r="I18" s="6"/>
      <c r="J18" s="6"/>
      <c r="K18" s="6"/>
      <c r="L18" s="6"/>
      <c r="M18" s="6"/>
      <c r="N18" s="6"/>
      <c r="O18" s="6"/>
      <c r="P18" s="277"/>
      <c r="Q18" s="3"/>
      <c r="R18" s="3"/>
    </row>
    <row r="19" spans="2:18" ht="367.5" customHeight="1">
      <c r="B19" s="261"/>
      <c r="C19" s="259" t="s">
        <v>410</v>
      </c>
      <c r="D19" s="283" t="s">
        <v>472</v>
      </c>
      <c r="E19" s="6" t="s">
        <v>473</v>
      </c>
      <c r="F19" s="16" t="s">
        <v>411</v>
      </c>
      <c r="G19" s="18" t="s">
        <v>474</v>
      </c>
      <c r="H19" s="18" t="s">
        <v>475</v>
      </c>
      <c r="I19" s="6"/>
      <c r="J19" s="18" t="s">
        <v>476</v>
      </c>
      <c r="K19" s="6" t="s">
        <v>450</v>
      </c>
      <c r="L19" s="6" t="s">
        <v>477</v>
      </c>
      <c r="M19" s="6"/>
      <c r="N19" s="6"/>
      <c r="O19" s="6"/>
      <c r="P19" s="277"/>
      <c r="Q19" s="3"/>
      <c r="R19" s="3"/>
    </row>
    <row r="20" spans="2:18" ht="117.75" customHeight="1">
      <c r="B20" s="261"/>
      <c r="C20" s="260"/>
      <c r="D20" s="284"/>
      <c r="E20" s="6" t="s">
        <v>478</v>
      </c>
      <c r="F20" s="16" t="s">
        <v>291</v>
      </c>
      <c r="G20" s="38" t="s">
        <v>479</v>
      </c>
      <c r="H20" s="18" t="s">
        <v>480</v>
      </c>
      <c r="I20" s="6"/>
      <c r="J20" s="6"/>
      <c r="K20" s="6"/>
      <c r="L20" s="6"/>
      <c r="M20" s="6"/>
      <c r="N20" s="6"/>
      <c r="O20" s="6"/>
      <c r="P20" s="277"/>
      <c r="Q20" s="3"/>
      <c r="R20" s="3"/>
    </row>
    <row r="21" spans="2:18" ht="96" customHeight="1">
      <c r="B21" s="261"/>
      <c r="C21" s="260"/>
      <c r="D21" s="284"/>
      <c r="E21" s="6" t="s">
        <v>481</v>
      </c>
      <c r="F21" s="16" t="s">
        <v>289</v>
      </c>
      <c r="G21" s="18" t="s">
        <v>482</v>
      </c>
      <c r="H21" s="18" t="s">
        <v>483</v>
      </c>
      <c r="I21" s="6"/>
      <c r="J21" s="18" t="s">
        <v>484</v>
      </c>
      <c r="K21" s="6"/>
      <c r="L21" s="6"/>
      <c r="M21" s="6"/>
      <c r="N21" s="6"/>
      <c r="O21" s="6"/>
      <c r="P21" s="277"/>
      <c r="Q21" s="3"/>
      <c r="R21" s="3"/>
    </row>
    <row r="22" spans="2:18" ht="15.75" customHeight="1">
      <c r="B22" s="261"/>
      <c r="C22" s="260"/>
      <c r="D22" s="284"/>
      <c r="E22" s="6"/>
      <c r="F22" s="16"/>
      <c r="G22" s="38"/>
      <c r="H22" s="18"/>
      <c r="I22" s="6"/>
      <c r="J22" s="6"/>
      <c r="K22" s="6"/>
      <c r="L22" s="6"/>
      <c r="M22" s="6"/>
      <c r="N22" s="6"/>
      <c r="O22" s="6"/>
      <c r="P22" s="277"/>
      <c r="Q22" s="3"/>
      <c r="R22" s="3"/>
    </row>
    <row r="23" spans="2:18" ht="84.75" customHeight="1">
      <c r="B23" s="261"/>
      <c r="C23" s="260"/>
      <c r="D23" s="284"/>
      <c r="E23" s="6" t="s">
        <v>485</v>
      </c>
      <c r="F23" s="16" t="s">
        <v>293</v>
      </c>
      <c r="G23" s="40" t="s">
        <v>486</v>
      </c>
      <c r="H23" s="18" t="s">
        <v>487</v>
      </c>
      <c r="I23" s="6"/>
      <c r="J23" s="6"/>
      <c r="K23" s="6"/>
      <c r="L23" s="6"/>
      <c r="M23" s="6"/>
      <c r="N23" s="6"/>
      <c r="O23" s="6"/>
      <c r="P23" s="277"/>
      <c r="Q23" s="3"/>
      <c r="R23" s="3"/>
    </row>
    <row r="24" spans="2:18" ht="147.75" customHeight="1">
      <c r="B24" s="261"/>
      <c r="C24" s="260"/>
      <c r="D24" s="284"/>
      <c r="E24" s="6" t="s">
        <v>488</v>
      </c>
      <c r="F24" s="16" t="s">
        <v>489</v>
      </c>
      <c r="G24" s="18" t="s">
        <v>490</v>
      </c>
      <c r="H24" s="6"/>
      <c r="I24" s="6"/>
      <c r="J24" s="6"/>
      <c r="K24" s="6" t="s">
        <v>450</v>
      </c>
      <c r="L24" s="18" t="s">
        <v>491</v>
      </c>
      <c r="M24" s="6"/>
      <c r="N24" s="6"/>
      <c r="O24" s="6"/>
      <c r="P24" s="277"/>
      <c r="Q24" s="3"/>
      <c r="R24" s="3"/>
    </row>
    <row r="25" spans="2:18" ht="230.25" customHeight="1">
      <c r="B25" s="261"/>
      <c r="C25" s="260"/>
      <c r="D25" s="284"/>
      <c r="E25" s="6" t="s">
        <v>492</v>
      </c>
      <c r="F25" s="16" t="s">
        <v>493</v>
      </c>
      <c r="G25" s="18" t="s">
        <v>494</v>
      </c>
      <c r="H25" s="18" t="s">
        <v>495</v>
      </c>
      <c r="I25" s="6"/>
      <c r="J25" s="6"/>
      <c r="K25" s="6" t="s">
        <v>450</v>
      </c>
      <c r="L25" s="18" t="s">
        <v>496</v>
      </c>
      <c r="M25" s="6"/>
      <c r="N25" s="6"/>
      <c r="O25" s="6"/>
      <c r="P25" s="277"/>
      <c r="Q25" s="3"/>
      <c r="R25" s="3"/>
    </row>
    <row r="26" spans="2:18" ht="138.75" customHeight="1">
      <c r="B26" s="261"/>
      <c r="C26" s="282"/>
      <c r="D26" s="285"/>
      <c r="E26" s="6" t="s">
        <v>497</v>
      </c>
      <c r="F26" s="16" t="s">
        <v>300</v>
      </c>
      <c r="G26" s="18" t="s">
        <v>498</v>
      </c>
      <c r="H26" s="6"/>
      <c r="I26" s="6"/>
      <c r="J26" s="6"/>
      <c r="K26" s="6"/>
      <c r="L26" s="6"/>
      <c r="M26" s="6"/>
      <c r="N26" s="6"/>
      <c r="O26" s="6"/>
      <c r="P26" s="277"/>
      <c r="Q26" s="3"/>
      <c r="R26" s="3"/>
    </row>
    <row r="27" spans="2:18" ht="189" customHeight="1">
      <c r="B27" s="261"/>
      <c r="C27" s="259" t="s">
        <v>412</v>
      </c>
      <c r="D27" s="283" t="s">
        <v>499</v>
      </c>
      <c r="E27" s="6" t="s">
        <v>176</v>
      </c>
      <c r="F27" s="16" t="s">
        <v>339</v>
      </c>
      <c r="G27" s="18" t="s">
        <v>500</v>
      </c>
      <c r="H27" s="18" t="s">
        <v>501</v>
      </c>
      <c r="I27" s="6"/>
      <c r="J27" s="18" t="s">
        <v>502</v>
      </c>
      <c r="K27" s="6"/>
      <c r="L27" s="6"/>
      <c r="M27" s="6"/>
      <c r="N27" s="6"/>
      <c r="O27" s="6"/>
      <c r="P27" s="277"/>
      <c r="Q27" s="3"/>
      <c r="R27" s="3"/>
    </row>
    <row r="28" spans="2:18" ht="341.25" customHeight="1">
      <c r="B28" s="261"/>
      <c r="C28" s="260"/>
      <c r="D28" s="284"/>
      <c r="E28" s="6" t="s">
        <v>183</v>
      </c>
      <c r="F28" s="16" t="s">
        <v>341</v>
      </c>
      <c r="G28" s="18" t="s">
        <v>503</v>
      </c>
      <c r="H28" s="6"/>
      <c r="I28" s="6"/>
      <c r="J28" s="6"/>
      <c r="K28" s="6"/>
      <c r="L28" s="6"/>
      <c r="M28" s="6"/>
      <c r="N28" s="6"/>
      <c r="O28" s="6"/>
      <c r="P28" s="277"/>
      <c r="Q28" s="3"/>
      <c r="R28" s="3"/>
    </row>
    <row r="29" spans="2:18" ht="59.25" customHeight="1">
      <c r="B29" s="261"/>
      <c r="C29" s="260"/>
      <c r="D29" s="284"/>
      <c r="E29" s="18" t="s">
        <v>406</v>
      </c>
      <c r="F29" s="16" t="s">
        <v>343</v>
      </c>
      <c r="G29" s="18" t="s">
        <v>504</v>
      </c>
      <c r="H29" s="6"/>
      <c r="I29" s="6"/>
      <c r="J29" s="6"/>
      <c r="K29" s="6"/>
      <c r="L29" s="6"/>
      <c r="M29" s="6"/>
      <c r="N29" s="6"/>
      <c r="O29" s="6"/>
      <c r="P29" s="277"/>
      <c r="Q29" s="3"/>
      <c r="R29" s="3"/>
    </row>
    <row r="30" spans="2:18" ht="218.25" customHeight="1">
      <c r="B30" s="261"/>
      <c r="C30" s="260"/>
      <c r="D30" s="284"/>
      <c r="E30" s="6" t="s">
        <v>265</v>
      </c>
      <c r="F30" s="16" t="s">
        <v>505</v>
      </c>
      <c r="G30" s="18" t="s">
        <v>506</v>
      </c>
      <c r="H30" s="6"/>
      <c r="I30" s="6"/>
      <c r="J30" s="6"/>
      <c r="K30" s="6" t="s">
        <v>450</v>
      </c>
      <c r="L30" s="18" t="s">
        <v>507</v>
      </c>
      <c r="M30" s="6"/>
      <c r="N30" s="6"/>
      <c r="O30" s="6"/>
      <c r="P30" s="277"/>
      <c r="Q30" s="3"/>
      <c r="R30" s="3"/>
    </row>
    <row r="31" spans="2:18" ht="52.5" customHeight="1">
      <c r="B31" s="261"/>
      <c r="C31" s="282"/>
      <c r="D31" s="285"/>
      <c r="E31" s="6" t="s">
        <v>277</v>
      </c>
      <c r="F31" s="16" t="s">
        <v>508</v>
      </c>
      <c r="G31" s="18" t="s">
        <v>509</v>
      </c>
      <c r="H31" s="6"/>
      <c r="I31" s="6"/>
      <c r="J31" s="6"/>
      <c r="K31" s="6"/>
      <c r="L31" s="6"/>
      <c r="M31" s="6"/>
      <c r="N31" s="6"/>
      <c r="O31" s="6"/>
      <c r="P31" s="277"/>
      <c r="Q31" s="3"/>
      <c r="R31" s="3"/>
    </row>
    <row r="32" spans="2:18" ht="121.5" customHeight="1">
      <c r="B32" s="262"/>
      <c r="C32" s="270" t="s">
        <v>345</v>
      </c>
      <c r="D32" s="269" t="s">
        <v>510</v>
      </c>
      <c r="E32" s="6" t="s">
        <v>511</v>
      </c>
      <c r="F32" s="16" t="s">
        <v>414</v>
      </c>
      <c r="G32" s="18" t="s">
        <v>512</v>
      </c>
      <c r="H32" s="6"/>
      <c r="I32" s="6"/>
      <c r="J32" s="6"/>
      <c r="K32" s="6"/>
      <c r="L32" s="6"/>
      <c r="M32" s="6"/>
      <c r="N32" s="6"/>
      <c r="O32" s="6"/>
      <c r="P32" s="277"/>
      <c r="Q32" s="3"/>
      <c r="R32" s="3"/>
    </row>
    <row r="33" spans="2:18" ht="144" customHeight="1">
      <c r="B33" s="262"/>
      <c r="C33" s="270"/>
      <c r="D33" s="269"/>
      <c r="E33" s="6" t="s">
        <v>513</v>
      </c>
      <c r="F33" s="16" t="s">
        <v>351</v>
      </c>
      <c r="G33" s="18" t="s">
        <v>514</v>
      </c>
      <c r="H33" s="6"/>
      <c r="I33" s="6"/>
      <c r="J33" s="6"/>
      <c r="K33" s="6"/>
      <c r="L33" s="6"/>
      <c r="M33" s="6"/>
      <c r="N33" s="6"/>
      <c r="O33" s="6"/>
      <c r="P33" s="277"/>
      <c r="Q33" s="3"/>
      <c r="R33" s="3"/>
    </row>
    <row r="34" spans="2:18" ht="115.5" customHeight="1">
      <c r="B34" s="262"/>
      <c r="C34" s="270"/>
      <c r="D34" s="269"/>
      <c r="E34" s="6" t="s">
        <v>515</v>
      </c>
      <c r="F34" s="16" t="s">
        <v>516</v>
      </c>
      <c r="G34" s="18" t="s">
        <v>517</v>
      </c>
      <c r="H34" s="18" t="s">
        <v>518</v>
      </c>
      <c r="I34" s="6"/>
      <c r="J34" s="6"/>
      <c r="K34" s="6" t="s">
        <v>519</v>
      </c>
      <c r="L34" s="6" t="s">
        <v>520</v>
      </c>
      <c r="M34" s="6"/>
      <c r="N34" s="6"/>
      <c r="O34" s="6"/>
      <c r="P34" s="277"/>
      <c r="Q34" s="3"/>
      <c r="R34" s="3"/>
    </row>
    <row r="35" spans="2:18" ht="245.25" customHeight="1">
      <c r="B35" s="262"/>
      <c r="C35" s="270"/>
      <c r="D35" s="269"/>
      <c r="E35" s="6" t="s">
        <v>521</v>
      </c>
      <c r="F35" s="16" t="s">
        <v>357</v>
      </c>
      <c r="G35" s="18" t="s">
        <v>522</v>
      </c>
      <c r="H35" s="18"/>
      <c r="I35" s="6"/>
      <c r="K35" s="6"/>
      <c r="L35" s="6"/>
      <c r="M35" s="6"/>
      <c r="N35" s="6"/>
      <c r="O35" s="6"/>
      <c r="P35" s="277"/>
      <c r="Q35" s="3"/>
      <c r="R35" s="3"/>
    </row>
    <row r="36" spans="2:18" ht="68.25" customHeight="1">
      <c r="B36" s="262"/>
      <c r="C36" s="270"/>
      <c r="D36" s="269"/>
      <c r="E36" s="6" t="s">
        <v>523</v>
      </c>
      <c r="F36" s="16" t="s">
        <v>359</v>
      </c>
      <c r="G36" s="18" t="s">
        <v>524</v>
      </c>
      <c r="H36" s="6"/>
      <c r="I36" s="6"/>
      <c r="J36" s="6"/>
      <c r="K36" s="6"/>
      <c r="L36" s="6"/>
      <c r="M36" s="6"/>
      <c r="N36" s="6"/>
      <c r="O36" s="6"/>
      <c r="P36" s="277"/>
      <c r="Q36" s="3"/>
      <c r="R36" s="3"/>
    </row>
    <row r="37" spans="2:18" ht="13.5" customHeight="1">
      <c r="B37" s="262"/>
      <c r="C37" s="270"/>
      <c r="D37" s="269"/>
      <c r="E37" s="6" t="s">
        <v>525</v>
      </c>
      <c r="F37" s="16" t="s">
        <v>361</v>
      </c>
      <c r="G37" s="6"/>
      <c r="H37" s="6"/>
      <c r="I37" s="6"/>
      <c r="J37" s="6"/>
      <c r="K37" s="6"/>
      <c r="L37" s="6"/>
      <c r="M37" s="6"/>
      <c r="N37" s="6"/>
      <c r="O37" s="6"/>
      <c r="P37" s="277"/>
      <c r="Q37" s="3"/>
      <c r="R37" s="3"/>
    </row>
    <row r="38" spans="2:18" ht="54" customHeight="1">
      <c r="B38" s="262"/>
      <c r="C38" s="270"/>
      <c r="D38" s="269"/>
      <c r="E38" s="6" t="s">
        <v>277</v>
      </c>
      <c r="F38" s="16" t="s">
        <v>365</v>
      </c>
      <c r="G38" s="18" t="s">
        <v>526</v>
      </c>
      <c r="H38" s="6"/>
      <c r="I38" s="6"/>
      <c r="J38" s="6"/>
      <c r="K38" s="6"/>
      <c r="L38" s="6"/>
      <c r="M38" s="6"/>
      <c r="N38" s="6"/>
      <c r="O38" s="6"/>
      <c r="P38" s="277"/>
      <c r="Q38" s="3"/>
      <c r="R38" s="3"/>
    </row>
    <row r="39" spans="2:18" ht="13.5" customHeight="1">
      <c r="B39" s="261"/>
      <c r="C39" s="24" t="s">
        <v>394</v>
      </c>
      <c r="D39" s="25" t="s">
        <v>527</v>
      </c>
      <c r="E39" s="6"/>
      <c r="F39" s="16"/>
      <c r="G39" s="6"/>
      <c r="H39" s="6"/>
      <c r="I39" s="6"/>
      <c r="J39" s="6"/>
      <c r="K39" s="6"/>
      <c r="L39" s="6"/>
      <c r="M39" s="6"/>
      <c r="N39" s="6"/>
      <c r="O39" s="6"/>
      <c r="P39" s="277"/>
      <c r="Q39" s="3"/>
      <c r="R39" s="3"/>
    </row>
    <row r="40" spans="2:18" ht="13.5" customHeight="1">
      <c r="B40" s="261"/>
      <c r="C40" s="24" t="s">
        <v>528</v>
      </c>
      <c r="D40" s="15" t="s">
        <v>529</v>
      </c>
      <c r="E40" s="6"/>
      <c r="F40" s="16"/>
      <c r="G40" s="6"/>
      <c r="H40" s="6"/>
      <c r="I40" s="6"/>
      <c r="J40" s="6"/>
      <c r="K40" s="6"/>
      <c r="L40" s="6"/>
      <c r="M40" s="6"/>
      <c r="N40" s="6"/>
      <c r="O40" s="6"/>
      <c r="P40" s="277"/>
      <c r="Q40" s="3"/>
      <c r="R40" s="3"/>
    </row>
    <row r="41" spans="2:18" ht="17.25" customHeight="1">
      <c r="B41" s="261"/>
      <c r="C41" s="8" t="s">
        <v>530</v>
      </c>
      <c r="D41" s="26" t="s">
        <v>531</v>
      </c>
      <c r="E41" s="6"/>
      <c r="F41" s="16"/>
      <c r="G41" s="6"/>
      <c r="H41" s="6"/>
      <c r="I41" s="6"/>
      <c r="J41" s="6"/>
      <c r="K41" s="6"/>
      <c r="L41" s="6"/>
      <c r="M41" s="6"/>
      <c r="N41" s="6"/>
      <c r="O41" s="6"/>
      <c r="P41" s="277"/>
      <c r="Q41" s="3"/>
      <c r="R41" s="3"/>
    </row>
    <row r="42" spans="2:18" ht="120" customHeight="1">
      <c r="B42" s="261"/>
      <c r="C42" s="8" t="s">
        <v>532</v>
      </c>
      <c r="D42" s="26" t="s">
        <v>533</v>
      </c>
      <c r="E42" s="27"/>
      <c r="F42" s="28"/>
      <c r="G42" s="44" t="s">
        <v>534</v>
      </c>
      <c r="H42" s="44" t="s">
        <v>535</v>
      </c>
      <c r="I42" s="27"/>
      <c r="J42" s="27"/>
      <c r="K42" s="27"/>
      <c r="L42" s="27"/>
      <c r="M42" s="27"/>
      <c r="N42" s="27"/>
      <c r="O42" s="27"/>
      <c r="P42" s="277"/>
      <c r="Q42" s="3"/>
      <c r="R42" s="3"/>
    </row>
    <row r="43" spans="2:18" ht="36.75" customHeight="1">
      <c r="B43" s="259" t="s">
        <v>536</v>
      </c>
      <c r="C43" s="8" t="s">
        <v>537</v>
      </c>
      <c r="D43" s="9" t="s">
        <v>538</v>
      </c>
      <c r="E43" s="12"/>
      <c r="F43" s="13"/>
      <c r="G43" s="10"/>
      <c r="H43" s="10"/>
      <c r="I43" s="10"/>
      <c r="J43" s="10"/>
      <c r="K43" s="10"/>
      <c r="L43" s="10"/>
      <c r="M43" s="10"/>
      <c r="N43" s="10"/>
      <c r="O43" s="10"/>
      <c r="P43" s="273" t="s">
        <v>539</v>
      </c>
      <c r="Q43" s="3"/>
      <c r="R43" s="3"/>
    </row>
    <row r="44" spans="2:18" ht="21.75" customHeight="1">
      <c r="B44" s="261"/>
      <c r="C44" s="8" t="s">
        <v>540</v>
      </c>
      <c r="D44" s="9" t="s">
        <v>541</v>
      </c>
      <c r="E44" s="12"/>
      <c r="F44" s="13"/>
      <c r="G44" s="12"/>
      <c r="H44" s="12"/>
      <c r="I44" s="12"/>
      <c r="J44" s="12"/>
      <c r="K44" s="12"/>
      <c r="L44" s="12"/>
      <c r="M44" s="12"/>
      <c r="N44" s="12"/>
      <c r="O44" s="12"/>
      <c r="P44" s="261"/>
      <c r="Q44" s="3"/>
      <c r="R44" s="3"/>
    </row>
    <row r="45" spans="2:18" ht="33" customHeight="1">
      <c r="B45" s="263"/>
      <c r="C45" s="8" t="s">
        <v>542</v>
      </c>
      <c r="D45" s="9" t="s">
        <v>543</v>
      </c>
      <c r="E45" s="14"/>
      <c r="F45" s="29"/>
      <c r="G45" s="14"/>
      <c r="H45" s="14"/>
      <c r="I45" s="14"/>
      <c r="J45" s="14"/>
      <c r="K45" s="14"/>
      <c r="L45" s="14"/>
      <c r="M45" s="14"/>
      <c r="N45" s="14"/>
      <c r="O45" s="14"/>
      <c r="P45" s="263"/>
      <c r="Q45" s="3"/>
      <c r="R45" s="3"/>
    </row>
    <row r="46" spans="2:18" ht="33" customHeight="1">
      <c r="B46" s="259" t="s">
        <v>544</v>
      </c>
      <c r="C46" s="8" t="s">
        <v>545</v>
      </c>
      <c r="D46" s="9" t="s">
        <v>546</v>
      </c>
      <c r="E46" s="10"/>
      <c r="F46" s="11"/>
      <c r="G46" s="10"/>
      <c r="H46" s="10"/>
      <c r="I46" s="10"/>
      <c r="J46" s="10"/>
      <c r="K46" s="10"/>
      <c r="L46" s="10"/>
      <c r="M46" s="10"/>
      <c r="N46" s="10"/>
      <c r="O46" s="10"/>
      <c r="P46" s="273" t="s">
        <v>547</v>
      </c>
      <c r="Q46" s="3"/>
      <c r="R46" s="3"/>
    </row>
    <row r="47" spans="2:18" ht="21.75" customHeight="1">
      <c r="B47" s="261"/>
      <c r="C47" s="8" t="s">
        <v>548</v>
      </c>
      <c r="D47" s="9" t="s">
        <v>549</v>
      </c>
      <c r="E47" s="12"/>
      <c r="F47" s="13"/>
      <c r="G47" s="12"/>
      <c r="H47" s="12"/>
      <c r="I47" s="12"/>
      <c r="J47" s="12"/>
      <c r="K47" s="12"/>
      <c r="L47" s="12"/>
      <c r="M47" s="12"/>
      <c r="N47" s="12"/>
      <c r="O47" s="12"/>
      <c r="P47" s="261"/>
      <c r="Q47" s="3"/>
      <c r="R47" s="3"/>
    </row>
    <row r="48" spans="2:18" ht="21.75" customHeight="1">
      <c r="B48" s="263"/>
      <c r="C48" s="8" t="s">
        <v>550</v>
      </c>
      <c r="D48" s="9" t="s">
        <v>551</v>
      </c>
      <c r="E48" s="14"/>
      <c r="F48" s="29"/>
      <c r="G48" s="14"/>
      <c r="H48" s="14"/>
      <c r="I48" s="14"/>
      <c r="J48" s="14"/>
      <c r="K48" s="14"/>
      <c r="L48" s="14"/>
      <c r="M48" s="14"/>
      <c r="N48" s="14"/>
      <c r="O48" s="14"/>
      <c r="P48" s="263"/>
      <c r="Q48" s="3"/>
      <c r="R48" s="3"/>
    </row>
    <row r="49" spans="2:18" ht="31.5" customHeight="1">
      <c r="B49" s="259" t="s">
        <v>552</v>
      </c>
      <c r="C49" s="8" t="s">
        <v>553</v>
      </c>
      <c r="D49" s="9" t="s">
        <v>554</v>
      </c>
      <c r="E49" s="10"/>
      <c r="F49" s="11"/>
      <c r="G49" s="10"/>
      <c r="H49" s="10"/>
      <c r="I49" s="10"/>
      <c r="J49" s="10"/>
      <c r="K49" s="10"/>
      <c r="L49" s="10"/>
      <c r="M49" s="10"/>
      <c r="N49" s="10"/>
      <c r="O49" s="10"/>
      <c r="P49" s="273" t="s">
        <v>555</v>
      </c>
      <c r="Q49" s="3"/>
      <c r="R49" s="3"/>
    </row>
    <row r="50" spans="2:18" ht="36" customHeight="1">
      <c r="B50" s="263"/>
      <c r="C50" s="8" t="s">
        <v>556</v>
      </c>
      <c r="D50" s="9" t="s">
        <v>557</v>
      </c>
      <c r="E50" s="14"/>
      <c r="F50" s="29"/>
      <c r="G50" s="14"/>
      <c r="H50" s="14"/>
      <c r="I50" s="14"/>
      <c r="J50" s="14"/>
      <c r="K50" s="14"/>
      <c r="L50" s="14"/>
      <c r="M50" s="14"/>
      <c r="N50" s="14"/>
      <c r="O50" s="14"/>
      <c r="P50" s="263"/>
      <c r="Q50" s="3"/>
      <c r="R50" s="3"/>
    </row>
    <row r="51" spans="2:18" ht="31.5" customHeight="1">
      <c r="B51" s="259" t="s">
        <v>558</v>
      </c>
      <c r="C51" s="8" t="s">
        <v>559</v>
      </c>
      <c r="D51" s="9" t="s">
        <v>560</v>
      </c>
      <c r="E51" s="10"/>
      <c r="F51" s="11"/>
      <c r="G51" s="10"/>
      <c r="H51" s="10"/>
      <c r="I51" s="10"/>
      <c r="J51" s="10"/>
      <c r="K51" s="10"/>
      <c r="L51" s="10"/>
      <c r="M51" s="10"/>
      <c r="N51" s="10"/>
      <c r="O51" s="10"/>
      <c r="P51" s="273" t="s">
        <v>561</v>
      </c>
      <c r="Q51" s="3"/>
      <c r="R51" s="3"/>
    </row>
    <row r="52" spans="2:18" ht="21.75" customHeight="1">
      <c r="B52" s="263"/>
      <c r="C52" s="8" t="s">
        <v>562</v>
      </c>
      <c r="D52" s="9" t="s">
        <v>563</v>
      </c>
      <c r="E52" s="14"/>
      <c r="F52" s="29"/>
      <c r="G52" s="14"/>
      <c r="H52" s="14"/>
      <c r="I52" s="14"/>
      <c r="J52" s="14"/>
      <c r="K52" s="14"/>
      <c r="L52" s="14"/>
      <c r="M52" s="14"/>
      <c r="N52" s="14"/>
      <c r="O52" s="14"/>
      <c r="P52" s="263"/>
      <c r="Q52" s="3"/>
      <c r="R52" s="3"/>
    </row>
    <row r="53" spans="2:18" ht="21.75" customHeight="1">
      <c r="B53" s="259" t="s">
        <v>564</v>
      </c>
      <c r="C53" s="8" t="s">
        <v>565</v>
      </c>
      <c r="D53" s="9" t="s">
        <v>566</v>
      </c>
      <c r="E53" s="10"/>
      <c r="F53" s="11"/>
      <c r="G53" s="10"/>
      <c r="H53" s="10"/>
      <c r="I53" s="10"/>
      <c r="J53" s="10"/>
      <c r="K53" s="10"/>
      <c r="L53" s="10"/>
      <c r="M53" s="10"/>
      <c r="N53" s="10"/>
      <c r="O53" s="10"/>
      <c r="P53" s="273" t="s">
        <v>567</v>
      </c>
      <c r="Q53" s="3"/>
      <c r="R53" s="3"/>
    </row>
    <row r="54" spans="2:18" ht="21.75" customHeight="1">
      <c r="B54" s="261"/>
      <c r="C54" s="8" t="s">
        <v>568</v>
      </c>
      <c r="D54" s="9" t="s">
        <v>569</v>
      </c>
      <c r="E54" s="12"/>
      <c r="F54" s="13"/>
      <c r="G54" s="12"/>
      <c r="H54" s="12"/>
      <c r="I54" s="12"/>
      <c r="J54" s="12"/>
      <c r="K54" s="12"/>
      <c r="L54" s="12"/>
      <c r="M54" s="12"/>
      <c r="N54" s="12"/>
      <c r="O54" s="12"/>
      <c r="P54" s="261"/>
      <c r="Q54" s="3"/>
      <c r="R54" s="3"/>
    </row>
    <row r="55" spans="2:18" ht="21.75" customHeight="1">
      <c r="B55" s="261"/>
      <c r="C55" s="8" t="s">
        <v>570</v>
      </c>
      <c r="D55" s="9" t="s">
        <v>571</v>
      </c>
      <c r="E55" s="12"/>
      <c r="F55" s="13"/>
      <c r="G55" s="12"/>
      <c r="H55" s="12"/>
      <c r="I55" s="12"/>
      <c r="J55" s="12"/>
      <c r="K55" s="12"/>
      <c r="L55" s="12"/>
      <c r="M55" s="12"/>
      <c r="N55" s="12"/>
      <c r="O55" s="12"/>
      <c r="P55" s="261"/>
      <c r="Q55" s="3"/>
      <c r="R55" s="3"/>
    </row>
    <row r="56" spans="2:18" ht="21.75" customHeight="1">
      <c r="B56" s="263"/>
      <c r="C56" s="8" t="s">
        <v>572</v>
      </c>
      <c r="D56" s="9" t="s">
        <v>573</v>
      </c>
      <c r="E56" s="14"/>
      <c r="F56" s="29"/>
      <c r="G56" s="14"/>
      <c r="H56" s="14"/>
      <c r="I56" s="14"/>
      <c r="J56" s="14"/>
      <c r="K56" s="14"/>
      <c r="L56" s="14"/>
      <c r="M56" s="14"/>
      <c r="N56" s="14"/>
      <c r="O56" s="14"/>
      <c r="P56" s="263"/>
      <c r="Q56" s="3"/>
      <c r="R56" s="3"/>
    </row>
    <row r="57" spans="2:18" ht="21.75" customHeight="1">
      <c r="B57" s="259" t="s">
        <v>574</v>
      </c>
      <c r="C57" s="8" t="s">
        <v>575</v>
      </c>
      <c r="D57" s="9" t="s">
        <v>576</v>
      </c>
      <c r="E57" s="10"/>
      <c r="F57" s="11"/>
      <c r="G57" s="10"/>
      <c r="H57" s="10"/>
      <c r="I57" s="10"/>
      <c r="J57" s="10"/>
      <c r="K57" s="10"/>
      <c r="L57" s="10"/>
      <c r="M57" s="10"/>
      <c r="N57" s="10"/>
      <c r="O57" s="10"/>
      <c r="P57" s="273" t="s">
        <v>577</v>
      </c>
      <c r="Q57" s="3"/>
      <c r="R57" s="3"/>
    </row>
    <row r="58" spans="2:18" ht="21.75" customHeight="1">
      <c r="B58" s="261"/>
      <c r="C58" s="8" t="s">
        <v>578</v>
      </c>
      <c r="D58" s="9" t="s">
        <v>579</v>
      </c>
      <c r="E58" s="12"/>
      <c r="F58" s="13"/>
      <c r="G58" s="12"/>
      <c r="H58" s="12"/>
      <c r="I58" s="12"/>
      <c r="J58" s="12"/>
      <c r="K58" s="12"/>
      <c r="L58" s="12"/>
      <c r="M58" s="12"/>
      <c r="N58" s="12"/>
      <c r="O58" s="12"/>
      <c r="P58" s="261"/>
      <c r="Q58" s="3"/>
      <c r="R58" s="3"/>
    </row>
    <row r="59" spans="2:18" ht="21.75" customHeight="1">
      <c r="B59" s="261"/>
      <c r="C59" s="8" t="s">
        <v>580</v>
      </c>
      <c r="D59" s="9" t="s">
        <v>581</v>
      </c>
      <c r="E59" s="12"/>
      <c r="F59" s="13"/>
      <c r="G59" s="12"/>
      <c r="H59" s="12"/>
      <c r="I59" s="12"/>
      <c r="J59" s="12"/>
      <c r="K59" s="12"/>
      <c r="L59" s="12"/>
      <c r="M59" s="12"/>
      <c r="N59" s="12"/>
      <c r="O59" s="12"/>
      <c r="P59" s="261"/>
      <c r="Q59" s="3"/>
      <c r="R59" s="3"/>
    </row>
    <row r="60" spans="2:18" ht="21.75" customHeight="1">
      <c r="B60" s="261"/>
      <c r="C60" s="8" t="s">
        <v>582</v>
      </c>
      <c r="D60" s="9" t="s">
        <v>583</v>
      </c>
      <c r="E60" s="12"/>
      <c r="F60" s="13"/>
      <c r="G60" s="12"/>
      <c r="H60" s="12"/>
      <c r="I60" s="12"/>
      <c r="J60" s="12"/>
      <c r="K60" s="12"/>
      <c r="L60" s="12"/>
      <c r="M60" s="12"/>
      <c r="N60" s="12"/>
      <c r="O60" s="12"/>
      <c r="P60" s="261"/>
      <c r="Q60" s="3"/>
      <c r="R60" s="3"/>
    </row>
    <row r="61" spans="2:18" ht="21.75" customHeight="1">
      <c r="B61" s="263"/>
      <c r="C61" s="8" t="s">
        <v>584</v>
      </c>
      <c r="D61" s="9" t="s">
        <v>585</v>
      </c>
      <c r="E61" s="14"/>
      <c r="F61" s="29"/>
      <c r="G61" s="14"/>
      <c r="H61" s="14"/>
      <c r="I61" s="14"/>
      <c r="J61" s="14"/>
      <c r="K61" s="14"/>
      <c r="L61" s="14"/>
      <c r="M61" s="14"/>
      <c r="N61" s="14"/>
      <c r="O61" s="14"/>
      <c r="P61" s="263"/>
      <c r="Q61" s="3"/>
      <c r="R61" s="3"/>
    </row>
    <row r="62" spans="2:18" ht="21.75" customHeight="1">
      <c r="B62" s="259" t="s">
        <v>586</v>
      </c>
      <c r="C62" s="8" t="s">
        <v>587</v>
      </c>
      <c r="D62" s="9" t="s">
        <v>588</v>
      </c>
      <c r="E62" s="10"/>
      <c r="F62" s="11"/>
      <c r="G62" s="10"/>
      <c r="H62" s="10"/>
      <c r="I62" s="10"/>
      <c r="J62" s="10"/>
      <c r="K62" s="10"/>
      <c r="L62" s="10"/>
      <c r="M62" s="10"/>
      <c r="N62" s="10"/>
      <c r="O62" s="10"/>
      <c r="P62" s="273" t="s">
        <v>589</v>
      </c>
      <c r="Q62" s="3"/>
      <c r="R62" s="3"/>
    </row>
    <row r="63" spans="2:18" ht="21.75" customHeight="1">
      <c r="B63" s="261"/>
      <c r="C63" s="8" t="s">
        <v>590</v>
      </c>
      <c r="D63" s="9" t="s">
        <v>591</v>
      </c>
      <c r="E63" s="12"/>
      <c r="F63" s="13"/>
      <c r="G63" s="12"/>
      <c r="H63" s="12"/>
      <c r="I63" s="12"/>
      <c r="J63" s="12"/>
      <c r="K63" s="12"/>
      <c r="L63" s="12"/>
      <c r="M63" s="12"/>
      <c r="N63" s="12"/>
      <c r="O63" s="12"/>
      <c r="P63" s="261"/>
      <c r="Q63" s="3"/>
      <c r="R63" s="3"/>
    </row>
    <row r="64" spans="2:18" ht="21.75" customHeight="1">
      <c r="B64" s="259" t="s">
        <v>592</v>
      </c>
      <c r="C64" s="8" t="s">
        <v>593</v>
      </c>
      <c r="D64" s="9" t="s">
        <v>592</v>
      </c>
      <c r="E64" s="10"/>
      <c r="F64" s="11"/>
      <c r="G64" s="10"/>
      <c r="H64" s="10"/>
      <c r="I64" s="10"/>
      <c r="J64" s="10"/>
      <c r="K64" s="10"/>
      <c r="L64" s="10"/>
      <c r="M64" s="10"/>
      <c r="N64" s="10"/>
      <c r="O64" s="10"/>
      <c r="P64" s="273" t="s">
        <v>594</v>
      </c>
      <c r="Q64" s="3"/>
      <c r="R64" s="3"/>
    </row>
    <row r="65" spans="2:18" ht="21.75" customHeight="1">
      <c r="B65" s="261"/>
      <c r="C65" s="8" t="s">
        <v>595</v>
      </c>
      <c r="D65" s="9" t="s">
        <v>596</v>
      </c>
      <c r="E65" s="12"/>
      <c r="F65" s="13"/>
      <c r="G65" s="12"/>
      <c r="H65" s="12"/>
      <c r="I65" s="12"/>
      <c r="J65" s="12"/>
      <c r="K65" s="12"/>
      <c r="L65" s="12"/>
      <c r="M65" s="12"/>
      <c r="N65" s="12"/>
      <c r="O65" s="12"/>
      <c r="P65" s="261"/>
      <c r="Q65" s="3"/>
      <c r="R65" s="3"/>
    </row>
    <row r="66" spans="2:18" ht="21.75" customHeight="1">
      <c r="B66" s="261"/>
      <c r="C66" s="8" t="s">
        <v>597</v>
      </c>
      <c r="D66" s="9" t="s">
        <v>598</v>
      </c>
      <c r="E66" s="12"/>
      <c r="F66" s="13"/>
      <c r="G66" s="12"/>
      <c r="H66" s="12"/>
      <c r="I66" s="12"/>
      <c r="J66" s="12"/>
      <c r="K66" s="12"/>
      <c r="L66" s="12"/>
      <c r="M66" s="12"/>
      <c r="N66" s="12"/>
      <c r="O66" s="12"/>
      <c r="P66" s="261"/>
      <c r="Q66" s="3"/>
      <c r="R66" s="3"/>
    </row>
    <row r="67" spans="2:18" ht="21.75" customHeight="1">
      <c r="B67" s="261"/>
      <c r="C67" s="8" t="s">
        <v>599</v>
      </c>
      <c r="D67" s="9" t="s">
        <v>600</v>
      </c>
      <c r="E67" s="12"/>
      <c r="F67" s="13"/>
      <c r="G67" s="12"/>
      <c r="H67" s="12"/>
      <c r="I67" s="12"/>
      <c r="J67" s="12"/>
      <c r="K67" s="12"/>
      <c r="L67" s="12"/>
      <c r="M67" s="12"/>
      <c r="N67" s="12"/>
      <c r="O67" s="12"/>
      <c r="P67" s="261"/>
      <c r="Q67" s="3"/>
      <c r="R67" s="3"/>
    </row>
    <row r="68" spans="2:18" ht="21.75" customHeight="1">
      <c r="B68" s="261"/>
      <c r="C68" s="8" t="s">
        <v>601</v>
      </c>
      <c r="D68" s="9" t="s">
        <v>602</v>
      </c>
      <c r="E68" s="12"/>
      <c r="F68" s="13"/>
      <c r="G68" s="12"/>
      <c r="H68" s="12"/>
      <c r="I68" s="12"/>
      <c r="J68" s="12"/>
      <c r="K68" s="12"/>
      <c r="L68" s="12"/>
      <c r="M68" s="12"/>
      <c r="N68" s="12"/>
      <c r="O68" s="12"/>
      <c r="P68" s="261"/>
      <c r="Q68" s="3"/>
      <c r="R68" s="3"/>
    </row>
    <row r="69" spans="2:18" ht="21.75" customHeight="1">
      <c r="B69" s="261"/>
      <c r="C69" s="8" t="s">
        <v>603</v>
      </c>
      <c r="D69" s="9" t="s">
        <v>604</v>
      </c>
      <c r="E69" s="12"/>
      <c r="F69" s="13"/>
      <c r="G69" s="12"/>
      <c r="H69" s="12"/>
      <c r="I69" s="12"/>
      <c r="J69" s="12"/>
      <c r="K69" s="12"/>
      <c r="L69" s="12"/>
      <c r="M69" s="12"/>
      <c r="N69" s="12"/>
      <c r="O69" s="12"/>
      <c r="P69" s="261"/>
      <c r="Q69" s="3"/>
      <c r="R69" s="3"/>
    </row>
    <row r="70" spans="2:18" ht="21.75" customHeight="1">
      <c r="B70" s="263"/>
      <c r="C70" s="8" t="s">
        <v>605</v>
      </c>
      <c r="D70" s="9" t="s">
        <v>606</v>
      </c>
      <c r="E70" s="14"/>
      <c r="F70" s="29"/>
      <c r="G70" s="14"/>
      <c r="H70" s="14"/>
      <c r="I70" s="14"/>
      <c r="J70" s="14"/>
      <c r="K70" s="14"/>
      <c r="L70" s="14"/>
      <c r="M70" s="14"/>
      <c r="N70" s="14"/>
      <c r="O70" s="14"/>
      <c r="P70" s="263"/>
      <c r="Q70" s="3"/>
      <c r="R70" s="3"/>
    </row>
    <row r="71" spans="2:18" ht="21.75" customHeight="1">
      <c r="B71" s="259" t="s">
        <v>607</v>
      </c>
      <c r="C71" s="8" t="s">
        <v>608</v>
      </c>
      <c r="D71" s="9" t="s">
        <v>609</v>
      </c>
      <c r="E71" s="10"/>
      <c r="F71" s="11"/>
      <c r="G71" s="10"/>
      <c r="H71" s="10"/>
      <c r="I71" s="10"/>
      <c r="J71" s="10"/>
      <c r="K71" s="10"/>
      <c r="L71" s="10"/>
      <c r="M71" s="10"/>
      <c r="N71" s="10"/>
      <c r="O71" s="10"/>
      <c r="P71" s="273">
        <v>12</v>
      </c>
      <c r="Q71" s="3"/>
      <c r="R71" s="3"/>
    </row>
    <row r="72" spans="2:18" ht="21.75" customHeight="1">
      <c r="B72" s="263"/>
      <c r="C72" s="8" t="s">
        <v>610</v>
      </c>
      <c r="D72" s="9" t="s">
        <v>611</v>
      </c>
      <c r="E72" s="14"/>
      <c r="F72" s="29"/>
      <c r="G72" s="14"/>
      <c r="H72" s="14"/>
      <c r="I72" s="14"/>
      <c r="J72" s="14"/>
      <c r="K72" s="14"/>
      <c r="L72" s="14"/>
      <c r="M72" s="14"/>
      <c r="N72" s="14"/>
      <c r="O72" s="14"/>
      <c r="P72" s="263"/>
      <c r="Q72" s="3"/>
      <c r="R72" s="3"/>
    </row>
    <row r="73" spans="2:18" ht="21.75" customHeight="1">
      <c r="D73" s="4"/>
      <c r="E73" s="3"/>
      <c r="F73" s="3"/>
      <c r="G73" s="3"/>
      <c r="H73" s="3"/>
      <c r="I73" s="3"/>
      <c r="J73" s="3"/>
      <c r="K73" s="3"/>
      <c r="L73" s="3"/>
      <c r="M73" s="3"/>
      <c r="N73" s="3"/>
      <c r="O73" s="3"/>
      <c r="P73" s="3"/>
      <c r="Q73" s="3"/>
      <c r="R73" s="3"/>
    </row>
    <row r="74" spans="2:18" ht="13.5" customHeight="1">
      <c r="D74" s="4"/>
      <c r="E74" s="3"/>
      <c r="F74" s="3"/>
      <c r="G74" s="3"/>
      <c r="H74" s="3"/>
      <c r="I74" s="3"/>
      <c r="J74" s="3"/>
      <c r="K74" s="3"/>
      <c r="L74" s="3"/>
      <c r="M74" s="3"/>
      <c r="N74" s="3"/>
      <c r="O74" s="3"/>
      <c r="P74" s="3"/>
      <c r="Q74" s="3"/>
      <c r="R74" s="3"/>
    </row>
    <row r="75" spans="2:18" ht="13.5" customHeight="1">
      <c r="D75" s="4"/>
      <c r="E75" s="3"/>
      <c r="F75" s="3"/>
      <c r="G75" s="3"/>
      <c r="H75" s="3"/>
      <c r="I75" s="3"/>
      <c r="J75" s="3"/>
      <c r="K75" s="3"/>
      <c r="L75" s="3"/>
      <c r="M75" s="3"/>
      <c r="N75" s="3"/>
      <c r="O75" s="3"/>
      <c r="P75" s="3"/>
      <c r="Q75" s="3"/>
      <c r="R75" s="3"/>
    </row>
    <row r="76" spans="2:18" ht="13.5" customHeight="1">
      <c r="D76" s="4"/>
      <c r="E76" s="3"/>
      <c r="F76" s="3"/>
      <c r="G76" s="3"/>
      <c r="H76" s="3"/>
      <c r="I76" s="3"/>
      <c r="J76" s="3"/>
      <c r="K76" s="3"/>
      <c r="L76" s="3"/>
      <c r="M76" s="3"/>
      <c r="N76" s="3"/>
      <c r="O76" s="3"/>
      <c r="P76" s="3"/>
      <c r="Q76" s="3"/>
      <c r="R76" s="3"/>
    </row>
    <row r="77" spans="2:18" ht="13.5" customHeight="1">
      <c r="D77" s="4"/>
      <c r="E77" s="3"/>
      <c r="F77" s="3"/>
      <c r="G77" s="3"/>
      <c r="H77" s="3"/>
      <c r="I77" s="3"/>
      <c r="J77" s="3"/>
      <c r="K77" s="3"/>
      <c r="L77" s="3"/>
      <c r="M77" s="3"/>
      <c r="N77" s="3"/>
      <c r="O77" s="3"/>
      <c r="P77" s="3"/>
      <c r="Q77" s="3"/>
      <c r="R77" s="3"/>
    </row>
    <row r="78" spans="2:18" ht="13.5" customHeight="1">
      <c r="D78" s="4"/>
      <c r="E78" s="3"/>
      <c r="F78" s="3"/>
      <c r="G78" s="3"/>
      <c r="H78" s="3"/>
      <c r="I78" s="3"/>
      <c r="J78" s="3"/>
      <c r="K78" s="3"/>
      <c r="L78" s="3"/>
      <c r="M78" s="3"/>
      <c r="N78" s="3"/>
      <c r="O78" s="3"/>
      <c r="P78" s="3"/>
      <c r="Q78" s="3"/>
      <c r="R78" s="3"/>
    </row>
    <row r="79" spans="2:18" ht="13.5" customHeight="1">
      <c r="D79" s="4"/>
      <c r="E79" s="3"/>
      <c r="F79" s="3"/>
      <c r="G79" s="3"/>
      <c r="H79" s="3"/>
      <c r="I79" s="3"/>
      <c r="J79" s="3"/>
      <c r="K79" s="3"/>
      <c r="L79" s="3"/>
      <c r="M79" s="3"/>
      <c r="N79" s="3"/>
      <c r="O79" s="3"/>
      <c r="P79" s="3"/>
      <c r="Q79" s="3"/>
      <c r="R79" s="3"/>
    </row>
    <row r="80" spans="2:18" ht="13.5" customHeight="1">
      <c r="D80" s="4"/>
      <c r="E80" s="3"/>
      <c r="F80" s="3"/>
      <c r="G80" s="3"/>
      <c r="H80" s="3"/>
      <c r="I80" s="3"/>
      <c r="J80" s="3"/>
      <c r="K80" s="3"/>
      <c r="L80" s="3"/>
      <c r="M80" s="3"/>
      <c r="N80" s="3"/>
      <c r="O80" s="3"/>
      <c r="P80" s="3"/>
      <c r="Q80" s="3"/>
      <c r="R80" s="3"/>
    </row>
    <row r="81" spans="4:18" ht="13.5" customHeight="1">
      <c r="D81" s="4"/>
      <c r="E81" s="3"/>
      <c r="F81" s="3"/>
      <c r="G81" s="3"/>
      <c r="H81" s="3"/>
      <c r="I81" s="3"/>
      <c r="J81" s="3"/>
      <c r="K81" s="3"/>
      <c r="L81" s="3"/>
      <c r="M81" s="3"/>
      <c r="N81" s="3"/>
      <c r="O81" s="3"/>
      <c r="P81" s="3"/>
      <c r="Q81" s="3"/>
      <c r="R81" s="3"/>
    </row>
    <row r="82" spans="4:18" ht="13.5" customHeight="1">
      <c r="D82" s="4"/>
      <c r="E82" s="3"/>
      <c r="F82" s="3"/>
      <c r="G82" s="3"/>
      <c r="H82" s="3"/>
      <c r="I82" s="3"/>
      <c r="J82" s="3"/>
      <c r="K82" s="3"/>
      <c r="L82" s="3"/>
      <c r="M82" s="3"/>
      <c r="N82" s="3"/>
      <c r="O82" s="3"/>
      <c r="P82" s="3"/>
      <c r="Q82" s="3"/>
      <c r="R82" s="3"/>
    </row>
    <row r="83" spans="4:18" ht="13.5" customHeight="1">
      <c r="D83" s="4"/>
      <c r="E83" s="3"/>
      <c r="F83" s="3"/>
      <c r="G83" s="3"/>
      <c r="H83" s="3"/>
      <c r="I83" s="3"/>
      <c r="J83" s="3"/>
      <c r="K83" s="3"/>
      <c r="L83" s="3"/>
      <c r="M83" s="3"/>
      <c r="N83" s="3"/>
      <c r="O83" s="3"/>
      <c r="P83" s="3"/>
      <c r="Q83" s="3"/>
      <c r="R83" s="3"/>
    </row>
    <row r="84" spans="4:18" ht="13.5" customHeight="1">
      <c r="D84" s="4"/>
      <c r="E84" s="3"/>
      <c r="F84" s="3"/>
      <c r="G84" s="3"/>
      <c r="H84" s="3"/>
      <c r="I84" s="3"/>
      <c r="J84" s="3"/>
      <c r="K84" s="3"/>
      <c r="L84" s="3"/>
      <c r="M84" s="3"/>
      <c r="N84" s="3"/>
      <c r="O84" s="3"/>
      <c r="P84" s="3"/>
      <c r="Q84" s="3"/>
      <c r="R84" s="3"/>
    </row>
    <row r="85" spans="4:18" ht="13.5" customHeight="1">
      <c r="D85" s="4"/>
      <c r="E85" s="3"/>
      <c r="F85" s="3"/>
      <c r="G85" s="3"/>
      <c r="H85" s="3"/>
      <c r="I85" s="3"/>
      <c r="J85" s="3"/>
      <c r="K85" s="3"/>
      <c r="L85" s="3"/>
      <c r="M85" s="3"/>
      <c r="N85" s="3"/>
      <c r="O85" s="3"/>
      <c r="P85" s="3"/>
      <c r="Q85" s="3"/>
      <c r="R85" s="3"/>
    </row>
    <row r="86" spans="4:18" ht="13.5" customHeight="1">
      <c r="D86" s="4"/>
      <c r="E86" s="3"/>
      <c r="F86" s="3"/>
      <c r="G86" s="3"/>
      <c r="H86" s="3"/>
      <c r="I86" s="3"/>
      <c r="J86" s="3"/>
      <c r="K86" s="3"/>
      <c r="L86" s="3"/>
      <c r="M86" s="3"/>
      <c r="N86" s="3"/>
      <c r="O86" s="3"/>
      <c r="P86" s="3"/>
      <c r="Q86" s="3"/>
      <c r="R86" s="3"/>
    </row>
    <row r="87" spans="4:18" ht="13.5" customHeight="1">
      <c r="D87" s="4"/>
      <c r="E87" s="3"/>
      <c r="F87" s="3"/>
      <c r="G87" s="3"/>
      <c r="H87" s="3"/>
      <c r="I87" s="3"/>
      <c r="J87" s="3"/>
      <c r="K87" s="3"/>
      <c r="L87" s="3"/>
      <c r="M87" s="3"/>
      <c r="N87" s="3"/>
      <c r="O87" s="3"/>
      <c r="P87" s="3"/>
      <c r="Q87" s="3"/>
      <c r="R87" s="3"/>
    </row>
    <row r="88" spans="4:18" ht="13.5" customHeight="1">
      <c r="D88" s="4"/>
      <c r="E88" s="3"/>
      <c r="F88" s="3"/>
      <c r="G88" s="3"/>
      <c r="H88" s="3"/>
      <c r="I88" s="3"/>
      <c r="J88" s="3"/>
      <c r="K88" s="3"/>
      <c r="L88" s="3"/>
      <c r="M88" s="3"/>
      <c r="N88" s="3"/>
      <c r="O88" s="3"/>
      <c r="P88" s="3"/>
      <c r="Q88" s="3"/>
      <c r="R88" s="3"/>
    </row>
    <row r="89" spans="4:18" ht="13.5" customHeight="1">
      <c r="D89" s="4"/>
      <c r="E89" s="3"/>
      <c r="F89" s="3"/>
      <c r="G89" s="3"/>
      <c r="H89" s="3"/>
      <c r="I89" s="3"/>
      <c r="J89" s="3"/>
      <c r="K89" s="3"/>
      <c r="L89" s="3"/>
      <c r="M89" s="3"/>
      <c r="N89" s="3"/>
      <c r="O89" s="3"/>
      <c r="P89" s="3"/>
      <c r="Q89" s="3"/>
      <c r="R89" s="3"/>
    </row>
    <row r="90" spans="4:18" ht="13.5" customHeight="1">
      <c r="D90" s="4"/>
      <c r="E90" s="3"/>
      <c r="F90" s="3"/>
      <c r="G90" s="3"/>
      <c r="H90" s="3"/>
      <c r="I90" s="3"/>
      <c r="J90" s="3"/>
      <c r="K90" s="3"/>
      <c r="L90" s="3"/>
      <c r="M90" s="3"/>
      <c r="N90" s="3"/>
      <c r="O90" s="3"/>
      <c r="P90" s="3"/>
      <c r="Q90" s="3"/>
      <c r="R90" s="3"/>
    </row>
    <row r="91" spans="4:18" ht="13.5" customHeight="1">
      <c r="D91" s="4"/>
      <c r="E91" s="3"/>
      <c r="F91" s="3"/>
      <c r="G91" s="3"/>
      <c r="H91" s="3"/>
      <c r="I91" s="3"/>
      <c r="J91" s="3"/>
      <c r="K91" s="3"/>
      <c r="L91" s="3"/>
      <c r="M91" s="3"/>
      <c r="N91" s="3"/>
      <c r="O91" s="3"/>
      <c r="P91" s="3"/>
      <c r="Q91" s="3"/>
      <c r="R91" s="3"/>
    </row>
    <row r="92" spans="4:18" ht="13.5" customHeight="1">
      <c r="D92" s="4"/>
      <c r="E92" s="3"/>
      <c r="F92" s="3"/>
      <c r="G92" s="3"/>
      <c r="H92" s="3"/>
      <c r="I92" s="3"/>
      <c r="J92" s="3"/>
      <c r="K92" s="3"/>
      <c r="L92" s="3"/>
      <c r="M92" s="3"/>
      <c r="N92" s="3"/>
      <c r="O92" s="3"/>
      <c r="P92" s="3"/>
      <c r="Q92" s="3"/>
      <c r="R92" s="3"/>
    </row>
    <row r="93" spans="4:18" ht="13.5" customHeight="1">
      <c r="D93" s="4"/>
      <c r="E93" s="3"/>
      <c r="F93" s="3"/>
      <c r="G93" s="3"/>
      <c r="H93" s="3"/>
      <c r="I93" s="3"/>
      <c r="J93" s="3"/>
      <c r="K93" s="3"/>
      <c r="L93" s="3"/>
      <c r="M93" s="3"/>
      <c r="N93" s="3"/>
      <c r="O93" s="3"/>
      <c r="P93" s="3"/>
      <c r="Q93" s="3"/>
      <c r="R93" s="3"/>
    </row>
    <row r="94" spans="4:18" ht="13.5" customHeight="1">
      <c r="D94" s="4"/>
      <c r="E94" s="3"/>
      <c r="F94" s="3"/>
      <c r="G94" s="3"/>
      <c r="H94" s="3"/>
      <c r="I94" s="3"/>
      <c r="J94" s="3"/>
      <c r="K94" s="3"/>
      <c r="L94" s="3"/>
      <c r="M94" s="3"/>
      <c r="N94" s="3"/>
      <c r="O94" s="3"/>
      <c r="P94" s="3"/>
      <c r="Q94" s="3"/>
      <c r="R94" s="3"/>
    </row>
    <row r="95" spans="4:18" ht="13.5" customHeight="1">
      <c r="D95" s="4"/>
      <c r="E95" s="3"/>
      <c r="F95" s="3"/>
      <c r="G95" s="3"/>
      <c r="H95" s="3"/>
      <c r="I95" s="3"/>
      <c r="J95" s="3"/>
      <c r="K95" s="3"/>
      <c r="L95" s="3"/>
      <c r="M95" s="3"/>
      <c r="N95" s="3"/>
      <c r="O95" s="3"/>
      <c r="P95" s="3"/>
      <c r="Q95" s="3"/>
      <c r="R95" s="3"/>
    </row>
    <row r="96" spans="4:18" ht="13.5" customHeight="1">
      <c r="D96" s="4"/>
      <c r="E96" s="3"/>
      <c r="F96" s="3"/>
      <c r="G96" s="3"/>
      <c r="H96" s="3"/>
      <c r="I96" s="3"/>
      <c r="J96" s="3"/>
      <c r="K96" s="3"/>
      <c r="L96" s="3"/>
      <c r="M96" s="3"/>
      <c r="N96" s="3"/>
      <c r="O96" s="3"/>
      <c r="P96" s="3"/>
      <c r="Q96" s="3"/>
      <c r="R96" s="3"/>
    </row>
    <row r="97" spans="4:18" ht="13.5" customHeight="1">
      <c r="D97" s="4"/>
      <c r="E97" s="3"/>
      <c r="F97" s="3"/>
      <c r="G97" s="3"/>
      <c r="H97" s="3"/>
      <c r="I97" s="3"/>
      <c r="J97" s="3"/>
      <c r="K97" s="3"/>
      <c r="L97" s="3"/>
      <c r="M97" s="3"/>
      <c r="N97" s="3"/>
      <c r="O97" s="3"/>
      <c r="P97" s="3"/>
      <c r="Q97" s="3"/>
      <c r="R97" s="3"/>
    </row>
    <row r="98" spans="4:18" ht="13.5" customHeight="1">
      <c r="D98" s="4"/>
      <c r="E98" s="3"/>
      <c r="F98" s="3"/>
      <c r="G98" s="3"/>
      <c r="H98" s="3"/>
      <c r="I98" s="3"/>
      <c r="J98" s="3"/>
      <c r="K98" s="3"/>
      <c r="L98" s="3"/>
      <c r="M98" s="3"/>
      <c r="N98" s="3"/>
      <c r="O98" s="3"/>
      <c r="P98" s="3"/>
      <c r="Q98" s="3"/>
      <c r="R98" s="3"/>
    </row>
    <row r="99" spans="4:18" ht="13.5" customHeight="1">
      <c r="D99" s="4"/>
      <c r="E99" s="3"/>
      <c r="F99" s="3"/>
      <c r="G99" s="3"/>
      <c r="H99" s="3"/>
      <c r="I99" s="3"/>
      <c r="J99" s="3"/>
      <c r="K99" s="3"/>
      <c r="L99" s="3"/>
      <c r="M99" s="3"/>
      <c r="N99" s="3"/>
      <c r="O99" s="3"/>
      <c r="P99" s="3"/>
      <c r="Q99" s="3"/>
      <c r="R99" s="3"/>
    </row>
    <row r="100" spans="4:18" ht="13.5" customHeight="1">
      <c r="D100" s="4"/>
      <c r="E100" s="3"/>
      <c r="F100" s="3"/>
      <c r="G100" s="3"/>
      <c r="H100" s="3"/>
      <c r="I100" s="3"/>
      <c r="J100" s="3"/>
      <c r="K100" s="3"/>
      <c r="L100" s="3"/>
      <c r="M100" s="3"/>
      <c r="N100" s="3"/>
      <c r="O100" s="3"/>
      <c r="P100" s="3"/>
      <c r="Q100" s="3"/>
      <c r="R100" s="3"/>
    </row>
    <row r="101" spans="4:18" ht="13.5" customHeight="1">
      <c r="D101" s="4"/>
      <c r="E101" s="3"/>
      <c r="F101" s="3"/>
      <c r="G101" s="3"/>
      <c r="H101" s="3"/>
      <c r="I101" s="3"/>
      <c r="J101" s="3"/>
      <c r="K101" s="3"/>
      <c r="L101" s="3"/>
      <c r="M101" s="3"/>
      <c r="N101" s="3"/>
      <c r="O101" s="3"/>
      <c r="P101" s="3"/>
      <c r="Q101" s="3"/>
      <c r="R101" s="3"/>
    </row>
    <row r="102" spans="4:18" ht="13.5" customHeight="1">
      <c r="D102" s="4"/>
      <c r="E102" s="3"/>
      <c r="F102" s="3"/>
      <c r="G102" s="3"/>
      <c r="H102" s="3"/>
      <c r="I102" s="3"/>
      <c r="J102" s="3"/>
      <c r="K102" s="3"/>
      <c r="L102" s="3"/>
      <c r="M102" s="3"/>
      <c r="N102" s="3"/>
      <c r="O102" s="3"/>
      <c r="P102" s="3"/>
      <c r="Q102" s="3"/>
      <c r="R102" s="3"/>
    </row>
    <row r="103" spans="4:18" ht="13.5" customHeight="1">
      <c r="D103" s="4"/>
      <c r="E103" s="3"/>
      <c r="F103" s="3"/>
      <c r="G103" s="3"/>
      <c r="H103" s="3"/>
      <c r="I103" s="3"/>
      <c r="J103" s="3"/>
      <c r="K103" s="3"/>
      <c r="L103" s="3"/>
      <c r="M103" s="3"/>
      <c r="N103" s="3"/>
      <c r="O103" s="3"/>
      <c r="P103" s="3"/>
      <c r="Q103" s="3"/>
      <c r="R103" s="3"/>
    </row>
    <row r="104" spans="4:18" ht="13.5" customHeight="1">
      <c r="D104" s="4"/>
      <c r="E104" s="3"/>
      <c r="F104" s="3"/>
      <c r="G104" s="3"/>
      <c r="H104" s="3"/>
      <c r="I104" s="3"/>
      <c r="J104" s="3"/>
      <c r="K104" s="3"/>
      <c r="L104" s="3"/>
      <c r="M104" s="3"/>
      <c r="N104" s="3"/>
      <c r="O104" s="3"/>
      <c r="P104" s="3"/>
      <c r="Q104" s="3"/>
      <c r="R104" s="3"/>
    </row>
    <row r="105" spans="4:18" ht="13.5" customHeight="1">
      <c r="D105" s="4"/>
      <c r="E105" s="3"/>
      <c r="F105" s="3"/>
      <c r="G105" s="3"/>
      <c r="H105" s="3"/>
      <c r="I105" s="3"/>
      <c r="J105" s="3"/>
      <c r="K105" s="3"/>
      <c r="L105" s="3"/>
      <c r="M105" s="3"/>
      <c r="N105" s="3"/>
      <c r="O105" s="3"/>
      <c r="P105" s="3"/>
      <c r="Q105" s="3"/>
      <c r="R105" s="3"/>
    </row>
    <row r="106" spans="4:18" ht="13.5" customHeight="1">
      <c r="D106" s="4"/>
      <c r="E106" s="3"/>
      <c r="F106" s="3"/>
      <c r="G106" s="3"/>
      <c r="H106" s="3"/>
      <c r="I106" s="3"/>
      <c r="J106" s="3"/>
      <c r="K106" s="3"/>
      <c r="L106" s="3"/>
      <c r="M106" s="3"/>
      <c r="N106" s="3"/>
      <c r="O106" s="3"/>
      <c r="P106" s="3"/>
      <c r="Q106" s="3"/>
      <c r="R106" s="3"/>
    </row>
    <row r="107" spans="4:18" ht="13.5" customHeight="1">
      <c r="D107" s="4"/>
      <c r="E107" s="3"/>
      <c r="F107" s="3"/>
      <c r="G107" s="3"/>
      <c r="H107" s="3"/>
      <c r="I107" s="3"/>
      <c r="J107" s="3"/>
      <c r="K107" s="3"/>
      <c r="L107" s="3"/>
      <c r="M107" s="3"/>
      <c r="N107" s="3"/>
      <c r="O107" s="3"/>
      <c r="P107" s="3"/>
      <c r="Q107" s="3"/>
      <c r="R107" s="3"/>
    </row>
    <row r="108" spans="4:18" ht="13.5" customHeight="1">
      <c r="D108" s="4"/>
      <c r="E108" s="3"/>
      <c r="F108" s="3"/>
      <c r="G108" s="3"/>
      <c r="H108" s="3"/>
      <c r="I108" s="3"/>
      <c r="J108" s="3"/>
      <c r="K108" s="3"/>
      <c r="L108" s="3"/>
      <c r="M108" s="3"/>
      <c r="N108" s="3"/>
      <c r="O108" s="3"/>
      <c r="P108" s="3"/>
      <c r="Q108" s="3"/>
      <c r="R108" s="3"/>
    </row>
    <row r="109" spans="4:18" ht="13.5" customHeight="1">
      <c r="D109" s="4"/>
      <c r="E109" s="3"/>
      <c r="F109" s="3"/>
      <c r="G109" s="3"/>
      <c r="H109" s="3"/>
      <c r="I109" s="3"/>
      <c r="J109" s="3"/>
      <c r="K109" s="3"/>
      <c r="L109" s="3"/>
      <c r="M109" s="3"/>
      <c r="N109" s="3"/>
      <c r="O109" s="3"/>
      <c r="P109" s="3"/>
      <c r="Q109" s="3"/>
      <c r="R109" s="3"/>
    </row>
    <row r="110" spans="4:18" ht="13.5" customHeight="1">
      <c r="D110" s="4"/>
      <c r="E110" s="3"/>
      <c r="F110" s="3"/>
      <c r="G110" s="3"/>
      <c r="H110" s="3"/>
      <c r="I110" s="3"/>
      <c r="J110" s="3"/>
      <c r="K110" s="3"/>
      <c r="L110" s="3"/>
      <c r="M110" s="3"/>
      <c r="N110" s="3"/>
      <c r="O110" s="3"/>
      <c r="P110" s="3"/>
      <c r="Q110" s="3"/>
      <c r="R110" s="3"/>
    </row>
    <row r="111" spans="4:18" ht="13.5" customHeight="1">
      <c r="D111" s="4"/>
      <c r="E111" s="3"/>
      <c r="F111" s="3"/>
      <c r="G111" s="3"/>
      <c r="H111" s="3"/>
      <c r="I111" s="3"/>
      <c r="J111" s="3"/>
      <c r="K111" s="3"/>
      <c r="L111" s="3"/>
      <c r="M111" s="3"/>
      <c r="N111" s="3"/>
      <c r="O111" s="3"/>
      <c r="P111" s="3"/>
      <c r="Q111" s="3"/>
      <c r="R111" s="3"/>
    </row>
    <row r="112" spans="4:18" ht="13.5" customHeight="1">
      <c r="D112" s="4"/>
      <c r="E112" s="3"/>
      <c r="F112" s="3"/>
      <c r="G112" s="3"/>
      <c r="H112" s="3"/>
      <c r="I112" s="3"/>
      <c r="J112" s="3"/>
      <c r="K112" s="3"/>
      <c r="L112" s="3"/>
      <c r="M112" s="3"/>
      <c r="N112" s="3"/>
      <c r="O112" s="3"/>
      <c r="P112" s="3"/>
      <c r="Q112" s="3"/>
      <c r="R112" s="3"/>
    </row>
    <row r="113" spans="4:18" ht="13.5" customHeight="1">
      <c r="D113" s="4"/>
      <c r="E113" s="3"/>
      <c r="F113" s="3"/>
      <c r="G113" s="3"/>
      <c r="H113" s="3"/>
      <c r="I113" s="3"/>
      <c r="J113" s="3"/>
      <c r="K113" s="3"/>
      <c r="L113" s="3"/>
      <c r="M113" s="3"/>
      <c r="N113" s="3"/>
      <c r="O113" s="3"/>
      <c r="P113" s="3"/>
      <c r="Q113" s="3"/>
      <c r="R113" s="3"/>
    </row>
    <row r="114" spans="4:18" ht="13.5" customHeight="1">
      <c r="D114" s="4"/>
      <c r="E114" s="3"/>
      <c r="F114" s="3"/>
      <c r="G114" s="3"/>
      <c r="H114" s="3"/>
      <c r="I114" s="3"/>
      <c r="J114" s="3"/>
      <c r="K114" s="3"/>
      <c r="L114" s="3"/>
      <c r="M114" s="3"/>
      <c r="N114" s="3"/>
      <c r="O114" s="3"/>
      <c r="P114" s="3"/>
      <c r="Q114" s="3"/>
      <c r="R114" s="3"/>
    </row>
    <row r="115" spans="4:18" ht="13.5" customHeight="1">
      <c r="D115" s="4"/>
      <c r="E115" s="3"/>
      <c r="F115" s="3"/>
      <c r="G115" s="3"/>
      <c r="H115" s="3"/>
      <c r="I115" s="3"/>
      <c r="J115" s="3"/>
      <c r="K115" s="3"/>
      <c r="L115" s="3"/>
      <c r="M115" s="3"/>
      <c r="N115" s="3"/>
      <c r="O115" s="3"/>
      <c r="P115" s="3"/>
      <c r="Q115" s="3"/>
      <c r="R115" s="3"/>
    </row>
    <row r="116" spans="4:18" ht="13.5" customHeight="1">
      <c r="D116" s="4"/>
      <c r="E116" s="3"/>
      <c r="F116" s="3"/>
      <c r="G116" s="3"/>
      <c r="H116" s="3"/>
      <c r="I116" s="3"/>
      <c r="J116" s="3"/>
      <c r="K116" s="3"/>
      <c r="L116" s="3"/>
      <c r="M116" s="3"/>
      <c r="N116" s="3"/>
      <c r="O116" s="3"/>
      <c r="P116" s="3"/>
      <c r="Q116" s="3"/>
      <c r="R116" s="3"/>
    </row>
    <row r="117" spans="4:18" ht="13.5" customHeight="1">
      <c r="D117" s="4"/>
      <c r="E117" s="3"/>
      <c r="F117" s="3"/>
      <c r="G117" s="3"/>
      <c r="H117" s="3"/>
      <c r="I117" s="3"/>
      <c r="J117" s="3"/>
      <c r="K117" s="3"/>
      <c r="L117" s="3"/>
      <c r="M117" s="3"/>
      <c r="N117" s="3"/>
      <c r="O117" s="3"/>
      <c r="P117" s="3"/>
      <c r="Q117" s="3"/>
      <c r="R117" s="3"/>
    </row>
    <row r="118" spans="4:18" ht="13.5" customHeight="1">
      <c r="D118" s="4"/>
      <c r="E118" s="3"/>
      <c r="F118" s="3"/>
      <c r="G118" s="3"/>
      <c r="H118" s="3"/>
      <c r="I118" s="3"/>
      <c r="J118" s="3"/>
      <c r="K118" s="3"/>
      <c r="L118" s="3"/>
      <c r="M118" s="3"/>
      <c r="N118" s="3"/>
      <c r="O118" s="3"/>
      <c r="P118" s="3"/>
      <c r="Q118" s="3"/>
      <c r="R118" s="3"/>
    </row>
    <row r="119" spans="4:18" ht="13.5" customHeight="1">
      <c r="D119" s="4"/>
      <c r="E119" s="3"/>
      <c r="F119" s="3"/>
      <c r="G119" s="3"/>
      <c r="H119" s="3"/>
      <c r="I119" s="3"/>
      <c r="J119" s="3"/>
      <c r="K119" s="3"/>
      <c r="L119" s="3"/>
      <c r="M119" s="3"/>
      <c r="N119" s="3"/>
      <c r="O119" s="3"/>
      <c r="P119" s="3"/>
      <c r="Q119" s="3"/>
      <c r="R119" s="3"/>
    </row>
    <row r="120" spans="4:18" ht="13.5" customHeight="1">
      <c r="D120" s="4"/>
      <c r="E120" s="3"/>
      <c r="F120" s="3"/>
      <c r="G120" s="3"/>
      <c r="H120" s="3"/>
      <c r="I120" s="3"/>
      <c r="J120" s="3"/>
      <c r="K120" s="3"/>
      <c r="L120" s="3"/>
      <c r="M120" s="3"/>
      <c r="N120" s="3"/>
      <c r="O120" s="3"/>
      <c r="P120" s="3"/>
      <c r="Q120" s="3"/>
      <c r="R120" s="3"/>
    </row>
    <row r="121" spans="4:18" ht="13.5" customHeight="1">
      <c r="D121" s="4"/>
      <c r="E121" s="3"/>
      <c r="F121" s="3"/>
      <c r="G121" s="3"/>
      <c r="H121" s="3"/>
      <c r="I121" s="3"/>
      <c r="J121" s="3"/>
      <c r="K121" s="3"/>
      <c r="L121" s="3"/>
      <c r="M121" s="3"/>
      <c r="N121" s="3"/>
      <c r="O121" s="3"/>
      <c r="P121" s="3"/>
      <c r="Q121" s="3"/>
      <c r="R121" s="3"/>
    </row>
    <row r="122" spans="4:18" ht="13.5" customHeight="1">
      <c r="D122" s="4"/>
      <c r="E122" s="3"/>
      <c r="F122" s="3"/>
      <c r="G122" s="3"/>
      <c r="H122" s="3"/>
      <c r="I122" s="3"/>
      <c r="J122" s="3"/>
      <c r="K122" s="3"/>
      <c r="L122" s="3"/>
      <c r="M122" s="3"/>
      <c r="N122" s="3"/>
      <c r="O122" s="3"/>
      <c r="P122" s="3"/>
      <c r="Q122" s="3"/>
      <c r="R122" s="3"/>
    </row>
    <row r="123" spans="4:18" ht="13.5" customHeight="1">
      <c r="D123" s="4"/>
      <c r="E123" s="3"/>
      <c r="F123" s="3"/>
      <c r="G123" s="3"/>
      <c r="H123" s="3"/>
      <c r="I123" s="3"/>
      <c r="J123" s="3"/>
      <c r="K123" s="3"/>
      <c r="L123" s="3"/>
      <c r="M123" s="3"/>
      <c r="N123" s="3"/>
      <c r="O123" s="3"/>
      <c r="P123" s="3"/>
      <c r="Q123" s="3"/>
      <c r="R123" s="3"/>
    </row>
    <row r="124" spans="4:18" ht="13.5" customHeight="1">
      <c r="D124" s="4"/>
      <c r="E124" s="3"/>
      <c r="F124" s="3"/>
      <c r="G124" s="3"/>
      <c r="H124" s="3"/>
      <c r="I124" s="3"/>
      <c r="J124" s="3"/>
      <c r="K124" s="3"/>
      <c r="L124" s="3"/>
      <c r="M124" s="3"/>
      <c r="N124" s="3"/>
      <c r="O124" s="3"/>
      <c r="P124" s="3"/>
      <c r="Q124" s="3"/>
      <c r="R124" s="3"/>
    </row>
    <row r="125" spans="4:18" ht="13.5" customHeight="1">
      <c r="D125" s="4"/>
      <c r="E125" s="3"/>
      <c r="F125" s="3"/>
      <c r="G125" s="3"/>
      <c r="H125" s="3"/>
      <c r="I125" s="3"/>
      <c r="J125" s="3"/>
      <c r="K125" s="3"/>
      <c r="L125" s="3"/>
      <c r="M125" s="3"/>
      <c r="N125" s="3"/>
      <c r="O125" s="3"/>
      <c r="P125" s="3"/>
      <c r="Q125" s="3"/>
      <c r="R125" s="3"/>
    </row>
    <row r="126" spans="4:18" ht="13.5" customHeight="1">
      <c r="D126" s="4"/>
      <c r="E126" s="3"/>
      <c r="F126" s="3"/>
      <c r="G126" s="3"/>
      <c r="H126" s="3"/>
      <c r="I126" s="3"/>
      <c r="J126" s="3"/>
      <c r="K126" s="3"/>
      <c r="L126" s="3"/>
      <c r="M126" s="3"/>
      <c r="N126" s="3"/>
      <c r="O126" s="3"/>
      <c r="P126" s="3"/>
      <c r="Q126" s="3"/>
      <c r="R126" s="3"/>
    </row>
    <row r="127" spans="4:18" ht="13.5" customHeight="1">
      <c r="D127" s="4"/>
      <c r="E127" s="3"/>
      <c r="F127" s="3"/>
      <c r="G127" s="3"/>
      <c r="H127" s="3"/>
      <c r="I127" s="3"/>
      <c r="J127" s="3"/>
      <c r="K127" s="3"/>
      <c r="L127" s="3"/>
      <c r="M127" s="3"/>
      <c r="N127" s="3"/>
      <c r="O127" s="3"/>
      <c r="P127" s="3"/>
      <c r="Q127" s="3"/>
      <c r="R127" s="3"/>
    </row>
    <row r="128" spans="4:18" ht="13.5" customHeight="1">
      <c r="D128" s="4"/>
      <c r="E128" s="3"/>
      <c r="F128" s="3"/>
      <c r="G128" s="3"/>
      <c r="H128" s="3"/>
      <c r="I128" s="3"/>
      <c r="J128" s="3"/>
      <c r="K128" s="3"/>
      <c r="L128" s="3"/>
      <c r="M128" s="3"/>
      <c r="N128" s="3"/>
      <c r="O128" s="3"/>
      <c r="P128" s="3"/>
      <c r="Q128" s="3"/>
      <c r="R128" s="3"/>
    </row>
    <row r="129" spans="4:18" ht="13.5" customHeight="1">
      <c r="D129" s="4"/>
      <c r="E129" s="3"/>
      <c r="F129" s="3"/>
      <c r="G129" s="3"/>
      <c r="H129" s="3"/>
      <c r="I129" s="3"/>
      <c r="J129" s="3"/>
      <c r="K129" s="3"/>
      <c r="L129" s="3"/>
      <c r="M129" s="3"/>
      <c r="N129" s="3"/>
      <c r="O129" s="3"/>
      <c r="P129" s="3"/>
      <c r="Q129" s="3"/>
      <c r="R129" s="3"/>
    </row>
    <row r="130" spans="4:18" ht="13.5" customHeight="1">
      <c r="D130" s="4"/>
      <c r="E130" s="3"/>
      <c r="F130" s="3"/>
      <c r="G130" s="3"/>
      <c r="H130" s="3"/>
      <c r="I130" s="3"/>
      <c r="J130" s="3"/>
      <c r="K130" s="3"/>
      <c r="L130" s="3"/>
      <c r="M130" s="3"/>
      <c r="N130" s="3"/>
      <c r="O130" s="3"/>
      <c r="P130" s="3"/>
      <c r="Q130" s="3"/>
      <c r="R130" s="3"/>
    </row>
    <row r="131" spans="4:18" ht="13.5" customHeight="1">
      <c r="D131" s="4"/>
      <c r="E131" s="3"/>
      <c r="F131" s="3"/>
      <c r="G131" s="3"/>
      <c r="H131" s="3"/>
      <c r="I131" s="3"/>
      <c r="J131" s="3"/>
      <c r="K131" s="3"/>
      <c r="L131" s="3"/>
      <c r="M131" s="3"/>
      <c r="N131" s="3"/>
      <c r="O131" s="3"/>
      <c r="P131" s="3"/>
      <c r="Q131" s="3"/>
      <c r="R131" s="3"/>
    </row>
    <row r="132" spans="4:18" ht="13.5" customHeight="1">
      <c r="D132" s="4"/>
      <c r="E132" s="3"/>
      <c r="F132" s="3"/>
      <c r="G132" s="3"/>
      <c r="H132" s="3"/>
      <c r="I132" s="3"/>
      <c r="J132" s="3"/>
      <c r="K132" s="3"/>
      <c r="L132" s="3"/>
      <c r="M132" s="3"/>
      <c r="N132" s="3"/>
      <c r="O132" s="3"/>
      <c r="P132" s="3"/>
      <c r="Q132" s="3"/>
      <c r="R132" s="3"/>
    </row>
    <row r="133" spans="4:18" ht="13.5" customHeight="1">
      <c r="D133" s="4"/>
      <c r="E133" s="3"/>
      <c r="F133" s="3"/>
      <c r="G133" s="3"/>
      <c r="H133" s="3"/>
      <c r="I133" s="3"/>
      <c r="J133" s="3"/>
      <c r="K133" s="3"/>
      <c r="L133" s="3"/>
      <c r="M133" s="3"/>
      <c r="N133" s="3"/>
      <c r="O133" s="3"/>
      <c r="P133" s="3"/>
      <c r="Q133" s="3"/>
      <c r="R133" s="3"/>
    </row>
    <row r="134" spans="4:18" ht="13.5" customHeight="1">
      <c r="D134" s="4"/>
      <c r="E134" s="3"/>
      <c r="F134" s="3"/>
      <c r="G134" s="3"/>
      <c r="H134" s="3"/>
      <c r="I134" s="3"/>
      <c r="J134" s="3"/>
      <c r="K134" s="3"/>
      <c r="L134" s="3"/>
      <c r="M134" s="3"/>
      <c r="N134" s="3"/>
      <c r="O134" s="3"/>
      <c r="P134" s="3"/>
      <c r="Q134" s="3"/>
      <c r="R134" s="3"/>
    </row>
    <row r="135" spans="4:18" ht="13.5" customHeight="1">
      <c r="D135" s="4"/>
      <c r="E135" s="3"/>
      <c r="F135" s="3"/>
      <c r="G135" s="3"/>
      <c r="H135" s="3"/>
      <c r="I135" s="3"/>
      <c r="J135" s="3"/>
      <c r="K135" s="3"/>
      <c r="L135" s="3"/>
      <c r="M135" s="3"/>
      <c r="N135" s="3"/>
      <c r="O135" s="3"/>
      <c r="P135" s="3"/>
      <c r="Q135" s="3"/>
      <c r="R135" s="3"/>
    </row>
    <row r="136" spans="4:18" ht="13.5" customHeight="1">
      <c r="D136" s="4"/>
      <c r="E136" s="3"/>
      <c r="F136" s="3"/>
      <c r="G136" s="3"/>
      <c r="H136" s="3"/>
      <c r="I136" s="3"/>
      <c r="J136" s="3"/>
      <c r="K136" s="3"/>
      <c r="L136" s="3"/>
      <c r="M136" s="3"/>
      <c r="N136" s="3"/>
      <c r="O136" s="3"/>
      <c r="P136" s="3"/>
      <c r="Q136" s="3"/>
      <c r="R136" s="3"/>
    </row>
    <row r="137" spans="4:18" ht="13.5" customHeight="1">
      <c r="D137" s="4"/>
      <c r="E137" s="3"/>
      <c r="F137" s="3"/>
      <c r="G137" s="3"/>
      <c r="H137" s="3"/>
      <c r="I137" s="3"/>
      <c r="J137" s="3"/>
      <c r="K137" s="3"/>
      <c r="L137" s="3"/>
      <c r="M137" s="3"/>
      <c r="N137" s="3"/>
      <c r="O137" s="3"/>
      <c r="P137" s="3"/>
      <c r="Q137" s="3"/>
      <c r="R137" s="3"/>
    </row>
    <row r="138" spans="4:18" ht="13.5" customHeight="1">
      <c r="D138" s="4"/>
      <c r="E138" s="3"/>
      <c r="F138" s="3"/>
      <c r="G138" s="3"/>
      <c r="H138" s="3"/>
      <c r="I138" s="3"/>
      <c r="J138" s="3"/>
      <c r="K138" s="3"/>
      <c r="L138" s="3"/>
      <c r="M138" s="3"/>
      <c r="N138" s="3"/>
      <c r="O138" s="3"/>
      <c r="P138" s="3"/>
      <c r="Q138" s="3"/>
      <c r="R138" s="3"/>
    </row>
    <row r="139" spans="4:18" ht="13.5" customHeight="1">
      <c r="D139" s="4"/>
      <c r="E139" s="3"/>
      <c r="F139" s="3"/>
      <c r="G139" s="3"/>
      <c r="H139" s="3"/>
      <c r="I139" s="3"/>
      <c r="J139" s="3"/>
      <c r="K139" s="3"/>
      <c r="L139" s="3"/>
      <c r="M139" s="3"/>
      <c r="N139" s="3"/>
      <c r="O139" s="3"/>
      <c r="P139" s="3"/>
      <c r="Q139" s="3"/>
      <c r="R139" s="3"/>
    </row>
    <row r="140" spans="4:18" ht="13.5" customHeight="1">
      <c r="D140" s="4"/>
      <c r="E140" s="3"/>
      <c r="F140" s="3"/>
      <c r="G140" s="3"/>
      <c r="H140" s="3"/>
      <c r="I140" s="3"/>
      <c r="J140" s="3"/>
      <c r="K140" s="3"/>
      <c r="L140" s="3"/>
      <c r="M140" s="3"/>
      <c r="N140" s="3"/>
      <c r="O140" s="3"/>
      <c r="P140" s="3"/>
      <c r="Q140" s="3"/>
      <c r="R140" s="3"/>
    </row>
    <row r="141" spans="4:18" ht="13.5" customHeight="1">
      <c r="D141" s="4"/>
      <c r="E141" s="3"/>
      <c r="F141" s="3"/>
      <c r="G141" s="3"/>
      <c r="H141" s="3"/>
      <c r="I141" s="3"/>
      <c r="J141" s="3"/>
      <c r="K141" s="3"/>
      <c r="L141" s="3"/>
      <c r="M141" s="3"/>
      <c r="N141" s="3"/>
      <c r="O141" s="3"/>
      <c r="P141" s="3"/>
      <c r="Q141" s="3"/>
      <c r="R141" s="3"/>
    </row>
    <row r="142" spans="4:18" ht="13.5" customHeight="1">
      <c r="D142" s="4"/>
      <c r="E142" s="3"/>
      <c r="F142" s="3"/>
      <c r="G142" s="3"/>
      <c r="H142" s="3"/>
      <c r="I142" s="3"/>
      <c r="J142" s="3"/>
      <c r="K142" s="3"/>
      <c r="L142" s="3"/>
      <c r="M142" s="3"/>
      <c r="N142" s="3"/>
      <c r="O142" s="3"/>
      <c r="P142" s="3"/>
      <c r="Q142" s="3"/>
      <c r="R142" s="3"/>
    </row>
    <row r="143" spans="4:18" ht="13.5" customHeight="1">
      <c r="D143" s="4"/>
      <c r="E143" s="3"/>
      <c r="F143" s="3"/>
      <c r="G143" s="3"/>
      <c r="H143" s="3"/>
      <c r="I143" s="3"/>
      <c r="J143" s="3"/>
      <c r="K143" s="3"/>
      <c r="L143" s="3"/>
      <c r="M143" s="3"/>
      <c r="N143" s="3"/>
      <c r="O143" s="3"/>
      <c r="P143" s="3"/>
      <c r="Q143" s="3"/>
      <c r="R143" s="3"/>
    </row>
    <row r="144" spans="4:18" ht="13.5" customHeight="1">
      <c r="D144" s="4"/>
      <c r="E144" s="3"/>
      <c r="F144" s="3"/>
      <c r="G144" s="3"/>
      <c r="H144" s="3"/>
      <c r="I144" s="3"/>
      <c r="J144" s="3"/>
      <c r="K144" s="3"/>
      <c r="L144" s="3"/>
      <c r="M144" s="3"/>
      <c r="N144" s="3"/>
      <c r="O144" s="3"/>
      <c r="P144" s="3"/>
      <c r="Q144" s="3"/>
      <c r="R144" s="3"/>
    </row>
    <row r="145" spans="4:18" ht="13.5" customHeight="1">
      <c r="D145" s="4"/>
      <c r="E145" s="3"/>
      <c r="F145" s="3"/>
      <c r="G145" s="3"/>
      <c r="H145" s="3"/>
      <c r="I145" s="3"/>
      <c r="J145" s="3"/>
      <c r="K145" s="3"/>
      <c r="L145" s="3"/>
      <c r="M145" s="3"/>
      <c r="N145" s="3"/>
      <c r="O145" s="3"/>
      <c r="P145" s="3"/>
      <c r="Q145" s="3"/>
      <c r="R145" s="3"/>
    </row>
    <row r="146" spans="4:18" ht="13.5" customHeight="1">
      <c r="D146" s="4"/>
      <c r="E146" s="3"/>
      <c r="F146" s="3"/>
      <c r="G146" s="3"/>
      <c r="H146" s="3"/>
      <c r="I146" s="3"/>
      <c r="J146" s="3"/>
      <c r="K146" s="3"/>
      <c r="L146" s="3"/>
      <c r="M146" s="3"/>
      <c r="N146" s="3"/>
      <c r="O146" s="3"/>
      <c r="P146" s="3"/>
      <c r="Q146" s="3"/>
      <c r="R146" s="3"/>
    </row>
    <row r="147" spans="4:18" ht="13.5" customHeight="1">
      <c r="D147" s="4"/>
      <c r="E147" s="3"/>
      <c r="F147" s="3"/>
      <c r="G147" s="3"/>
      <c r="H147" s="3"/>
      <c r="I147" s="3"/>
      <c r="J147" s="3"/>
      <c r="K147" s="3"/>
      <c r="L147" s="3"/>
      <c r="M147" s="3"/>
      <c r="N147" s="3"/>
      <c r="O147" s="3"/>
      <c r="P147" s="3"/>
      <c r="Q147" s="3"/>
      <c r="R147" s="3"/>
    </row>
    <row r="148" spans="4:18" ht="13.5" customHeight="1">
      <c r="D148" s="4"/>
      <c r="E148" s="3"/>
      <c r="F148" s="3"/>
      <c r="G148" s="3"/>
      <c r="H148" s="3"/>
      <c r="I148" s="3"/>
      <c r="J148" s="3"/>
      <c r="K148" s="3"/>
      <c r="L148" s="3"/>
      <c r="M148" s="3"/>
      <c r="N148" s="3"/>
      <c r="O148" s="3"/>
      <c r="P148" s="3"/>
      <c r="Q148" s="3"/>
      <c r="R148" s="3"/>
    </row>
    <row r="149" spans="4:18" ht="13.5" customHeight="1">
      <c r="D149" s="4"/>
      <c r="E149" s="3"/>
      <c r="F149" s="3"/>
      <c r="G149" s="3"/>
      <c r="H149" s="3"/>
      <c r="I149" s="3"/>
      <c r="J149" s="3"/>
      <c r="K149" s="3"/>
      <c r="L149" s="3"/>
      <c r="M149" s="3"/>
      <c r="N149" s="3"/>
      <c r="O149" s="3"/>
      <c r="P149" s="3"/>
      <c r="Q149" s="3"/>
      <c r="R149" s="3"/>
    </row>
    <row r="150" spans="4:18" ht="13.5" customHeight="1">
      <c r="D150" s="4"/>
      <c r="E150" s="3"/>
      <c r="F150" s="3"/>
      <c r="G150" s="3"/>
      <c r="H150" s="3"/>
      <c r="I150" s="3"/>
      <c r="J150" s="3"/>
      <c r="K150" s="3"/>
      <c r="L150" s="3"/>
      <c r="M150" s="3"/>
      <c r="N150" s="3"/>
      <c r="O150" s="3"/>
      <c r="P150" s="3"/>
      <c r="Q150" s="3"/>
      <c r="R150" s="3"/>
    </row>
    <row r="151" spans="4:18" ht="13.5" customHeight="1">
      <c r="D151" s="4"/>
      <c r="E151" s="3"/>
      <c r="F151" s="3"/>
      <c r="G151" s="3"/>
      <c r="H151" s="3"/>
      <c r="I151" s="3"/>
      <c r="J151" s="3"/>
      <c r="K151" s="3"/>
      <c r="L151" s="3"/>
      <c r="M151" s="3"/>
      <c r="N151" s="3"/>
      <c r="O151" s="3"/>
      <c r="P151" s="3"/>
      <c r="Q151" s="3"/>
      <c r="R151" s="3"/>
    </row>
    <row r="152" spans="4:18" ht="13.5" customHeight="1">
      <c r="D152" s="4"/>
      <c r="E152" s="3"/>
      <c r="F152" s="3"/>
      <c r="G152" s="3"/>
      <c r="H152" s="3"/>
      <c r="I152" s="3"/>
      <c r="J152" s="3"/>
      <c r="K152" s="3"/>
      <c r="L152" s="3"/>
      <c r="M152" s="3"/>
      <c r="N152" s="3"/>
      <c r="O152" s="3"/>
      <c r="P152" s="3"/>
      <c r="Q152" s="3"/>
      <c r="R152" s="3"/>
    </row>
    <row r="153" spans="4:18" ht="13.5" customHeight="1">
      <c r="D153" s="4"/>
      <c r="E153" s="3"/>
      <c r="F153" s="3"/>
      <c r="G153" s="3"/>
      <c r="H153" s="3"/>
      <c r="I153" s="3"/>
      <c r="J153" s="3"/>
      <c r="K153" s="3"/>
      <c r="L153" s="3"/>
      <c r="M153" s="3"/>
      <c r="N153" s="3"/>
      <c r="O153" s="3"/>
      <c r="P153" s="3"/>
      <c r="Q153" s="3"/>
      <c r="R153" s="3"/>
    </row>
    <row r="154" spans="4:18" ht="13.5" customHeight="1">
      <c r="D154" s="4"/>
      <c r="E154" s="3"/>
      <c r="F154" s="3"/>
      <c r="G154" s="3"/>
      <c r="H154" s="3"/>
      <c r="I154" s="3"/>
      <c r="J154" s="3"/>
      <c r="K154" s="3"/>
      <c r="L154" s="3"/>
      <c r="M154" s="3"/>
      <c r="N154" s="3"/>
      <c r="O154" s="3"/>
      <c r="P154" s="3"/>
      <c r="Q154" s="3"/>
      <c r="R154" s="3"/>
    </row>
    <row r="155" spans="4:18" ht="13.5" customHeight="1">
      <c r="D155" s="4"/>
      <c r="E155" s="3"/>
      <c r="F155" s="3"/>
      <c r="G155" s="3"/>
      <c r="H155" s="3"/>
      <c r="I155" s="3"/>
      <c r="J155" s="3"/>
      <c r="K155" s="3"/>
      <c r="L155" s="3"/>
      <c r="M155" s="3"/>
      <c r="N155" s="3"/>
      <c r="O155" s="3"/>
      <c r="P155" s="3"/>
      <c r="Q155" s="3"/>
      <c r="R155" s="3"/>
    </row>
    <row r="156" spans="4:18" ht="13.5" customHeight="1">
      <c r="D156" s="4"/>
      <c r="E156" s="3"/>
      <c r="F156" s="3"/>
      <c r="G156" s="3"/>
      <c r="H156" s="3"/>
      <c r="I156" s="3"/>
      <c r="J156" s="3"/>
      <c r="K156" s="3"/>
      <c r="L156" s="3"/>
      <c r="M156" s="3"/>
      <c r="N156" s="3"/>
      <c r="O156" s="3"/>
      <c r="P156" s="3"/>
      <c r="Q156" s="3"/>
      <c r="R156" s="3"/>
    </row>
    <row r="157" spans="4:18" ht="13.5" customHeight="1">
      <c r="D157" s="4"/>
      <c r="E157" s="3"/>
      <c r="F157" s="3"/>
      <c r="G157" s="3"/>
      <c r="H157" s="3"/>
      <c r="I157" s="3"/>
      <c r="J157" s="3"/>
      <c r="K157" s="3"/>
      <c r="L157" s="3"/>
      <c r="M157" s="3"/>
      <c r="N157" s="3"/>
      <c r="O157" s="3"/>
      <c r="P157" s="3"/>
      <c r="Q157" s="3"/>
      <c r="R157" s="3"/>
    </row>
    <row r="158" spans="4:18" ht="13.5" customHeight="1">
      <c r="D158" s="4"/>
      <c r="E158" s="3"/>
      <c r="F158" s="3"/>
      <c r="G158" s="3"/>
      <c r="H158" s="3"/>
      <c r="I158" s="3"/>
      <c r="J158" s="3"/>
      <c r="K158" s="3"/>
      <c r="L158" s="3"/>
      <c r="M158" s="3"/>
      <c r="N158" s="3"/>
      <c r="O158" s="3"/>
      <c r="P158" s="3"/>
      <c r="Q158" s="3"/>
      <c r="R158" s="3"/>
    </row>
    <row r="159" spans="4:18" ht="13.5" customHeight="1">
      <c r="D159" s="4"/>
      <c r="E159" s="3"/>
      <c r="F159" s="3"/>
      <c r="G159" s="3"/>
      <c r="H159" s="3"/>
      <c r="I159" s="3"/>
      <c r="J159" s="3"/>
      <c r="K159" s="3"/>
      <c r="L159" s="3"/>
      <c r="M159" s="3"/>
      <c r="N159" s="3"/>
      <c r="O159" s="3"/>
      <c r="P159" s="3"/>
      <c r="Q159" s="3"/>
      <c r="R159" s="3"/>
    </row>
    <row r="160" spans="4:18" ht="13.5" customHeight="1">
      <c r="D160" s="4"/>
      <c r="E160" s="3"/>
      <c r="F160" s="3"/>
      <c r="G160" s="3"/>
      <c r="H160" s="3"/>
      <c r="I160" s="3"/>
      <c r="J160" s="3"/>
      <c r="K160" s="3"/>
      <c r="L160" s="3"/>
      <c r="M160" s="3"/>
      <c r="N160" s="3"/>
      <c r="O160" s="3"/>
      <c r="P160" s="3"/>
      <c r="Q160" s="3"/>
      <c r="R160" s="3"/>
    </row>
    <row r="161" spans="4:18" ht="13.5" customHeight="1">
      <c r="D161" s="4"/>
      <c r="E161" s="3"/>
      <c r="F161" s="3"/>
      <c r="G161" s="3"/>
      <c r="H161" s="3"/>
      <c r="I161" s="3"/>
      <c r="J161" s="3"/>
      <c r="K161" s="3"/>
      <c r="L161" s="3"/>
      <c r="M161" s="3"/>
      <c r="N161" s="3"/>
      <c r="O161" s="3"/>
      <c r="P161" s="3"/>
      <c r="Q161" s="3"/>
      <c r="R161" s="3"/>
    </row>
    <row r="162" spans="4:18" ht="13.5" customHeight="1">
      <c r="D162" s="4"/>
      <c r="E162" s="3"/>
      <c r="F162" s="3"/>
      <c r="G162" s="3"/>
      <c r="H162" s="3"/>
      <c r="I162" s="3"/>
      <c r="J162" s="3"/>
      <c r="K162" s="3"/>
      <c r="L162" s="3"/>
      <c r="M162" s="3"/>
      <c r="N162" s="3"/>
      <c r="O162" s="3"/>
      <c r="P162" s="3"/>
      <c r="Q162" s="3"/>
      <c r="R162" s="3"/>
    </row>
    <row r="163" spans="4:18" ht="13.5" customHeight="1">
      <c r="D163" s="4"/>
      <c r="E163" s="3"/>
      <c r="F163" s="3"/>
      <c r="G163" s="3"/>
      <c r="H163" s="3"/>
      <c r="I163" s="3"/>
      <c r="J163" s="3"/>
      <c r="K163" s="3"/>
      <c r="L163" s="3"/>
      <c r="M163" s="3"/>
      <c r="N163" s="3"/>
      <c r="O163" s="3"/>
      <c r="P163" s="3"/>
      <c r="Q163" s="3"/>
      <c r="R163" s="3"/>
    </row>
    <row r="164" spans="4:18" ht="13.5" customHeight="1">
      <c r="D164" s="4"/>
      <c r="E164" s="3"/>
      <c r="F164" s="3"/>
      <c r="G164" s="3"/>
      <c r="H164" s="3"/>
      <c r="I164" s="3"/>
      <c r="J164" s="3"/>
      <c r="K164" s="3"/>
      <c r="L164" s="3"/>
      <c r="M164" s="3"/>
      <c r="N164" s="3"/>
      <c r="O164" s="3"/>
      <c r="P164" s="3"/>
      <c r="Q164" s="3"/>
      <c r="R164" s="3"/>
    </row>
    <row r="165" spans="4:18" ht="13.5" customHeight="1">
      <c r="D165" s="4"/>
      <c r="E165" s="3"/>
      <c r="F165" s="3"/>
      <c r="G165" s="3"/>
      <c r="H165" s="3"/>
      <c r="I165" s="3"/>
      <c r="J165" s="3"/>
      <c r="K165" s="3"/>
      <c r="L165" s="3"/>
      <c r="M165" s="3"/>
      <c r="N165" s="3"/>
      <c r="O165" s="3"/>
      <c r="P165" s="3"/>
      <c r="Q165" s="3"/>
      <c r="R165" s="3"/>
    </row>
    <row r="166" spans="4:18" ht="13.5" customHeight="1">
      <c r="D166" s="4"/>
      <c r="E166" s="3"/>
      <c r="F166" s="3"/>
      <c r="G166" s="3"/>
      <c r="H166" s="3"/>
      <c r="I166" s="3"/>
      <c r="J166" s="3"/>
      <c r="K166" s="3"/>
      <c r="L166" s="3"/>
      <c r="M166" s="3"/>
      <c r="N166" s="3"/>
      <c r="O166" s="3"/>
      <c r="P166" s="3"/>
      <c r="Q166" s="3"/>
      <c r="R166" s="3"/>
    </row>
    <row r="167" spans="4:18" ht="13.5" customHeight="1">
      <c r="D167" s="4"/>
      <c r="E167" s="3"/>
      <c r="F167" s="3"/>
      <c r="G167" s="3"/>
      <c r="H167" s="3"/>
      <c r="I167" s="3"/>
      <c r="J167" s="3"/>
      <c r="K167" s="3"/>
      <c r="L167" s="3"/>
      <c r="M167" s="3"/>
      <c r="N167" s="3"/>
      <c r="O167" s="3"/>
      <c r="P167" s="3"/>
      <c r="Q167" s="3"/>
      <c r="R167" s="3"/>
    </row>
    <row r="168" spans="4:18" ht="13.5" customHeight="1">
      <c r="D168" s="4"/>
      <c r="E168" s="3"/>
      <c r="F168" s="3"/>
      <c r="G168" s="3"/>
      <c r="H168" s="3"/>
      <c r="I168" s="3"/>
      <c r="J168" s="3"/>
      <c r="K168" s="3"/>
      <c r="L168" s="3"/>
      <c r="M168" s="3"/>
      <c r="N168" s="3"/>
      <c r="O168" s="3"/>
      <c r="P168" s="3"/>
      <c r="Q168" s="3"/>
      <c r="R168" s="3"/>
    </row>
    <row r="169" spans="4:18" ht="13.5" customHeight="1">
      <c r="D169" s="4"/>
      <c r="E169" s="3"/>
      <c r="F169" s="3"/>
      <c r="G169" s="3"/>
      <c r="H169" s="3"/>
      <c r="I169" s="3"/>
      <c r="J169" s="3"/>
      <c r="K169" s="3"/>
      <c r="L169" s="3"/>
      <c r="M169" s="3"/>
      <c r="N169" s="3"/>
      <c r="O169" s="3"/>
      <c r="P169" s="3"/>
      <c r="Q169" s="3"/>
      <c r="R169" s="3"/>
    </row>
    <row r="170" spans="4:18" ht="13.5" customHeight="1">
      <c r="D170" s="4"/>
      <c r="E170" s="3"/>
      <c r="F170" s="3"/>
      <c r="G170" s="3"/>
      <c r="H170" s="3"/>
      <c r="I170" s="3"/>
      <c r="J170" s="3"/>
      <c r="K170" s="3"/>
      <c r="L170" s="3"/>
      <c r="M170" s="3"/>
      <c r="N170" s="3"/>
      <c r="O170" s="3"/>
      <c r="P170" s="3"/>
      <c r="Q170" s="3"/>
      <c r="R170" s="3"/>
    </row>
    <row r="171" spans="4:18" ht="13.5" customHeight="1">
      <c r="D171" s="4"/>
      <c r="E171" s="3"/>
      <c r="F171" s="3"/>
      <c r="G171" s="3"/>
      <c r="H171" s="3"/>
      <c r="I171" s="3"/>
      <c r="J171" s="3"/>
      <c r="K171" s="3"/>
      <c r="L171" s="3"/>
      <c r="M171" s="3"/>
      <c r="N171" s="3"/>
      <c r="O171" s="3"/>
      <c r="P171" s="3"/>
      <c r="Q171" s="3"/>
      <c r="R171" s="3"/>
    </row>
    <row r="172" spans="4:18" ht="13.5" customHeight="1">
      <c r="D172" s="4"/>
      <c r="E172" s="3"/>
      <c r="F172" s="3"/>
      <c r="G172" s="3"/>
      <c r="H172" s="3"/>
      <c r="I172" s="3"/>
      <c r="J172" s="3"/>
      <c r="K172" s="3"/>
      <c r="L172" s="3"/>
      <c r="M172" s="3"/>
      <c r="N172" s="3"/>
      <c r="O172" s="3"/>
      <c r="P172" s="3"/>
      <c r="Q172" s="3"/>
      <c r="R172" s="3"/>
    </row>
    <row r="173" spans="4:18" ht="13.5" customHeight="1">
      <c r="D173" s="4"/>
      <c r="E173" s="3"/>
      <c r="F173" s="3"/>
      <c r="G173" s="3"/>
      <c r="H173" s="3"/>
      <c r="I173" s="3"/>
      <c r="J173" s="3"/>
      <c r="K173" s="3"/>
      <c r="L173" s="3"/>
      <c r="M173" s="3"/>
      <c r="N173" s="3"/>
      <c r="O173" s="3"/>
      <c r="P173" s="3"/>
      <c r="Q173" s="3"/>
      <c r="R173" s="3"/>
    </row>
    <row r="174" spans="4:18" ht="13.5" customHeight="1">
      <c r="D174" s="4"/>
      <c r="E174" s="3"/>
      <c r="F174" s="3"/>
      <c r="G174" s="3"/>
      <c r="H174" s="3"/>
      <c r="I174" s="3"/>
      <c r="J174" s="3"/>
      <c r="K174" s="3"/>
      <c r="L174" s="3"/>
      <c r="M174" s="3"/>
      <c r="N174" s="3"/>
      <c r="O174" s="3"/>
      <c r="P174" s="3"/>
      <c r="Q174" s="3"/>
      <c r="R174" s="3"/>
    </row>
    <row r="175" spans="4:18" ht="13.5" customHeight="1">
      <c r="D175" s="4"/>
      <c r="E175" s="3"/>
      <c r="F175" s="3"/>
      <c r="G175" s="3"/>
      <c r="H175" s="3"/>
      <c r="I175" s="3"/>
      <c r="J175" s="3"/>
      <c r="K175" s="3"/>
      <c r="L175" s="3"/>
      <c r="M175" s="3"/>
      <c r="N175" s="3"/>
      <c r="O175" s="3"/>
      <c r="P175" s="3"/>
      <c r="Q175" s="3"/>
      <c r="R175" s="3"/>
    </row>
    <row r="176" spans="4:18" ht="13.5" customHeight="1">
      <c r="D176" s="4"/>
      <c r="E176" s="3"/>
      <c r="F176" s="3"/>
      <c r="G176" s="3"/>
      <c r="H176" s="3"/>
      <c r="I176" s="3"/>
      <c r="J176" s="3"/>
      <c r="K176" s="3"/>
      <c r="L176" s="3"/>
      <c r="M176" s="3"/>
      <c r="N176" s="3"/>
      <c r="O176" s="3"/>
      <c r="P176" s="3"/>
      <c r="Q176" s="3"/>
      <c r="R176" s="3"/>
    </row>
    <row r="177" spans="4:18" ht="13.5" customHeight="1">
      <c r="D177" s="4"/>
      <c r="E177" s="3"/>
      <c r="F177" s="3"/>
      <c r="G177" s="3"/>
      <c r="H177" s="3"/>
      <c r="I177" s="3"/>
      <c r="J177" s="3"/>
      <c r="K177" s="3"/>
      <c r="L177" s="3"/>
      <c r="M177" s="3"/>
      <c r="N177" s="3"/>
      <c r="O177" s="3"/>
      <c r="P177" s="3"/>
      <c r="Q177" s="3"/>
      <c r="R177" s="3"/>
    </row>
    <row r="178" spans="4:18" ht="13.5" customHeight="1">
      <c r="D178" s="4"/>
      <c r="E178" s="3"/>
      <c r="F178" s="3"/>
      <c r="G178" s="3"/>
      <c r="H178" s="3"/>
      <c r="I178" s="3"/>
      <c r="J178" s="3"/>
      <c r="K178" s="3"/>
      <c r="L178" s="3"/>
      <c r="M178" s="3"/>
      <c r="N178" s="3"/>
      <c r="O178" s="3"/>
      <c r="P178" s="3"/>
      <c r="Q178" s="3"/>
      <c r="R178" s="3"/>
    </row>
    <row r="179" spans="4:18" ht="13.5" customHeight="1">
      <c r="D179" s="4"/>
      <c r="E179" s="3"/>
      <c r="F179" s="3"/>
      <c r="G179" s="3"/>
      <c r="H179" s="3"/>
      <c r="I179" s="3"/>
      <c r="J179" s="3"/>
      <c r="K179" s="3"/>
      <c r="L179" s="3"/>
      <c r="M179" s="3"/>
      <c r="N179" s="3"/>
      <c r="O179" s="3"/>
      <c r="P179" s="3"/>
      <c r="Q179" s="3"/>
      <c r="R179" s="3"/>
    </row>
    <row r="180" spans="4:18" ht="13.5" customHeight="1">
      <c r="D180" s="4"/>
      <c r="E180" s="3"/>
      <c r="F180" s="3"/>
      <c r="G180" s="3"/>
      <c r="H180" s="3"/>
      <c r="I180" s="3"/>
      <c r="J180" s="3"/>
      <c r="K180" s="3"/>
      <c r="L180" s="3"/>
      <c r="M180" s="3"/>
      <c r="N180" s="3"/>
      <c r="O180" s="3"/>
      <c r="P180" s="3"/>
      <c r="Q180" s="3"/>
      <c r="R180" s="3"/>
    </row>
    <row r="181" spans="4:18" ht="13.5" customHeight="1">
      <c r="D181" s="4"/>
      <c r="E181" s="3"/>
      <c r="F181" s="3"/>
      <c r="G181" s="3"/>
      <c r="H181" s="3"/>
      <c r="I181" s="3"/>
      <c r="J181" s="3"/>
      <c r="K181" s="3"/>
      <c r="L181" s="3"/>
      <c r="M181" s="3"/>
      <c r="N181" s="3"/>
      <c r="O181" s="3"/>
      <c r="P181" s="3"/>
      <c r="Q181" s="3"/>
      <c r="R181" s="3"/>
    </row>
    <row r="182" spans="4:18" ht="13.5" customHeight="1">
      <c r="D182" s="4"/>
      <c r="E182" s="3"/>
      <c r="F182" s="3"/>
      <c r="G182" s="3"/>
      <c r="H182" s="3"/>
      <c r="I182" s="3"/>
      <c r="J182" s="3"/>
      <c r="K182" s="3"/>
      <c r="L182" s="3"/>
      <c r="M182" s="3"/>
      <c r="N182" s="3"/>
      <c r="O182" s="3"/>
      <c r="P182" s="3"/>
      <c r="Q182" s="3"/>
      <c r="R182" s="3"/>
    </row>
    <row r="183" spans="4:18" ht="13.5" customHeight="1">
      <c r="D183" s="4"/>
      <c r="E183" s="3"/>
      <c r="F183" s="3"/>
      <c r="G183" s="3"/>
      <c r="H183" s="3"/>
      <c r="I183" s="3"/>
      <c r="J183" s="3"/>
      <c r="K183" s="3"/>
      <c r="L183" s="3"/>
      <c r="M183" s="3"/>
      <c r="N183" s="3"/>
      <c r="O183" s="3"/>
      <c r="P183" s="3"/>
      <c r="Q183" s="3"/>
      <c r="R183" s="3"/>
    </row>
    <row r="184" spans="4:18" ht="13.5" customHeight="1">
      <c r="D184" s="4"/>
      <c r="E184" s="3"/>
      <c r="F184" s="3"/>
      <c r="G184" s="3"/>
      <c r="H184" s="3"/>
      <c r="I184" s="3"/>
      <c r="J184" s="3"/>
      <c r="K184" s="3"/>
      <c r="L184" s="3"/>
      <c r="M184" s="3"/>
      <c r="N184" s="3"/>
      <c r="O184" s="3"/>
      <c r="P184" s="3"/>
      <c r="Q184" s="3"/>
      <c r="R184" s="3"/>
    </row>
    <row r="185" spans="4:18" ht="13.5" customHeight="1">
      <c r="D185" s="4"/>
      <c r="E185" s="3"/>
      <c r="F185" s="3"/>
      <c r="G185" s="3"/>
      <c r="H185" s="3"/>
      <c r="I185" s="3"/>
      <c r="J185" s="3"/>
      <c r="K185" s="3"/>
      <c r="L185" s="3"/>
      <c r="M185" s="3"/>
      <c r="N185" s="3"/>
      <c r="O185" s="3"/>
      <c r="P185" s="3"/>
      <c r="Q185" s="3"/>
      <c r="R185" s="3"/>
    </row>
    <row r="186" spans="4:18" ht="13.5" customHeight="1">
      <c r="D186" s="4"/>
      <c r="E186" s="3"/>
      <c r="F186" s="3"/>
      <c r="G186" s="3"/>
      <c r="H186" s="3"/>
      <c r="I186" s="3"/>
      <c r="J186" s="3"/>
      <c r="K186" s="3"/>
      <c r="L186" s="3"/>
      <c r="M186" s="3"/>
      <c r="N186" s="3"/>
      <c r="O186" s="3"/>
      <c r="P186" s="3"/>
      <c r="Q186" s="3"/>
      <c r="R186" s="3"/>
    </row>
    <row r="187" spans="4:18" ht="13.5" customHeight="1">
      <c r="D187" s="4"/>
      <c r="E187" s="3"/>
      <c r="F187" s="3"/>
      <c r="G187" s="3"/>
      <c r="H187" s="3"/>
      <c r="I187" s="3"/>
      <c r="J187" s="3"/>
      <c r="K187" s="3"/>
      <c r="L187" s="3"/>
      <c r="M187" s="3"/>
      <c r="N187" s="3"/>
      <c r="O187" s="3"/>
      <c r="P187" s="3"/>
      <c r="Q187" s="3"/>
      <c r="R187" s="3"/>
    </row>
    <row r="188" spans="4:18" ht="13.5" customHeight="1">
      <c r="D188" s="4"/>
      <c r="E188" s="3"/>
      <c r="F188" s="3"/>
      <c r="G188" s="3"/>
      <c r="H188" s="3"/>
      <c r="I188" s="3"/>
      <c r="J188" s="3"/>
      <c r="K188" s="3"/>
      <c r="L188" s="3"/>
      <c r="M188" s="3"/>
      <c r="N188" s="3"/>
      <c r="O188" s="3"/>
      <c r="P188" s="3"/>
      <c r="Q188" s="3"/>
      <c r="R188" s="3"/>
    </row>
    <row r="189" spans="4:18" ht="13.5" customHeight="1">
      <c r="D189" s="4"/>
      <c r="E189" s="3"/>
      <c r="F189" s="3"/>
      <c r="G189" s="3"/>
      <c r="H189" s="3"/>
      <c r="I189" s="3"/>
      <c r="J189" s="3"/>
      <c r="K189" s="3"/>
      <c r="L189" s="3"/>
      <c r="M189" s="3"/>
      <c r="N189" s="3"/>
      <c r="O189" s="3"/>
      <c r="P189" s="3"/>
      <c r="Q189" s="3"/>
      <c r="R189" s="3"/>
    </row>
    <row r="190" spans="4:18" ht="13.5" customHeight="1">
      <c r="D190" s="4"/>
      <c r="E190" s="3"/>
      <c r="F190" s="3"/>
      <c r="G190" s="3"/>
      <c r="H190" s="3"/>
      <c r="I190" s="3"/>
      <c r="J190" s="3"/>
      <c r="K190" s="3"/>
      <c r="L190" s="3"/>
      <c r="M190" s="3"/>
      <c r="N190" s="3"/>
      <c r="O190" s="3"/>
      <c r="P190" s="3"/>
      <c r="Q190" s="3"/>
      <c r="R190" s="3"/>
    </row>
    <row r="191" spans="4:18" ht="13.5" customHeight="1">
      <c r="D191" s="4"/>
      <c r="E191" s="3"/>
      <c r="F191" s="3"/>
      <c r="G191" s="3"/>
      <c r="H191" s="3"/>
      <c r="I191" s="3"/>
      <c r="J191" s="3"/>
      <c r="K191" s="3"/>
      <c r="L191" s="3"/>
      <c r="M191" s="3"/>
      <c r="N191" s="3"/>
      <c r="O191" s="3"/>
      <c r="P191" s="3"/>
      <c r="Q191" s="3"/>
      <c r="R191" s="3"/>
    </row>
    <row r="192" spans="4:18" ht="13.5" customHeight="1">
      <c r="D192" s="4"/>
      <c r="E192" s="3"/>
      <c r="F192" s="3"/>
      <c r="G192" s="3"/>
      <c r="H192" s="3"/>
      <c r="I192" s="3"/>
      <c r="J192" s="3"/>
      <c r="K192" s="3"/>
      <c r="L192" s="3"/>
      <c r="M192" s="3"/>
      <c r="N192" s="3"/>
      <c r="O192" s="3"/>
      <c r="P192" s="3"/>
      <c r="Q192" s="3"/>
      <c r="R192" s="3"/>
    </row>
    <row r="193" spans="4:18" ht="13.5" customHeight="1">
      <c r="D193" s="4"/>
      <c r="E193" s="3"/>
      <c r="F193" s="3"/>
      <c r="G193" s="3"/>
      <c r="H193" s="3"/>
      <c r="I193" s="3"/>
      <c r="J193" s="3"/>
      <c r="K193" s="3"/>
      <c r="L193" s="3"/>
      <c r="M193" s="3"/>
      <c r="N193" s="3"/>
      <c r="O193" s="3"/>
      <c r="P193" s="3"/>
      <c r="Q193" s="3"/>
      <c r="R193" s="3"/>
    </row>
    <row r="194" spans="4:18" ht="13.5" customHeight="1">
      <c r="D194" s="4"/>
      <c r="E194" s="3"/>
      <c r="F194" s="3"/>
      <c r="G194" s="3"/>
      <c r="H194" s="3"/>
      <c r="I194" s="3"/>
      <c r="J194" s="3"/>
      <c r="K194" s="3"/>
      <c r="L194" s="3"/>
      <c r="M194" s="3"/>
      <c r="N194" s="3"/>
      <c r="O194" s="3"/>
      <c r="P194" s="3"/>
      <c r="Q194" s="3"/>
      <c r="R194" s="3"/>
    </row>
    <row r="195" spans="4:18" ht="13.5" customHeight="1">
      <c r="D195" s="4"/>
      <c r="E195" s="3"/>
      <c r="F195" s="3"/>
      <c r="G195" s="3"/>
      <c r="H195" s="3"/>
      <c r="I195" s="3"/>
      <c r="J195" s="3"/>
      <c r="K195" s="3"/>
      <c r="L195" s="3"/>
      <c r="M195" s="3"/>
      <c r="N195" s="3"/>
      <c r="O195" s="3"/>
      <c r="P195" s="3"/>
      <c r="Q195" s="3"/>
      <c r="R195" s="3"/>
    </row>
    <row r="196" spans="4:18" ht="13.5" customHeight="1">
      <c r="D196" s="4"/>
      <c r="E196" s="3"/>
      <c r="F196" s="3"/>
      <c r="G196" s="3"/>
      <c r="H196" s="3"/>
      <c r="I196" s="3"/>
      <c r="J196" s="3"/>
      <c r="K196" s="3"/>
      <c r="L196" s="3"/>
      <c r="M196" s="3"/>
      <c r="N196" s="3"/>
      <c r="O196" s="3"/>
      <c r="P196" s="3"/>
      <c r="Q196" s="3"/>
      <c r="R196" s="3"/>
    </row>
    <row r="197" spans="4:18" ht="13.5" customHeight="1">
      <c r="D197" s="4"/>
      <c r="E197" s="3"/>
      <c r="F197" s="3"/>
      <c r="G197" s="3"/>
      <c r="H197" s="3"/>
      <c r="I197" s="3"/>
      <c r="J197" s="3"/>
      <c r="K197" s="3"/>
      <c r="L197" s="3"/>
      <c r="M197" s="3"/>
      <c r="N197" s="3"/>
      <c r="O197" s="3"/>
      <c r="P197" s="3"/>
      <c r="Q197" s="3"/>
      <c r="R197" s="3"/>
    </row>
    <row r="198" spans="4:18" ht="13.5" customHeight="1">
      <c r="D198" s="4"/>
      <c r="E198" s="3"/>
      <c r="F198" s="3"/>
      <c r="G198" s="3"/>
      <c r="H198" s="3"/>
      <c r="I198" s="3"/>
      <c r="J198" s="3"/>
      <c r="K198" s="3"/>
      <c r="L198" s="3"/>
      <c r="M198" s="3"/>
      <c r="N198" s="3"/>
      <c r="O198" s="3"/>
      <c r="P198" s="3"/>
      <c r="Q198" s="3"/>
      <c r="R198" s="3"/>
    </row>
    <row r="199" spans="4:18" ht="13.5" customHeight="1">
      <c r="D199" s="4"/>
      <c r="E199" s="3"/>
      <c r="F199" s="3"/>
      <c r="G199" s="3"/>
      <c r="H199" s="3"/>
      <c r="I199" s="3"/>
      <c r="J199" s="3"/>
      <c r="K199" s="3"/>
      <c r="L199" s="3"/>
      <c r="M199" s="3"/>
      <c r="N199" s="3"/>
      <c r="O199" s="3"/>
      <c r="P199" s="3"/>
      <c r="Q199" s="3"/>
      <c r="R199" s="3"/>
    </row>
    <row r="200" spans="4:18" ht="13.5" customHeight="1">
      <c r="D200" s="4"/>
      <c r="E200" s="3"/>
      <c r="F200" s="3"/>
      <c r="G200" s="3"/>
      <c r="H200" s="3"/>
      <c r="I200" s="3"/>
      <c r="J200" s="3"/>
      <c r="K200" s="3"/>
      <c r="L200" s="3"/>
      <c r="M200" s="3"/>
      <c r="N200" s="3"/>
      <c r="O200" s="3"/>
      <c r="P200" s="3"/>
      <c r="Q200" s="3"/>
      <c r="R200" s="3"/>
    </row>
    <row r="201" spans="4:18" ht="13.5" customHeight="1">
      <c r="D201" s="4"/>
      <c r="E201" s="3"/>
      <c r="F201" s="3"/>
      <c r="G201" s="3"/>
      <c r="H201" s="3"/>
      <c r="I201" s="3"/>
      <c r="J201" s="3"/>
      <c r="K201" s="3"/>
      <c r="L201" s="3"/>
      <c r="M201" s="3"/>
      <c r="N201" s="3"/>
      <c r="O201" s="3"/>
      <c r="P201" s="3"/>
      <c r="Q201" s="3"/>
      <c r="R201" s="3"/>
    </row>
    <row r="202" spans="4:18" ht="13.5" customHeight="1">
      <c r="D202" s="4"/>
      <c r="E202" s="3"/>
      <c r="F202" s="3"/>
      <c r="G202" s="3"/>
      <c r="H202" s="3"/>
      <c r="I202" s="3"/>
      <c r="J202" s="3"/>
      <c r="K202" s="3"/>
      <c r="L202" s="3"/>
      <c r="M202" s="3"/>
      <c r="N202" s="3"/>
      <c r="O202" s="3"/>
      <c r="P202" s="3"/>
      <c r="Q202" s="3"/>
      <c r="R202" s="3"/>
    </row>
    <row r="203" spans="4:18" ht="13.5" customHeight="1">
      <c r="D203" s="4"/>
      <c r="E203" s="3"/>
      <c r="F203" s="3"/>
      <c r="G203" s="3"/>
      <c r="H203" s="3"/>
      <c r="I203" s="3"/>
      <c r="J203" s="3"/>
      <c r="K203" s="3"/>
      <c r="L203" s="3"/>
      <c r="M203" s="3"/>
      <c r="N203" s="3"/>
      <c r="O203" s="3"/>
      <c r="P203" s="3"/>
      <c r="Q203" s="3"/>
      <c r="R203" s="3"/>
    </row>
    <row r="204" spans="4:18" ht="13.5" customHeight="1">
      <c r="D204" s="4"/>
      <c r="E204" s="3"/>
      <c r="F204" s="3"/>
      <c r="G204" s="3"/>
      <c r="H204" s="3"/>
      <c r="I204" s="3"/>
      <c r="J204" s="3"/>
      <c r="K204" s="3"/>
      <c r="L204" s="3"/>
      <c r="M204" s="3"/>
      <c r="N204" s="3"/>
      <c r="O204" s="3"/>
      <c r="P204" s="3"/>
      <c r="Q204" s="3"/>
      <c r="R204" s="3"/>
    </row>
    <row r="205" spans="4:18" ht="13.5" customHeight="1">
      <c r="D205" s="4"/>
      <c r="E205" s="3"/>
      <c r="F205" s="3"/>
      <c r="G205" s="3"/>
      <c r="H205" s="3"/>
      <c r="I205" s="3"/>
      <c r="J205" s="3"/>
      <c r="K205" s="3"/>
      <c r="L205" s="3"/>
      <c r="M205" s="3"/>
      <c r="N205" s="3"/>
      <c r="O205" s="3"/>
      <c r="P205" s="3"/>
      <c r="Q205" s="3"/>
      <c r="R205" s="3"/>
    </row>
    <row r="206" spans="4:18" ht="13.5" customHeight="1">
      <c r="D206" s="4"/>
      <c r="E206" s="3"/>
      <c r="F206" s="3"/>
      <c r="G206" s="3"/>
      <c r="H206" s="3"/>
      <c r="I206" s="3"/>
      <c r="J206" s="3"/>
      <c r="K206" s="3"/>
      <c r="L206" s="3"/>
      <c r="M206" s="3"/>
      <c r="N206" s="3"/>
      <c r="O206" s="3"/>
      <c r="P206" s="3"/>
      <c r="Q206" s="3"/>
      <c r="R206" s="3"/>
    </row>
    <row r="207" spans="4:18" ht="13.5" customHeight="1">
      <c r="D207" s="4"/>
      <c r="E207" s="3"/>
      <c r="F207" s="3"/>
      <c r="G207" s="3"/>
      <c r="H207" s="3"/>
      <c r="I207" s="3"/>
      <c r="J207" s="3"/>
      <c r="K207" s="3"/>
      <c r="L207" s="3"/>
      <c r="M207" s="3"/>
      <c r="N207" s="3"/>
      <c r="O207" s="3"/>
      <c r="P207" s="3"/>
      <c r="Q207" s="3"/>
      <c r="R207" s="3"/>
    </row>
    <row r="208" spans="4:18" ht="13.5" customHeight="1">
      <c r="D208" s="4"/>
      <c r="E208" s="3"/>
      <c r="F208" s="3"/>
      <c r="G208" s="3"/>
      <c r="H208" s="3"/>
      <c r="I208" s="3"/>
      <c r="J208" s="3"/>
      <c r="K208" s="3"/>
      <c r="L208" s="3"/>
      <c r="M208" s="3"/>
      <c r="N208" s="3"/>
      <c r="O208" s="3"/>
      <c r="P208" s="3"/>
      <c r="Q208" s="3"/>
      <c r="R208" s="3"/>
    </row>
    <row r="209" spans="4:18" ht="13.5" customHeight="1">
      <c r="D209" s="4"/>
      <c r="E209" s="3"/>
      <c r="F209" s="3"/>
      <c r="G209" s="3"/>
      <c r="H209" s="3"/>
      <c r="I209" s="3"/>
      <c r="J209" s="3"/>
      <c r="K209" s="3"/>
      <c r="L209" s="3"/>
      <c r="M209" s="3"/>
      <c r="N209" s="3"/>
      <c r="O209" s="3"/>
      <c r="P209" s="3"/>
      <c r="Q209" s="3"/>
      <c r="R209" s="3"/>
    </row>
    <row r="210" spans="4:18" ht="13.5" customHeight="1">
      <c r="D210" s="4"/>
      <c r="E210" s="3"/>
      <c r="F210" s="3"/>
      <c r="G210" s="3"/>
      <c r="H210" s="3"/>
      <c r="I210" s="3"/>
      <c r="J210" s="3"/>
      <c r="K210" s="3"/>
      <c r="L210" s="3"/>
      <c r="M210" s="3"/>
      <c r="N210" s="3"/>
      <c r="O210" s="3"/>
      <c r="P210" s="3"/>
      <c r="Q210" s="3"/>
      <c r="R210" s="3"/>
    </row>
    <row r="211" spans="4:18" ht="13.5" customHeight="1">
      <c r="D211" s="4"/>
      <c r="E211" s="3"/>
      <c r="F211" s="3"/>
      <c r="G211" s="3"/>
      <c r="H211" s="3"/>
      <c r="I211" s="3"/>
      <c r="J211" s="3"/>
      <c r="K211" s="3"/>
      <c r="L211" s="3"/>
      <c r="M211" s="3"/>
      <c r="N211" s="3"/>
      <c r="O211" s="3"/>
      <c r="P211" s="3"/>
      <c r="Q211" s="3"/>
      <c r="R211" s="3"/>
    </row>
    <row r="212" spans="4:18" ht="13.5" customHeight="1">
      <c r="D212" s="4"/>
      <c r="E212" s="3"/>
      <c r="F212" s="3"/>
      <c r="G212" s="3"/>
      <c r="H212" s="3"/>
      <c r="I212" s="3"/>
      <c r="J212" s="3"/>
      <c r="K212" s="3"/>
      <c r="L212" s="3"/>
      <c r="M212" s="3"/>
      <c r="N212" s="3"/>
      <c r="O212" s="3"/>
      <c r="P212" s="3"/>
      <c r="Q212" s="3"/>
      <c r="R212" s="3"/>
    </row>
    <row r="213" spans="4:18" ht="13.5" customHeight="1">
      <c r="D213" s="4"/>
      <c r="E213" s="3"/>
      <c r="F213" s="3"/>
      <c r="G213" s="3"/>
      <c r="H213" s="3"/>
      <c r="I213" s="3"/>
      <c r="J213" s="3"/>
      <c r="K213" s="3"/>
      <c r="L213" s="3"/>
      <c r="M213" s="3"/>
      <c r="N213" s="3"/>
      <c r="O213" s="3"/>
      <c r="P213" s="3"/>
      <c r="Q213" s="3"/>
      <c r="R213" s="3"/>
    </row>
    <row r="214" spans="4:18" ht="13.5" customHeight="1">
      <c r="D214" s="4"/>
      <c r="E214" s="3"/>
      <c r="F214" s="3"/>
      <c r="G214" s="3"/>
      <c r="H214" s="3"/>
      <c r="I214" s="3"/>
      <c r="J214" s="3"/>
      <c r="K214" s="3"/>
      <c r="L214" s="3"/>
      <c r="M214" s="3"/>
      <c r="N214" s="3"/>
      <c r="O214" s="3"/>
      <c r="P214" s="3"/>
      <c r="Q214" s="3"/>
      <c r="R214" s="3"/>
    </row>
    <row r="215" spans="4:18" ht="13.5" customHeight="1">
      <c r="D215" s="4"/>
      <c r="E215" s="3"/>
      <c r="F215" s="3"/>
      <c r="G215" s="3"/>
      <c r="H215" s="3"/>
      <c r="I215" s="3"/>
      <c r="J215" s="3"/>
      <c r="K215" s="3"/>
      <c r="L215" s="3"/>
      <c r="M215" s="3"/>
      <c r="N215" s="3"/>
      <c r="O215" s="3"/>
      <c r="P215" s="3"/>
      <c r="Q215" s="3"/>
      <c r="R215" s="3"/>
    </row>
    <row r="216" spans="4:18" ht="13.5" customHeight="1">
      <c r="D216" s="4"/>
      <c r="E216" s="3"/>
      <c r="F216" s="3"/>
      <c r="G216" s="3"/>
      <c r="H216" s="3"/>
      <c r="I216" s="3"/>
      <c r="J216" s="3"/>
      <c r="K216" s="3"/>
      <c r="L216" s="3"/>
      <c r="M216" s="3"/>
      <c r="N216" s="3"/>
      <c r="O216" s="3"/>
      <c r="P216" s="3"/>
      <c r="Q216" s="3"/>
      <c r="R216" s="3"/>
    </row>
    <row r="217" spans="4:18" ht="13.5" customHeight="1">
      <c r="D217" s="4"/>
      <c r="E217" s="3"/>
      <c r="F217" s="3"/>
      <c r="G217" s="3"/>
      <c r="H217" s="3"/>
      <c r="I217" s="3"/>
      <c r="J217" s="3"/>
      <c r="K217" s="3"/>
      <c r="L217" s="3"/>
      <c r="M217" s="3"/>
      <c r="N217" s="3"/>
      <c r="O217" s="3"/>
      <c r="P217" s="3"/>
      <c r="Q217" s="3"/>
      <c r="R217" s="3"/>
    </row>
    <row r="218" spans="4:18" ht="13.5" customHeight="1">
      <c r="D218" s="4"/>
      <c r="E218" s="3"/>
      <c r="F218" s="3"/>
      <c r="G218" s="3"/>
      <c r="H218" s="3"/>
      <c r="I218" s="3"/>
      <c r="J218" s="3"/>
      <c r="K218" s="3"/>
      <c r="L218" s="3"/>
      <c r="M218" s="3"/>
      <c r="N218" s="3"/>
      <c r="O218" s="3"/>
      <c r="P218" s="3"/>
      <c r="Q218" s="3"/>
      <c r="R218" s="3"/>
    </row>
    <row r="219" spans="4:18" ht="13.5" customHeight="1">
      <c r="D219" s="4"/>
      <c r="E219" s="3"/>
      <c r="F219" s="3"/>
      <c r="G219" s="3"/>
      <c r="H219" s="3"/>
      <c r="I219" s="3"/>
      <c r="J219" s="3"/>
      <c r="K219" s="3"/>
      <c r="L219" s="3"/>
      <c r="M219" s="3"/>
      <c r="N219" s="3"/>
      <c r="O219" s="3"/>
      <c r="P219" s="3"/>
      <c r="Q219" s="3"/>
      <c r="R219" s="3"/>
    </row>
    <row r="220" spans="4:18" ht="13.5" customHeight="1">
      <c r="D220" s="4"/>
      <c r="E220" s="3"/>
      <c r="F220" s="3"/>
      <c r="G220" s="3"/>
      <c r="H220" s="3"/>
      <c r="I220" s="3"/>
      <c r="J220" s="3"/>
      <c r="K220" s="3"/>
      <c r="L220" s="3"/>
      <c r="M220" s="3"/>
      <c r="N220" s="3"/>
      <c r="O220" s="3"/>
      <c r="P220" s="3"/>
      <c r="Q220" s="3"/>
      <c r="R220" s="3"/>
    </row>
    <row r="221" spans="4:18" ht="13.5" customHeight="1">
      <c r="D221" s="4"/>
      <c r="E221" s="3"/>
      <c r="F221" s="3"/>
      <c r="G221" s="3"/>
      <c r="H221" s="3"/>
      <c r="I221" s="3"/>
      <c r="J221" s="3"/>
      <c r="K221" s="3"/>
      <c r="L221" s="3"/>
      <c r="M221" s="3"/>
      <c r="N221" s="3"/>
      <c r="O221" s="3"/>
      <c r="P221" s="3"/>
      <c r="Q221" s="3"/>
      <c r="R221" s="3"/>
    </row>
    <row r="222" spans="4:18" ht="13.5" customHeight="1">
      <c r="D222" s="4"/>
      <c r="E222" s="3"/>
      <c r="F222" s="3"/>
      <c r="G222" s="3"/>
      <c r="H222" s="3"/>
      <c r="I222" s="3"/>
      <c r="J222" s="3"/>
      <c r="K222" s="3"/>
      <c r="L222" s="3"/>
      <c r="M222" s="3"/>
      <c r="N222" s="3"/>
      <c r="O222" s="3"/>
      <c r="P222" s="3"/>
      <c r="Q222" s="3"/>
      <c r="R222" s="3"/>
    </row>
    <row r="223" spans="4:18" ht="13.5" customHeight="1">
      <c r="D223" s="4"/>
      <c r="E223" s="3"/>
      <c r="F223" s="3"/>
      <c r="G223" s="3"/>
      <c r="H223" s="3"/>
      <c r="I223" s="3"/>
      <c r="J223" s="3"/>
      <c r="K223" s="3"/>
      <c r="L223" s="3"/>
      <c r="M223" s="3"/>
      <c r="N223" s="3"/>
      <c r="O223" s="3"/>
      <c r="P223" s="3"/>
      <c r="Q223" s="3"/>
      <c r="R223" s="3"/>
    </row>
    <row r="224" spans="4:18" ht="13.5" customHeight="1">
      <c r="D224" s="4"/>
      <c r="E224" s="3"/>
      <c r="F224" s="3"/>
      <c r="G224" s="3"/>
      <c r="H224" s="3"/>
      <c r="I224" s="3"/>
      <c r="J224" s="3"/>
      <c r="K224" s="3"/>
      <c r="L224" s="3"/>
      <c r="M224" s="3"/>
      <c r="N224" s="3"/>
      <c r="O224" s="3"/>
      <c r="P224" s="3"/>
      <c r="Q224" s="3"/>
      <c r="R224" s="3"/>
    </row>
    <row r="225" spans="4:18" ht="13.5" customHeight="1">
      <c r="D225" s="4"/>
      <c r="E225" s="3"/>
      <c r="F225" s="3"/>
      <c r="G225" s="3"/>
      <c r="H225" s="3"/>
      <c r="I225" s="3"/>
      <c r="J225" s="3"/>
      <c r="K225" s="3"/>
      <c r="L225" s="3"/>
      <c r="M225" s="3"/>
      <c r="N225" s="3"/>
      <c r="O225" s="3"/>
      <c r="P225" s="3"/>
      <c r="Q225" s="3"/>
      <c r="R225" s="3"/>
    </row>
    <row r="226" spans="4:18" ht="13.5" customHeight="1">
      <c r="D226" s="4"/>
      <c r="E226" s="3"/>
      <c r="F226" s="3"/>
      <c r="G226" s="3"/>
      <c r="H226" s="3"/>
      <c r="I226" s="3"/>
      <c r="J226" s="3"/>
      <c r="K226" s="3"/>
      <c r="L226" s="3"/>
      <c r="M226" s="3"/>
      <c r="N226" s="3"/>
      <c r="O226" s="3"/>
      <c r="P226" s="3"/>
      <c r="Q226" s="3"/>
      <c r="R226" s="3"/>
    </row>
    <row r="227" spans="4:18" ht="13.5" customHeight="1">
      <c r="D227" s="4"/>
      <c r="E227" s="3"/>
      <c r="F227" s="3"/>
      <c r="G227" s="3"/>
      <c r="H227" s="3"/>
      <c r="I227" s="3"/>
      <c r="J227" s="3"/>
      <c r="K227" s="3"/>
      <c r="L227" s="3"/>
      <c r="M227" s="3"/>
      <c r="N227" s="3"/>
      <c r="O227" s="3"/>
      <c r="P227" s="3"/>
      <c r="Q227" s="3"/>
      <c r="R227" s="3"/>
    </row>
    <row r="228" spans="4:18" ht="13.5" customHeight="1">
      <c r="D228" s="4"/>
      <c r="E228" s="3"/>
      <c r="F228" s="3"/>
      <c r="G228" s="3"/>
      <c r="H228" s="3"/>
      <c r="I228" s="3"/>
      <c r="J228" s="3"/>
      <c r="K228" s="3"/>
      <c r="L228" s="3"/>
      <c r="M228" s="3"/>
      <c r="N228" s="3"/>
      <c r="O228" s="3"/>
      <c r="P228" s="3"/>
      <c r="Q228" s="3"/>
      <c r="R228" s="3"/>
    </row>
    <row r="229" spans="4:18" ht="13.5" customHeight="1">
      <c r="D229" s="4"/>
      <c r="E229" s="3"/>
      <c r="F229" s="3"/>
      <c r="G229" s="3"/>
      <c r="H229" s="3"/>
      <c r="I229" s="3"/>
      <c r="J229" s="3"/>
      <c r="K229" s="3"/>
      <c r="L229" s="3"/>
      <c r="M229" s="3"/>
      <c r="N229" s="3"/>
      <c r="O229" s="3"/>
      <c r="P229" s="3"/>
      <c r="Q229" s="3"/>
      <c r="R229" s="3"/>
    </row>
    <row r="230" spans="4:18" ht="13.5" customHeight="1">
      <c r="D230" s="4"/>
      <c r="E230" s="3"/>
      <c r="F230" s="3"/>
      <c r="G230" s="3"/>
      <c r="H230" s="3"/>
      <c r="I230" s="3"/>
      <c r="J230" s="3"/>
      <c r="K230" s="3"/>
      <c r="L230" s="3"/>
      <c r="M230" s="3"/>
      <c r="N230" s="3"/>
      <c r="O230" s="3"/>
      <c r="P230" s="3"/>
      <c r="Q230" s="3"/>
      <c r="R230" s="3"/>
    </row>
    <row r="231" spans="4:18" ht="13.5" customHeight="1">
      <c r="D231" s="4"/>
      <c r="E231" s="3"/>
      <c r="F231" s="3"/>
      <c r="G231" s="3"/>
      <c r="H231" s="3"/>
      <c r="I231" s="3"/>
      <c r="J231" s="3"/>
      <c r="K231" s="3"/>
      <c r="L231" s="3"/>
      <c r="M231" s="3"/>
      <c r="N231" s="3"/>
      <c r="O231" s="3"/>
      <c r="P231" s="3"/>
      <c r="Q231" s="3"/>
      <c r="R231" s="3"/>
    </row>
    <row r="232" spans="4:18" ht="13.5" customHeight="1">
      <c r="D232" s="4"/>
      <c r="E232" s="3"/>
      <c r="F232" s="3"/>
      <c r="G232" s="3"/>
      <c r="H232" s="3"/>
      <c r="I232" s="3"/>
      <c r="J232" s="3"/>
      <c r="K232" s="3"/>
      <c r="L232" s="3"/>
      <c r="M232" s="3"/>
      <c r="N232" s="3"/>
      <c r="O232" s="3"/>
      <c r="P232" s="3"/>
      <c r="Q232" s="3"/>
      <c r="R232" s="3"/>
    </row>
    <row r="233" spans="4:18" ht="13.5" customHeight="1">
      <c r="D233" s="4"/>
      <c r="E233" s="3"/>
      <c r="F233" s="3"/>
      <c r="G233" s="3"/>
      <c r="H233" s="3"/>
      <c r="I233" s="3"/>
      <c r="J233" s="3"/>
      <c r="K233" s="3"/>
      <c r="L233" s="3"/>
      <c r="M233" s="3"/>
      <c r="N233" s="3"/>
      <c r="O233" s="3"/>
      <c r="P233" s="3"/>
      <c r="Q233" s="3"/>
      <c r="R233" s="3"/>
    </row>
    <row r="234" spans="4:18" ht="13.5" customHeight="1">
      <c r="D234" s="4"/>
      <c r="E234" s="3"/>
      <c r="F234" s="3"/>
      <c r="G234" s="3"/>
      <c r="H234" s="3"/>
      <c r="I234" s="3"/>
      <c r="J234" s="3"/>
      <c r="K234" s="3"/>
      <c r="L234" s="3"/>
      <c r="M234" s="3"/>
      <c r="N234" s="3"/>
      <c r="O234" s="3"/>
      <c r="P234" s="3"/>
      <c r="Q234" s="3"/>
      <c r="R234" s="3"/>
    </row>
    <row r="235" spans="4:18" ht="13.5" customHeight="1">
      <c r="D235" s="4"/>
      <c r="E235" s="3"/>
      <c r="F235" s="3"/>
      <c r="G235" s="3"/>
      <c r="H235" s="3"/>
      <c r="I235" s="3"/>
      <c r="J235" s="3"/>
      <c r="K235" s="3"/>
      <c r="L235" s="3"/>
      <c r="M235" s="3"/>
      <c r="N235" s="3"/>
      <c r="O235" s="3"/>
      <c r="P235" s="3"/>
      <c r="Q235" s="3"/>
      <c r="R235" s="3"/>
    </row>
    <row r="236" spans="4:18" ht="13.5" customHeight="1">
      <c r="D236" s="4"/>
      <c r="E236" s="3"/>
      <c r="F236" s="3"/>
      <c r="G236" s="3"/>
      <c r="H236" s="3"/>
      <c r="I236" s="3"/>
      <c r="J236" s="3"/>
      <c r="K236" s="3"/>
      <c r="L236" s="3"/>
      <c r="M236" s="3"/>
      <c r="N236" s="3"/>
      <c r="O236" s="3"/>
      <c r="P236" s="3"/>
      <c r="Q236" s="3"/>
      <c r="R236" s="3"/>
    </row>
    <row r="237" spans="4:18" ht="13.5" customHeight="1">
      <c r="D237" s="4"/>
      <c r="E237" s="3"/>
      <c r="F237" s="3"/>
      <c r="G237" s="3"/>
      <c r="H237" s="3"/>
      <c r="I237" s="3"/>
      <c r="J237" s="3"/>
      <c r="K237" s="3"/>
      <c r="L237" s="3"/>
      <c r="M237" s="3"/>
      <c r="N237" s="3"/>
      <c r="O237" s="3"/>
      <c r="P237" s="3"/>
      <c r="Q237" s="3"/>
      <c r="R237" s="3"/>
    </row>
    <row r="238" spans="4:18" ht="13.5" customHeight="1">
      <c r="D238" s="4"/>
      <c r="E238" s="3"/>
      <c r="F238" s="3"/>
      <c r="G238" s="3"/>
      <c r="H238" s="3"/>
      <c r="I238" s="3"/>
      <c r="J238" s="3"/>
      <c r="K238" s="3"/>
      <c r="L238" s="3"/>
      <c r="M238" s="3"/>
      <c r="N238" s="3"/>
      <c r="O238" s="3"/>
      <c r="P238" s="3"/>
      <c r="Q238" s="3"/>
      <c r="R238" s="3"/>
    </row>
    <row r="239" spans="4:18" ht="13.5" customHeight="1">
      <c r="D239" s="4"/>
      <c r="E239" s="3"/>
      <c r="F239" s="3"/>
      <c r="G239" s="3"/>
      <c r="H239" s="3"/>
      <c r="I239" s="3"/>
      <c r="J239" s="3"/>
      <c r="K239" s="3"/>
      <c r="L239" s="3"/>
      <c r="M239" s="3"/>
      <c r="N239" s="3"/>
      <c r="O239" s="3"/>
      <c r="P239" s="3"/>
      <c r="Q239" s="3"/>
      <c r="R239" s="3"/>
    </row>
    <row r="240" spans="4:18" ht="13.5" customHeight="1">
      <c r="D240" s="4"/>
      <c r="E240" s="3"/>
      <c r="F240" s="3"/>
      <c r="G240" s="3"/>
      <c r="H240" s="3"/>
      <c r="I240" s="3"/>
      <c r="J240" s="3"/>
      <c r="K240" s="3"/>
      <c r="L240" s="3"/>
      <c r="M240" s="3"/>
      <c r="N240" s="3"/>
      <c r="O240" s="3"/>
      <c r="P240" s="3"/>
      <c r="Q240" s="3"/>
      <c r="R240" s="3"/>
    </row>
    <row r="241" spans="4:18" ht="13.5" customHeight="1">
      <c r="D241" s="4"/>
      <c r="E241" s="3"/>
      <c r="F241" s="3"/>
      <c r="G241" s="3"/>
      <c r="H241" s="3"/>
      <c r="I241" s="3"/>
      <c r="J241" s="3"/>
      <c r="K241" s="3"/>
      <c r="L241" s="3"/>
      <c r="M241" s="3"/>
      <c r="N241" s="3"/>
      <c r="O241" s="3"/>
      <c r="P241" s="3"/>
      <c r="Q241" s="3"/>
      <c r="R241" s="3"/>
    </row>
    <row r="242" spans="4:18" ht="13.5" customHeight="1">
      <c r="D242" s="4"/>
      <c r="E242" s="3"/>
      <c r="F242" s="3"/>
      <c r="G242" s="3"/>
      <c r="H242" s="3"/>
      <c r="I242" s="3"/>
      <c r="J242" s="3"/>
      <c r="K242" s="3"/>
      <c r="L242" s="3"/>
      <c r="M242" s="3"/>
      <c r="N242" s="3"/>
      <c r="O242" s="3"/>
      <c r="P242" s="3"/>
      <c r="Q242" s="3"/>
      <c r="R242" s="3"/>
    </row>
    <row r="243" spans="4:18" ht="13.5" customHeight="1">
      <c r="D243" s="4"/>
      <c r="E243" s="3"/>
      <c r="F243" s="3"/>
      <c r="G243" s="3"/>
      <c r="H243" s="3"/>
      <c r="I243" s="3"/>
      <c r="J243" s="3"/>
      <c r="K243" s="3"/>
      <c r="L243" s="3"/>
      <c r="M243" s="3"/>
      <c r="N243" s="3"/>
      <c r="O243" s="3"/>
      <c r="P243" s="3"/>
      <c r="Q243" s="3"/>
      <c r="R243" s="3"/>
    </row>
    <row r="244" spans="4:18" ht="13.5" customHeight="1">
      <c r="D244" s="4"/>
      <c r="E244" s="3"/>
      <c r="F244" s="3"/>
      <c r="G244" s="3"/>
      <c r="H244" s="3"/>
      <c r="I244" s="3"/>
      <c r="J244" s="3"/>
      <c r="K244" s="3"/>
      <c r="L244" s="3"/>
      <c r="M244" s="3"/>
      <c r="N244" s="3"/>
      <c r="O244" s="3"/>
      <c r="P244" s="3"/>
      <c r="Q244" s="3"/>
      <c r="R244" s="3"/>
    </row>
    <row r="245" spans="4:18" ht="13.5" customHeight="1">
      <c r="D245" s="4"/>
      <c r="E245" s="3"/>
      <c r="F245" s="3"/>
      <c r="G245" s="3"/>
      <c r="H245" s="3"/>
      <c r="I245" s="3"/>
      <c r="J245" s="3"/>
      <c r="K245" s="3"/>
      <c r="L245" s="3"/>
      <c r="M245" s="3"/>
      <c r="N245" s="3"/>
      <c r="O245" s="3"/>
      <c r="P245" s="3"/>
      <c r="Q245" s="3"/>
      <c r="R245" s="3"/>
    </row>
    <row r="246" spans="4:18" ht="13.5" customHeight="1">
      <c r="D246" s="4"/>
      <c r="E246" s="3"/>
      <c r="F246" s="3"/>
      <c r="G246" s="3"/>
      <c r="H246" s="3"/>
      <c r="I246" s="3"/>
      <c r="J246" s="3"/>
      <c r="K246" s="3"/>
      <c r="L246" s="3"/>
      <c r="M246" s="3"/>
      <c r="N246" s="3"/>
      <c r="O246" s="3"/>
      <c r="P246" s="3"/>
      <c r="Q246" s="3"/>
      <c r="R246" s="3"/>
    </row>
    <row r="247" spans="4:18" ht="13.5" customHeight="1">
      <c r="D247" s="4"/>
      <c r="E247" s="3"/>
      <c r="F247" s="3"/>
      <c r="G247" s="3"/>
      <c r="H247" s="3"/>
      <c r="I247" s="3"/>
      <c r="J247" s="3"/>
      <c r="K247" s="3"/>
      <c r="L247" s="3"/>
      <c r="M247" s="3"/>
      <c r="N247" s="3"/>
      <c r="O247" s="3"/>
      <c r="P247" s="3"/>
      <c r="Q247" s="3"/>
      <c r="R247" s="3"/>
    </row>
    <row r="248" spans="4:18" ht="13.5" customHeight="1">
      <c r="D248" s="4"/>
      <c r="E248" s="3"/>
      <c r="F248" s="3"/>
      <c r="G248" s="3"/>
      <c r="H248" s="3"/>
      <c r="I248" s="3"/>
      <c r="J248" s="3"/>
      <c r="K248" s="3"/>
      <c r="L248" s="3"/>
      <c r="M248" s="3"/>
      <c r="N248" s="3"/>
      <c r="O248" s="3"/>
      <c r="P248" s="3"/>
      <c r="Q248" s="3"/>
      <c r="R248" s="3"/>
    </row>
    <row r="249" spans="4:18" ht="13.5" customHeight="1">
      <c r="D249" s="4"/>
      <c r="E249" s="3"/>
      <c r="F249" s="3"/>
      <c r="G249" s="3"/>
      <c r="H249" s="3"/>
      <c r="I249" s="3"/>
      <c r="J249" s="3"/>
      <c r="K249" s="3"/>
      <c r="L249" s="3"/>
      <c r="M249" s="3"/>
      <c r="N249" s="3"/>
      <c r="O249" s="3"/>
      <c r="P249" s="3"/>
      <c r="Q249" s="3"/>
      <c r="R249" s="3"/>
    </row>
    <row r="250" spans="4:18" ht="13.5" customHeight="1">
      <c r="D250" s="4"/>
      <c r="E250" s="3"/>
      <c r="F250" s="3"/>
      <c r="G250" s="3"/>
      <c r="H250" s="3"/>
      <c r="I250" s="3"/>
      <c r="J250" s="3"/>
      <c r="K250" s="3"/>
      <c r="L250" s="3"/>
      <c r="M250" s="3"/>
      <c r="N250" s="3"/>
      <c r="O250" s="3"/>
      <c r="P250" s="3"/>
      <c r="Q250" s="3"/>
      <c r="R250" s="3"/>
    </row>
    <row r="251" spans="4:18" ht="13.5" customHeight="1">
      <c r="D251" s="4"/>
      <c r="E251" s="3"/>
      <c r="F251" s="3"/>
      <c r="G251" s="3"/>
      <c r="H251" s="3"/>
      <c r="I251" s="3"/>
      <c r="J251" s="3"/>
      <c r="K251" s="3"/>
      <c r="L251" s="3"/>
      <c r="M251" s="3"/>
      <c r="N251" s="3"/>
      <c r="O251" s="3"/>
      <c r="P251" s="3"/>
      <c r="Q251" s="3"/>
      <c r="R251" s="3"/>
    </row>
    <row r="252" spans="4:18" ht="13.5" customHeight="1">
      <c r="D252" s="4"/>
      <c r="E252" s="3"/>
      <c r="F252" s="3"/>
      <c r="G252" s="3"/>
      <c r="H252" s="3"/>
      <c r="I252" s="3"/>
      <c r="J252" s="3"/>
      <c r="K252" s="3"/>
      <c r="L252" s="3"/>
      <c r="M252" s="3"/>
      <c r="N252" s="3"/>
      <c r="O252" s="3"/>
      <c r="P252" s="3"/>
      <c r="Q252" s="3"/>
      <c r="R252" s="3"/>
    </row>
    <row r="253" spans="4:18" ht="13.5" customHeight="1">
      <c r="D253" s="4"/>
      <c r="E253" s="3"/>
      <c r="F253" s="3"/>
      <c r="G253" s="3"/>
      <c r="H253" s="3"/>
      <c r="I253" s="3"/>
      <c r="J253" s="3"/>
      <c r="K253" s="3"/>
      <c r="L253" s="3"/>
      <c r="M253" s="3"/>
      <c r="N253" s="3"/>
      <c r="O253" s="3"/>
      <c r="P253" s="3"/>
      <c r="Q253" s="3"/>
      <c r="R253" s="3"/>
    </row>
    <row r="254" spans="4:18" ht="13.5" customHeight="1">
      <c r="D254" s="4"/>
      <c r="E254" s="3"/>
      <c r="F254" s="3"/>
      <c r="G254" s="3"/>
      <c r="H254" s="3"/>
      <c r="I254" s="3"/>
      <c r="J254" s="3"/>
      <c r="K254" s="3"/>
      <c r="L254" s="3"/>
      <c r="M254" s="3"/>
      <c r="N254" s="3"/>
      <c r="O254" s="3"/>
      <c r="P254" s="3"/>
      <c r="Q254" s="3"/>
      <c r="R254" s="3"/>
    </row>
    <row r="255" spans="4:18" ht="13.5" customHeight="1">
      <c r="D255" s="4"/>
      <c r="E255" s="3"/>
      <c r="F255" s="3"/>
      <c r="G255" s="3"/>
      <c r="H255" s="3"/>
      <c r="I255" s="3"/>
      <c r="J255" s="3"/>
      <c r="K255" s="3"/>
      <c r="L255" s="3"/>
      <c r="M255" s="3"/>
      <c r="N255" s="3"/>
      <c r="O255" s="3"/>
      <c r="P255" s="3"/>
      <c r="Q255" s="3"/>
      <c r="R255" s="3"/>
    </row>
    <row r="256" spans="4:18" ht="13.5" customHeight="1">
      <c r="D256" s="4"/>
      <c r="E256" s="3"/>
      <c r="F256" s="3"/>
      <c r="G256" s="3"/>
      <c r="H256" s="3"/>
      <c r="I256" s="3"/>
      <c r="J256" s="3"/>
      <c r="K256" s="3"/>
      <c r="L256" s="3"/>
      <c r="M256" s="3"/>
      <c r="N256" s="3"/>
      <c r="O256" s="3"/>
      <c r="P256" s="3"/>
      <c r="Q256" s="3"/>
      <c r="R256" s="3"/>
    </row>
    <row r="257" spans="4:18" ht="13.5" customHeight="1">
      <c r="D257" s="4"/>
      <c r="E257" s="3"/>
      <c r="F257" s="3"/>
      <c r="G257" s="3"/>
      <c r="H257" s="3"/>
      <c r="I257" s="3"/>
      <c r="J257" s="3"/>
      <c r="K257" s="3"/>
      <c r="L257" s="3"/>
      <c r="M257" s="3"/>
      <c r="N257" s="3"/>
      <c r="O257" s="3"/>
      <c r="P257" s="3"/>
      <c r="Q257" s="3"/>
      <c r="R257" s="3"/>
    </row>
    <row r="258" spans="4:18" ht="13.5" customHeight="1">
      <c r="D258" s="4"/>
      <c r="E258" s="3"/>
      <c r="F258" s="3"/>
      <c r="G258" s="3"/>
      <c r="H258" s="3"/>
      <c r="I258" s="3"/>
      <c r="J258" s="3"/>
      <c r="K258" s="3"/>
      <c r="L258" s="3"/>
      <c r="M258" s="3"/>
      <c r="N258" s="3"/>
      <c r="O258" s="3"/>
      <c r="P258" s="3"/>
      <c r="Q258" s="3"/>
      <c r="R258" s="3"/>
    </row>
    <row r="259" spans="4:18" ht="13.5" customHeight="1">
      <c r="D259" s="4"/>
      <c r="E259" s="3"/>
      <c r="F259" s="3"/>
      <c r="G259" s="3"/>
      <c r="H259" s="3"/>
      <c r="I259" s="3"/>
      <c r="J259" s="3"/>
      <c r="K259" s="3"/>
      <c r="L259" s="3"/>
      <c r="M259" s="3"/>
      <c r="N259" s="3"/>
      <c r="O259" s="3"/>
      <c r="P259" s="3"/>
      <c r="Q259" s="3"/>
      <c r="R259" s="3"/>
    </row>
    <row r="260" spans="4:18" ht="13.5" customHeight="1">
      <c r="D260" s="4"/>
      <c r="E260" s="3"/>
      <c r="F260" s="3"/>
      <c r="G260" s="3"/>
      <c r="H260" s="3"/>
      <c r="I260" s="3"/>
      <c r="J260" s="3"/>
      <c r="K260" s="3"/>
      <c r="L260" s="3"/>
      <c r="M260" s="3"/>
      <c r="N260" s="3"/>
      <c r="O260" s="3"/>
      <c r="P260" s="3"/>
      <c r="Q260" s="3"/>
      <c r="R260" s="3"/>
    </row>
    <row r="261" spans="4:18" ht="13.5" customHeight="1">
      <c r="D261" s="4"/>
      <c r="E261" s="3"/>
      <c r="F261" s="3"/>
      <c r="G261" s="3"/>
      <c r="H261" s="3"/>
      <c r="I261" s="3"/>
      <c r="J261" s="3"/>
      <c r="K261" s="3"/>
      <c r="L261" s="3"/>
      <c r="M261" s="3"/>
      <c r="N261" s="3"/>
      <c r="O261" s="3"/>
      <c r="P261" s="3"/>
      <c r="Q261" s="3"/>
      <c r="R261" s="3"/>
    </row>
    <row r="262" spans="4:18" ht="13.5" customHeight="1">
      <c r="D262" s="4"/>
      <c r="E262" s="3"/>
      <c r="F262" s="3"/>
      <c r="G262" s="3"/>
      <c r="H262" s="3"/>
      <c r="I262" s="3"/>
      <c r="J262" s="3"/>
      <c r="K262" s="3"/>
      <c r="L262" s="3"/>
      <c r="M262" s="3"/>
      <c r="N262" s="3"/>
      <c r="O262" s="3"/>
      <c r="P262" s="3"/>
      <c r="Q262" s="3"/>
      <c r="R262" s="3"/>
    </row>
    <row r="263" spans="4:18" ht="13.5" customHeight="1">
      <c r="D263" s="4"/>
      <c r="E263" s="3"/>
      <c r="F263" s="3"/>
      <c r="G263" s="3"/>
      <c r="H263" s="3"/>
      <c r="I263" s="3"/>
      <c r="J263" s="3"/>
      <c r="K263" s="3"/>
      <c r="L263" s="3"/>
      <c r="M263" s="3"/>
      <c r="N263" s="3"/>
      <c r="O263" s="3"/>
      <c r="P263" s="3"/>
      <c r="Q263" s="3"/>
      <c r="R263" s="3"/>
    </row>
    <row r="264" spans="4:18" ht="13.5" customHeight="1">
      <c r="D264" s="4"/>
      <c r="E264" s="3"/>
      <c r="F264" s="3"/>
      <c r="G264" s="3"/>
      <c r="H264" s="3"/>
      <c r="I264" s="3"/>
      <c r="J264" s="3"/>
      <c r="K264" s="3"/>
      <c r="L264" s="3"/>
      <c r="M264" s="3"/>
      <c r="N264" s="3"/>
      <c r="O264" s="3"/>
      <c r="P264" s="3"/>
      <c r="Q264" s="3"/>
      <c r="R264" s="3"/>
    </row>
    <row r="265" spans="4:18" ht="13.5" customHeight="1">
      <c r="D265" s="4"/>
      <c r="E265" s="3"/>
      <c r="F265" s="3"/>
      <c r="G265" s="3"/>
      <c r="H265" s="3"/>
      <c r="I265" s="3"/>
      <c r="J265" s="3"/>
      <c r="K265" s="3"/>
      <c r="L265" s="3"/>
      <c r="M265" s="3"/>
      <c r="N265" s="3"/>
      <c r="O265" s="3"/>
      <c r="P265" s="3"/>
      <c r="Q265" s="3"/>
      <c r="R265" s="3"/>
    </row>
    <row r="266" spans="4:18" ht="13.5" customHeight="1">
      <c r="D266" s="4"/>
      <c r="E266" s="3"/>
      <c r="F266" s="3"/>
      <c r="G266" s="3"/>
      <c r="H266" s="3"/>
      <c r="I266" s="3"/>
      <c r="J266" s="3"/>
      <c r="K266" s="3"/>
      <c r="L266" s="3"/>
      <c r="M266" s="3"/>
      <c r="N266" s="3"/>
      <c r="O266" s="3"/>
      <c r="P266" s="3"/>
      <c r="Q266" s="3"/>
      <c r="R266" s="3"/>
    </row>
    <row r="267" spans="4:18" ht="13.5" customHeight="1">
      <c r="D267" s="4"/>
      <c r="E267" s="3"/>
      <c r="F267" s="3"/>
      <c r="G267" s="3"/>
      <c r="H267" s="3"/>
      <c r="I267" s="3"/>
      <c r="J267" s="3"/>
      <c r="K267" s="3"/>
      <c r="L267" s="3"/>
      <c r="M267" s="3"/>
      <c r="N267" s="3"/>
      <c r="O267" s="3"/>
      <c r="P267" s="3"/>
      <c r="Q267" s="3"/>
      <c r="R267" s="3"/>
    </row>
    <row r="268" spans="4:18" ht="13.5" customHeight="1">
      <c r="D268" s="4"/>
      <c r="E268" s="3"/>
      <c r="F268" s="3"/>
      <c r="G268" s="3"/>
      <c r="H268" s="3"/>
      <c r="I268" s="3"/>
      <c r="J268" s="3"/>
      <c r="K268" s="3"/>
      <c r="L268" s="3"/>
      <c r="M268" s="3"/>
      <c r="N268" s="3"/>
      <c r="O268" s="3"/>
      <c r="P268" s="3"/>
      <c r="Q268" s="3"/>
      <c r="R268" s="3"/>
    </row>
    <row r="269" spans="4:18" ht="13.5" customHeight="1">
      <c r="D269" s="4"/>
      <c r="E269" s="3"/>
      <c r="F269" s="3"/>
      <c r="G269" s="3"/>
      <c r="H269" s="3"/>
      <c r="I269" s="3"/>
      <c r="J269" s="3"/>
      <c r="K269" s="3"/>
      <c r="L269" s="3"/>
      <c r="M269" s="3"/>
      <c r="N269" s="3"/>
      <c r="O269" s="3"/>
      <c r="P269" s="3"/>
      <c r="Q269" s="3"/>
      <c r="R269" s="3"/>
    </row>
    <row r="270" spans="4:18" ht="13.5" customHeight="1">
      <c r="D270" s="4"/>
      <c r="E270" s="3"/>
      <c r="F270" s="3"/>
      <c r="G270" s="3"/>
      <c r="H270" s="3"/>
      <c r="I270" s="3"/>
      <c r="J270" s="3"/>
      <c r="K270" s="3"/>
      <c r="L270" s="3"/>
      <c r="M270" s="3"/>
      <c r="N270" s="3"/>
      <c r="O270" s="3"/>
      <c r="P270" s="3"/>
      <c r="Q270" s="3"/>
      <c r="R270" s="3"/>
    </row>
    <row r="271" spans="4:18" ht="13.5" customHeight="1">
      <c r="D271" s="4"/>
      <c r="E271" s="3"/>
      <c r="F271" s="3"/>
      <c r="G271" s="3"/>
      <c r="H271" s="3"/>
      <c r="I271" s="3"/>
      <c r="J271" s="3"/>
      <c r="K271" s="3"/>
      <c r="L271" s="3"/>
      <c r="M271" s="3"/>
      <c r="N271" s="3"/>
      <c r="O271" s="3"/>
      <c r="P271" s="3"/>
      <c r="Q271" s="3"/>
      <c r="R271" s="3"/>
    </row>
    <row r="272" spans="4:18" ht="13.5" customHeight="1">
      <c r="D272" s="4"/>
      <c r="E272" s="3"/>
      <c r="F272" s="3"/>
      <c r="G272" s="3"/>
      <c r="H272" s="3"/>
      <c r="I272" s="3"/>
      <c r="J272" s="3"/>
      <c r="K272" s="3"/>
      <c r="L272" s="3"/>
      <c r="M272" s="3"/>
      <c r="N272" s="3"/>
      <c r="O272" s="3"/>
      <c r="P272" s="3"/>
      <c r="Q272" s="3"/>
      <c r="R272" s="3"/>
    </row>
    <row r="273" spans="4:18" ht="13.5" customHeight="1">
      <c r="D273" s="4"/>
      <c r="E273" s="3"/>
      <c r="F273" s="3"/>
      <c r="G273" s="3"/>
      <c r="H273" s="3"/>
      <c r="I273" s="3"/>
      <c r="J273" s="3"/>
      <c r="K273" s="3"/>
      <c r="L273" s="3"/>
      <c r="M273" s="3"/>
      <c r="N273" s="3"/>
      <c r="O273" s="3"/>
      <c r="P273" s="3"/>
      <c r="Q273" s="3"/>
      <c r="R273" s="3"/>
    </row>
    <row r="274" spans="4:18" ht="13.5" customHeight="1">
      <c r="D274" s="4"/>
      <c r="E274" s="3"/>
      <c r="F274" s="3"/>
      <c r="G274" s="3"/>
      <c r="H274" s="3"/>
      <c r="I274" s="3"/>
      <c r="J274" s="3"/>
      <c r="K274" s="3"/>
      <c r="L274" s="3"/>
      <c r="M274" s="3"/>
      <c r="N274" s="3"/>
      <c r="O274" s="3"/>
      <c r="P274" s="3"/>
      <c r="Q274" s="3"/>
      <c r="R274" s="3"/>
    </row>
    <row r="275" spans="4:18" ht="13.5" customHeight="1">
      <c r="D275" s="4"/>
      <c r="E275" s="3"/>
      <c r="F275" s="3"/>
      <c r="G275" s="3"/>
      <c r="H275" s="3"/>
      <c r="I275" s="3"/>
      <c r="J275" s="3"/>
      <c r="K275" s="3"/>
      <c r="L275" s="3"/>
      <c r="M275" s="3"/>
      <c r="N275" s="3"/>
      <c r="O275" s="3"/>
      <c r="P275" s="3"/>
      <c r="Q275" s="3"/>
      <c r="R275" s="3"/>
    </row>
    <row r="276" spans="4:18" ht="13.5" customHeight="1">
      <c r="D276" s="4"/>
      <c r="E276" s="3"/>
      <c r="F276" s="3"/>
      <c r="G276" s="3"/>
      <c r="H276" s="3"/>
      <c r="I276" s="3"/>
      <c r="J276" s="3"/>
      <c r="K276" s="3"/>
      <c r="L276" s="3"/>
      <c r="M276" s="3"/>
      <c r="N276" s="3"/>
      <c r="O276" s="3"/>
      <c r="P276" s="3"/>
      <c r="Q276" s="3"/>
      <c r="R276" s="3"/>
    </row>
    <row r="277" spans="4:18" ht="13.5" customHeight="1">
      <c r="D277" s="4"/>
      <c r="E277" s="3"/>
      <c r="F277" s="3"/>
      <c r="G277" s="3"/>
      <c r="H277" s="3"/>
      <c r="I277" s="3"/>
      <c r="J277" s="3"/>
      <c r="K277" s="3"/>
      <c r="L277" s="3"/>
      <c r="M277" s="3"/>
      <c r="N277" s="3"/>
      <c r="O277" s="3"/>
      <c r="P277" s="3"/>
      <c r="Q277" s="3"/>
      <c r="R277" s="3"/>
    </row>
    <row r="278" spans="4:18" ht="13.5" customHeight="1">
      <c r="D278" s="4"/>
      <c r="E278" s="3"/>
      <c r="F278" s="3"/>
      <c r="G278" s="3"/>
      <c r="H278" s="3"/>
      <c r="I278" s="3"/>
      <c r="J278" s="3"/>
      <c r="K278" s="3"/>
      <c r="L278" s="3"/>
      <c r="M278" s="3"/>
      <c r="N278" s="3"/>
      <c r="O278" s="3"/>
      <c r="P278" s="3"/>
      <c r="Q278" s="3"/>
      <c r="R278" s="3"/>
    </row>
    <row r="279" spans="4:18" ht="13.5" customHeight="1">
      <c r="D279" s="4"/>
      <c r="E279" s="3"/>
      <c r="F279" s="3"/>
      <c r="G279" s="3"/>
      <c r="H279" s="3"/>
      <c r="I279" s="3"/>
      <c r="J279" s="3"/>
      <c r="K279" s="3"/>
      <c r="L279" s="3"/>
      <c r="M279" s="3"/>
      <c r="N279" s="3"/>
      <c r="O279" s="3"/>
      <c r="P279" s="3"/>
      <c r="Q279" s="3"/>
      <c r="R279" s="3"/>
    </row>
    <row r="280" spans="4:18" ht="13.5" customHeight="1">
      <c r="D280" s="4"/>
      <c r="E280" s="3"/>
      <c r="F280" s="3"/>
      <c r="G280" s="3"/>
      <c r="H280" s="3"/>
      <c r="I280" s="3"/>
      <c r="J280" s="3"/>
      <c r="K280" s="3"/>
      <c r="L280" s="3"/>
      <c r="M280" s="3"/>
      <c r="N280" s="3"/>
      <c r="O280" s="3"/>
      <c r="P280" s="3"/>
      <c r="Q280" s="3"/>
      <c r="R280" s="3"/>
    </row>
    <row r="281" spans="4:18" ht="13.5" customHeight="1">
      <c r="D281" s="4"/>
      <c r="E281" s="3"/>
      <c r="F281" s="3"/>
      <c r="G281" s="3"/>
      <c r="H281" s="3"/>
      <c r="I281" s="3"/>
      <c r="J281" s="3"/>
      <c r="K281" s="3"/>
      <c r="L281" s="3"/>
      <c r="M281" s="3"/>
      <c r="N281" s="3"/>
      <c r="O281" s="3"/>
      <c r="P281" s="3"/>
      <c r="Q281" s="3"/>
      <c r="R281" s="3"/>
    </row>
    <row r="282" spans="4:18" ht="13.5" customHeight="1">
      <c r="D282" s="4"/>
      <c r="E282" s="3"/>
      <c r="F282" s="3"/>
      <c r="G282" s="3"/>
      <c r="H282" s="3"/>
      <c r="I282" s="3"/>
      <c r="J282" s="3"/>
      <c r="K282" s="3"/>
      <c r="L282" s="3"/>
      <c r="M282" s="3"/>
      <c r="N282" s="3"/>
      <c r="O282" s="3"/>
      <c r="P282" s="3"/>
      <c r="Q282" s="3"/>
      <c r="R282" s="3"/>
    </row>
    <row r="283" spans="4:18" ht="13.5" customHeight="1">
      <c r="D283" s="4"/>
      <c r="E283" s="3"/>
      <c r="F283" s="3"/>
      <c r="G283" s="3"/>
      <c r="H283" s="3"/>
      <c r="I283" s="3"/>
      <c r="J283" s="3"/>
      <c r="K283" s="3"/>
      <c r="L283" s="3"/>
      <c r="M283" s="3"/>
      <c r="N283" s="3"/>
      <c r="O283" s="3"/>
      <c r="P283" s="3"/>
      <c r="Q283" s="3"/>
      <c r="R283" s="3"/>
    </row>
    <row r="284" spans="4:18" ht="13.5" customHeight="1">
      <c r="D284" s="4"/>
      <c r="E284" s="3"/>
      <c r="F284" s="3"/>
      <c r="G284" s="3"/>
      <c r="H284" s="3"/>
      <c r="I284" s="3"/>
      <c r="J284" s="3"/>
      <c r="K284" s="3"/>
      <c r="L284" s="3"/>
      <c r="M284" s="3"/>
      <c r="N284" s="3"/>
      <c r="O284" s="3"/>
      <c r="P284" s="3"/>
      <c r="Q284" s="3"/>
      <c r="R284" s="3"/>
    </row>
    <row r="285" spans="4:18" ht="13.5" customHeight="1">
      <c r="D285" s="4"/>
      <c r="E285" s="3"/>
      <c r="F285" s="3"/>
      <c r="G285" s="3"/>
      <c r="H285" s="3"/>
      <c r="I285" s="3"/>
      <c r="J285" s="3"/>
      <c r="K285" s="3"/>
      <c r="L285" s="3"/>
      <c r="M285" s="3"/>
      <c r="N285" s="3"/>
      <c r="O285" s="3"/>
      <c r="P285" s="3"/>
      <c r="Q285" s="3"/>
      <c r="R285" s="3"/>
    </row>
    <row r="286" spans="4:18" ht="13.5" customHeight="1">
      <c r="D286" s="4"/>
      <c r="E286" s="3"/>
      <c r="F286" s="3"/>
      <c r="G286" s="3"/>
      <c r="H286" s="3"/>
      <c r="I286" s="3"/>
      <c r="J286" s="3"/>
      <c r="K286" s="3"/>
      <c r="L286" s="3"/>
      <c r="M286" s="3"/>
      <c r="N286" s="3"/>
      <c r="O286" s="3"/>
      <c r="P286" s="3"/>
      <c r="Q286" s="3"/>
      <c r="R286" s="3"/>
    </row>
    <row r="287" spans="4:18" ht="13.5" customHeight="1">
      <c r="D287" s="4"/>
      <c r="E287" s="3"/>
      <c r="F287" s="3"/>
      <c r="G287" s="3"/>
      <c r="H287" s="3"/>
      <c r="I287" s="3"/>
      <c r="J287" s="3"/>
      <c r="K287" s="3"/>
      <c r="L287" s="3"/>
      <c r="M287" s="3"/>
      <c r="N287" s="3"/>
      <c r="O287" s="3"/>
      <c r="P287" s="3"/>
      <c r="Q287" s="3"/>
      <c r="R287" s="3"/>
    </row>
    <row r="288" spans="4:18" ht="13.5" customHeight="1">
      <c r="D288" s="4"/>
      <c r="E288" s="3"/>
      <c r="F288" s="3"/>
      <c r="G288" s="3"/>
      <c r="H288" s="3"/>
      <c r="I288" s="3"/>
      <c r="J288" s="3"/>
      <c r="K288" s="3"/>
      <c r="L288" s="3"/>
      <c r="M288" s="3"/>
      <c r="N288" s="3"/>
      <c r="O288" s="3"/>
      <c r="P288" s="3"/>
      <c r="Q288" s="3"/>
      <c r="R288" s="3"/>
    </row>
    <row r="289" spans="4:18" ht="13.5" customHeight="1">
      <c r="D289" s="4"/>
      <c r="E289" s="3"/>
      <c r="F289" s="3"/>
      <c r="G289" s="3"/>
      <c r="H289" s="3"/>
      <c r="I289" s="3"/>
      <c r="J289" s="3"/>
      <c r="K289" s="3"/>
      <c r="L289" s="3"/>
      <c r="M289" s="3"/>
      <c r="N289" s="3"/>
      <c r="O289" s="3"/>
      <c r="P289" s="3"/>
      <c r="Q289" s="3"/>
      <c r="R289" s="3"/>
    </row>
    <row r="290" spans="4:18" ht="13.5" customHeight="1">
      <c r="D290" s="4"/>
      <c r="E290" s="3"/>
      <c r="F290" s="3"/>
      <c r="G290" s="3"/>
      <c r="H290" s="3"/>
      <c r="I290" s="3"/>
      <c r="J290" s="3"/>
      <c r="K290" s="3"/>
      <c r="L290" s="3"/>
      <c r="M290" s="3"/>
      <c r="N290" s="3"/>
      <c r="O290" s="3"/>
      <c r="P290" s="3"/>
      <c r="Q290" s="3"/>
      <c r="R290" s="3"/>
    </row>
    <row r="291" spans="4:18" ht="13.5" customHeight="1">
      <c r="D291" s="4"/>
      <c r="E291" s="3"/>
      <c r="F291" s="3"/>
      <c r="G291" s="3"/>
      <c r="H291" s="3"/>
      <c r="I291" s="3"/>
      <c r="J291" s="3"/>
      <c r="K291" s="3"/>
      <c r="L291" s="3"/>
      <c r="M291" s="3"/>
      <c r="N291" s="3"/>
      <c r="O291" s="3"/>
      <c r="P291" s="3"/>
      <c r="Q291" s="3"/>
      <c r="R291" s="3"/>
    </row>
    <row r="292" spans="4:18" ht="13.5" customHeight="1">
      <c r="D292" s="4"/>
      <c r="E292" s="3"/>
      <c r="F292" s="3"/>
      <c r="G292" s="3"/>
      <c r="H292" s="3"/>
      <c r="I292" s="3"/>
      <c r="J292" s="3"/>
      <c r="K292" s="3"/>
      <c r="L292" s="3"/>
      <c r="M292" s="3"/>
      <c r="N292" s="3"/>
      <c r="O292" s="3"/>
      <c r="P292" s="3"/>
      <c r="Q292" s="3"/>
      <c r="R292" s="3"/>
    </row>
    <row r="293" spans="4:18" ht="13.5" customHeight="1">
      <c r="D293" s="4"/>
      <c r="E293" s="3"/>
      <c r="F293" s="3"/>
      <c r="G293" s="3"/>
      <c r="H293" s="3"/>
      <c r="I293" s="3"/>
      <c r="J293" s="3"/>
      <c r="K293" s="3"/>
      <c r="L293" s="3"/>
      <c r="M293" s="3"/>
      <c r="N293" s="3"/>
      <c r="O293" s="3"/>
      <c r="P293" s="3"/>
      <c r="Q293" s="3"/>
      <c r="R293" s="3"/>
    </row>
    <row r="294" spans="4:18" ht="13.5" customHeight="1">
      <c r="D294" s="4"/>
      <c r="E294" s="3"/>
      <c r="F294" s="3"/>
      <c r="G294" s="3"/>
      <c r="H294" s="3"/>
      <c r="I294" s="3"/>
      <c r="J294" s="3"/>
      <c r="K294" s="3"/>
      <c r="L294" s="3"/>
      <c r="M294" s="3"/>
      <c r="N294" s="3"/>
      <c r="O294" s="3"/>
      <c r="P294" s="3"/>
      <c r="Q294" s="3"/>
      <c r="R294" s="3"/>
    </row>
    <row r="295" spans="4:18" ht="13.5" customHeight="1">
      <c r="D295" s="4"/>
      <c r="E295" s="3"/>
      <c r="F295" s="3"/>
      <c r="G295" s="3"/>
      <c r="H295" s="3"/>
      <c r="I295" s="3"/>
      <c r="J295" s="3"/>
      <c r="K295" s="3"/>
      <c r="L295" s="3"/>
      <c r="M295" s="3"/>
      <c r="N295" s="3"/>
      <c r="O295" s="3"/>
      <c r="P295" s="3"/>
      <c r="Q295" s="3"/>
      <c r="R295" s="3"/>
    </row>
    <row r="296" spans="4:18" ht="13.5" customHeight="1">
      <c r="D296" s="4"/>
      <c r="E296" s="3"/>
      <c r="F296" s="3"/>
      <c r="G296" s="3"/>
      <c r="H296" s="3"/>
      <c r="I296" s="3"/>
      <c r="J296" s="3"/>
      <c r="K296" s="3"/>
      <c r="L296" s="3"/>
      <c r="M296" s="3"/>
      <c r="N296" s="3"/>
      <c r="O296" s="3"/>
      <c r="P296" s="3"/>
      <c r="Q296" s="3"/>
      <c r="R296" s="3"/>
    </row>
    <row r="297" spans="4:18" ht="13.5" customHeight="1">
      <c r="D297" s="4"/>
      <c r="E297" s="3"/>
      <c r="F297" s="3"/>
      <c r="G297" s="3"/>
      <c r="H297" s="3"/>
      <c r="I297" s="3"/>
      <c r="J297" s="3"/>
      <c r="K297" s="3"/>
      <c r="L297" s="3"/>
      <c r="M297" s="3"/>
      <c r="N297" s="3"/>
      <c r="O297" s="3"/>
      <c r="P297" s="3"/>
      <c r="Q297" s="3"/>
      <c r="R297" s="3"/>
    </row>
    <row r="298" spans="4:18" ht="13.5" customHeight="1">
      <c r="D298" s="4"/>
      <c r="E298" s="3"/>
      <c r="F298" s="3"/>
      <c r="G298" s="3"/>
      <c r="H298" s="3"/>
      <c r="I298" s="3"/>
      <c r="J298" s="3"/>
      <c r="K298" s="3"/>
      <c r="L298" s="3"/>
      <c r="M298" s="3"/>
      <c r="N298" s="3"/>
      <c r="O298" s="3"/>
      <c r="P298" s="3"/>
      <c r="Q298" s="3"/>
      <c r="R298" s="3"/>
    </row>
    <row r="299" spans="4:18" ht="13.5" customHeight="1">
      <c r="D299" s="4"/>
      <c r="E299" s="3"/>
      <c r="F299" s="3"/>
      <c r="G299" s="3"/>
      <c r="H299" s="3"/>
      <c r="I299" s="3"/>
      <c r="J299" s="3"/>
      <c r="K299" s="3"/>
      <c r="L299" s="3"/>
      <c r="M299" s="3"/>
      <c r="N299" s="3"/>
      <c r="O299" s="3"/>
      <c r="P299" s="3"/>
      <c r="Q299" s="3"/>
      <c r="R299" s="3"/>
    </row>
    <row r="300" spans="4:18" ht="13.5" customHeight="1">
      <c r="D300" s="4"/>
      <c r="E300" s="3"/>
      <c r="F300" s="3"/>
      <c r="G300" s="3"/>
      <c r="H300" s="3"/>
      <c r="I300" s="3"/>
      <c r="J300" s="3"/>
      <c r="K300" s="3"/>
      <c r="L300" s="3"/>
      <c r="M300" s="3"/>
      <c r="N300" s="3"/>
      <c r="O300" s="3"/>
      <c r="P300" s="3"/>
      <c r="Q300" s="3"/>
      <c r="R300" s="3"/>
    </row>
    <row r="301" spans="4:18" ht="13.5" customHeight="1">
      <c r="D301" s="4"/>
      <c r="E301" s="3"/>
      <c r="F301" s="3"/>
      <c r="G301" s="3"/>
      <c r="H301" s="3"/>
      <c r="I301" s="3"/>
      <c r="J301" s="3"/>
      <c r="K301" s="3"/>
      <c r="L301" s="3"/>
      <c r="M301" s="3"/>
      <c r="N301" s="3"/>
      <c r="O301" s="3"/>
      <c r="P301" s="3"/>
      <c r="Q301" s="3"/>
      <c r="R301" s="3"/>
    </row>
    <row r="302" spans="4:18" ht="13.5" customHeight="1">
      <c r="D302" s="4"/>
      <c r="E302" s="3"/>
      <c r="F302" s="3"/>
      <c r="G302" s="3"/>
      <c r="H302" s="3"/>
      <c r="I302" s="3"/>
      <c r="J302" s="3"/>
      <c r="K302" s="3"/>
      <c r="L302" s="3"/>
      <c r="M302" s="3"/>
      <c r="N302" s="3"/>
      <c r="O302" s="3"/>
      <c r="P302" s="3"/>
      <c r="Q302" s="3"/>
      <c r="R302" s="3"/>
    </row>
    <row r="303" spans="4:18" ht="13.5" customHeight="1">
      <c r="D303" s="4"/>
      <c r="E303" s="3"/>
      <c r="F303" s="3"/>
      <c r="G303" s="3"/>
      <c r="H303" s="3"/>
      <c r="I303" s="3"/>
      <c r="J303" s="3"/>
      <c r="K303" s="3"/>
      <c r="L303" s="3"/>
      <c r="M303" s="3"/>
      <c r="N303" s="3"/>
      <c r="O303" s="3"/>
      <c r="P303" s="3"/>
      <c r="Q303" s="3"/>
      <c r="R303" s="3"/>
    </row>
    <row r="304" spans="4:18" ht="13.5" customHeight="1">
      <c r="D304" s="4"/>
      <c r="E304" s="3"/>
      <c r="F304" s="3"/>
      <c r="G304" s="3"/>
      <c r="H304" s="3"/>
      <c r="I304" s="3"/>
      <c r="J304" s="3"/>
      <c r="K304" s="3"/>
      <c r="L304" s="3"/>
      <c r="M304" s="3"/>
      <c r="N304" s="3"/>
      <c r="O304" s="3"/>
      <c r="P304" s="3"/>
      <c r="Q304" s="3"/>
      <c r="R304" s="3"/>
    </row>
    <row r="305" spans="4:18" ht="13.5" customHeight="1">
      <c r="D305" s="4"/>
      <c r="E305" s="3"/>
      <c r="F305" s="3"/>
      <c r="G305" s="3"/>
      <c r="H305" s="3"/>
      <c r="I305" s="3"/>
      <c r="J305" s="3"/>
      <c r="K305" s="3"/>
      <c r="L305" s="3"/>
      <c r="M305" s="3"/>
      <c r="N305" s="3"/>
      <c r="O305" s="3"/>
      <c r="P305" s="3"/>
      <c r="Q305" s="3"/>
      <c r="R305" s="3"/>
    </row>
    <row r="306" spans="4:18" ht="13.5" customHeight="1">
      <c r="D306" s="4"/>
      <c r="E306" s="3"/>
      <c r="F306" s="3"/>
      <c r="G306" s="3"/>
      <c r="H306" s="3"/>
      <c r="I306" s="3"/>
      <c r="J306" s="3"/>
      <c r="K306" s="3"/>
      <c r="L306" s="3"/>
      <c r="M306" s="3"/>
      <c r="N306" s="3"/>
      <c r="O306" s="3"/>
      <c r="P306" s="3"/>
      <c r="Q306" s="3"/>
      <c r="R306" s="3"/>
    </row>
    <row r="307" spans="4:18" ht="13.5" customHeight="1">
      <c r="D307" s="4"/>
      <c r="E307" s="3"/>
      <c r="F307" s="3"/>
      <c r="G307" s="3"/>
      <c r="H307" s="3"/>
      <c r="I307" s="3"/>
      <c r="J307" s="3"/>
      <c r="K307" s="3"/>
      <c r="L307" s="3"/>
      <c r="M307" s="3"/>
      <c r="N307" s="3"/>
      <c r="O307" s="3"/>
      <c r="P307" s="3"/>
      <c r="Q307" s="3"/>
      <c r="R307" s="3"/>
    </row>
    <row r="308" spans="4:18" ht="13.5" customHeight="1">
      <c r="D308" s="4"/>
      <c r="E308" s="3"/>
      <c r="F308" s="3"/>
      <c r="G308" s="3"/>
      <c r="H308" s="3"/>
      <c r="I308" s="3"/>
      <c r="J308" s="3"/>
      <c r="K308" s="3"/>
      <c r="L308" s="3"/>
      <c r="M308" s="3"/>
      <c r="N308" s="3"/>
      <c r="O308" s="3"/>
      <c r="P308" s="3"/>
      <c r="Q308" s="3"/>
      <c r="R308" s="3"/>
    </row>
    <row r="309" spans="4:18" ht="13.5" customHeight="1">
      <c r="D309" s="4"/>
      <c r="E309" s="3"/>
      <c r="F309" s="3"/>
      <c r="G309" s="3"/>
      <c r="H309" s="3"/>
      <c r="I309" s="3"/>
      <c r="J309" s="3"/>
      <c r="K309" s="3"/>
      <c r="L309" s="3"/>
      <c r="M309" s="3"/>
      <c r="N309" s="3"/>
      <c r="O309" s="3"/>
      <c r="P309" s="3"/>
      <c r="Q309" s="3"/>
      <c r="R309" s="3"/>
    </row>
    <row r="310" spans="4:18" ht="13.5" customHeight="1">
      <c r="D310" s="4"/>
      <c r="E310" s="3"/>
      <c r="F310" s="3"/>
      <c r="G310" s="3"/>
      <c r="H310" s="3"/>
      <c r="I310" s="3"/>
      <c r="J310" s="3"/>
      <c r="K310" s="3"/>
      <c r="L310" s="3"/>
      <c r="M310" s="3"/>
      <c r="N310" s="3"/>
      <c r="O310" s="3"/>
      <c r="P310" s="3"/>
      <c r="Q310" s="3"/>
      <c r="R310" s="3"/>
    </row>
    <row r="311" spans="4:18" ht="13.5" customHeight="1">
      <c r="D311" s="4"/>
      <c r="E311" s="3"/>
      <c r="F311" s="3"/>
      <c r="G311" s="3"/>
      <c r="H311" s="3"/>
      <c r="I311" s="3"/>
      <c r="J311" s="3"/>
      <c r="K311" s="3"/>
      <c r="L311" s="3"/>
      <c r="M311" s="3"/>
      <c r="N311" s="3"/>
      <c r="O311" s="3"/>
      <c r="P311" s="3"/>
      <c r="Q311" s="3"/>
      <c r="R311" s="3"/>
    </row>
    <row r="312" spans="4:18" ht="13.5" customHeight="1">
      <c r="D312" s="4"/>
      <c r="E312" s="3"/>
      <c r="F312" s="3"/>
      <c r="G312" s="3"/>
      <c r="H312" s="3"/>
      <c r="I312" s="3"/>
      <c r="J312" s="3"/>
      <c r="K312" s="3"/>
      <c r="L312" s="3"/>
      <c r="M312" s="3"/>
      <c r="N312" s="3"/>
      <c r="O312" s="3"/>
      <c r="P312" s="3"/>
      <c r="Q312" s="3"/>
      <c r="R312" s="3"/>
    </row>
    <row r="313" spans="4:18" ht="13.5" customHeight="1">
      <c r="D313" s="4"/>
      <c r="E313" s="3"/>
      <c r="F313" s="3"/>
      <c r="G313" s="3"/>
      <c r="H313" s="3"/>
      <c r="I313" s="3"/>
      <c r="J313" s="3"/>
      <c r="K313" s="3"/>
      <c r="L313" s="3"/>
      <c r="M313" s="3"/>
      <c r="N313" s="3"/>
      <c r="O313" s="3"/>
      <c r="P313" s="3"/>
      <c r="Q313" s="3"/>
      <c r="R313" s="3"/>
    </row>
    <row r="314" spans="4:18" ht="13.5" customHeight="1">
      <c r="D314" s="4"/>
      <c r="E314" s="3"/>
      <c r="F314" s="3"/>
      <c r="G314" s="3"/>
      <c r="H314" s="3"/>
      <c r="I314" s="3"/>
      <c r="J314" s="3"/>
      <c r="K314" s="3"/>
      <c r="L314" s="3"/>
      <c r="M314" s="3"/>
      <c r="N314" s="3"/>
      <c r="O314" s="3"/>
      <c r="P314" s="3"/>
      <c r="Q314" s="3"/>
      <c r="R314" s="3"/>
    </row>
    <row r="315" spans="4:18" ht="13.5" customHeight="1">
      <c r="D315" s="4"/>
      <c r="E315" s="3"/>
      <c r="F315" s="3"/>
      <c r="G315" s="3"/>
      <c r="H315" s="3"/>
      <c r="I315" s="3"/>
      <c r="J315" s="3"/>
      <c r="K315" s="3"/>
      <c r="L315" s="3"/>
      <c r="M315" s="3"/>
      <c r="N315" s="3"/>
      <c r="O315" s="3"/>
      <c r="P315" s="3"/>
      <c r="Q315" s="3"/>
      <c r="R315" s="3"/>
    </row>
    <row r="316" spans="4:18" ht="13.5" customHeight="1">
      <c r="D316" s="4"/>
      <c r="E316" s="3"/>
      <c r="F316" s="3"/>
      <c r="G316" s="3"/>
      <c r="H316" s="3"/>
      <c r="I316" s="3"/>
      <c r="J316" s="3"/>
      <c r="K316" s="3"/>
      <c r="L316" s="3"/>
      <c r="M316" s="3"/>
      <c r="N316" s="3"/>
      <c r="O316" s="3"/>
      <c r="P316" s="3"/>
      <c r="Q316" s="3"/>
      <c r="R316" s="3"/>
    </row>
    <row r="317" spans="4:18" ht="13.5" customHeight="1">
      <c r="D317" s="4"/>
      <c r="E317" s="3"/>
      <c r="F317" s="3"/>
      <c r="G317" s="3"/>
      <c r="H317" s="3"/>
      <c r="I317" s="3"/>
      <c r="J317" s="3"/>
      <c r="K317" s="3"/>
      <c r="L317" s="3"/>
      <c r="M317" s="3"/>
      <c r="N317" s="3"/>
      <c r="O317" s="3"/>
      <c r="P317" s="3"/>
      <c r="Q317" s="3"/>
      <c r="R317" s="3"/>
    </row>
    <row r="318" spans="4:18" ht="13.5" customHeight="1">
      <c r="D318" s="4"/>
      <c r="E318" s="3"/>
      <c r="F318" s="3"/>
      <c r="G318" s="3"/>
      <c r="H318" s="3"/>
      <c r="I318" s="3"/>
      <c r="J318" s="3"/>
      <c r="K318" s="3"/>
      <c r="L318" s="3"/>
      <c r="M318" s="3"/>
      <c r="N318" s="3"/>
      <c r="O318" s="3"/>
      <c r="P318" s="3"/>
      <c r="Q318" s="3"/>
      <c r="R318" s="3"/>
    </row>
    <row r="319" spans="4:18" ht="13.5" customHeight="1">
      <c r="D319" s="4"/>
      <c r="E319" s="3"/>
      <c r="F319" s="3"/>
      <c r="G319" s="3"/>
      <c r="H319" s="3"/>
      <c r="I319" s="3"/>
      <c r="J319" s="3"/>
      <c r="K319" s="3"/>
      <c r="L319" s="3"/>
      <c r="M319" s="3"/>
      <c r="N319" s="3"/>
      <c r="O319" s="3"/>
      <c r="P319" s="3"/>
      <c r="Q319" s="3"/>
      <c r="R319" s="3"/>
    </row>
    <row r="320" spans="4:18" ht="13.5" customHeight="1">
      <c r="D320" s="4"/>
      <c r="E320" s="3"/>
      <c r="F320" s="3"/>
      <c r="G320" s="3"/>
      <c r="H320" s="3"/>
      <c r="I320" s="3"/>
      <c r="J320" s="3"/>
      <c r="K320" s="3"/>
      <c r="L320" s="3"/>
      <c r="M320" s="3"/>
      <c r="N320" s="3"/>
      <c r="O320" s="3"/>
      <c r="P320" s="3"/>
      <c r="Q320" s="3"/>
      <c r="R320" s="3"/>
    </row>
    <row r="321" spans="4:18" ht="13.5" customHeight="1">
      <c r="D321" s="4"/>
      <c r="E321" s="3"/>
      <c r="F321" s="3"/>
      <c r="G321" s="3"/>
      <c r="H321" s="3"/>
      <c r="I321" s="3"/>
      <c r="J321" s="3"/>
      <c r="K321" s="3"/>
      <c r="L321" s="3"/>
      <c r="M321" s="3"/>
      <c r="N321" s="3"/>
      <c r="O321" s="3"/>
      <c r="P321" s="3"/>
      <c r="Q321" s="3"/>
      <c r="R321" s="3"/>
    </row>
    <row r="322" spans="4:18" ht="13.5" customHeight="1">
      <c r="D322" s="4"/>
      <c r="E322" s="3"/>
      <c r="F322" s="3"/>
      <c r="G322" s="3"/>
      <c r="H322" s="3"/>
      <c r="I322" s="3"/>
      <c r="J322" s="3"/>
      <c r="K322" s="3"/>
      <c r="L322" s="3"/>
      <c r="M322" s="3"/>
      <c r="N322" s="3"/>
      <c r="O322" s="3"/>
      <c r="P322" s="3"/>
      <c r="Q322" s="3"/>
      <c r="R322" s="3"/>
    </row>
    <row r="323" spans="4:18" ht="13.5" customHeight="1">
      <c r="D323" s="4"/>
      <c r="E323" s="3"/>
      <c r="F323" s="3"/>
      <c r="G323" s="3"/>
      <c r="H323" s="3"/>
      <c r="I323" s="3"/>
      <c r="J323" s="3"/>
      <c r="K323" s="3"/>
      <c r="L323" s="3"/>
      <c r="M323" s="3"/>
      <c r="N323" s="3"/>
      <c r="O323" s="3"/>
      <c r="P323" s="3"/>
      <c r="Q323" s="3"/>
      <c r="R323" s="3"/>
    </row>
    <row r="324" spans="4:18" ht="13.5" customHeight="1">
      <c r="D324" s="4"/>
      <c r="E324" s="3"/>
      <c r="F324" s="3"/>
      <c r="G324" s="3"/>
      <c r="H324" s="3"/>
      <c r="I324" s="3"/>
      <c r="J324" s="3"/>
      <c r="K324" s="3"/>
      <c r="L324" s="3"/>
      <c r="M324" s="3"/>
      <c r="N324" s="3"/>
      <c r="O324" s="3"/>
      <c r="P324" s="3"/>
      <c r="Q324" s="3"/>
      <c r="R324" s="3"/>
    </row>
    <row r="325" spans="4:18" ht="13.5" customHeight="1">
      <c r="D325" s="4"/>
      <c r="E325" s="3"/>
      <c r="F325" s="3"/>
      <c r="G325" s="3"/>
      <c r="H325" s="3"/>
      <c r="I325" s="3"/>
      <c r="J325" s="3"/>
      <c r="K325" s="3"/>
      <c r="L325" s="3"/>
      <c r="M325" s="3"/>
      <c r="N325" s="3"/>
      <c r="O325" s="3"/>
      <c r="P325" s="3"/>
      <c r="Q325" s="3"/>
      <c r="R325" s="3"/>
    </row>
    <row r="326" spans="4:18" ht="13.5" customHeight="1">
      <c r="D326" s="4"/>
      <c r="E326" s="3"/>
      <c r="F326" s="3"/>
      <c r="G326" s="3"/>
      <c r="H326" s="3"/>
      <c r="I326" s="3"/>
      <c r="J326" s="3"/>
      <c r="K326" s="3"/>
      <c r="L326" s="3"/>
      <c r="M326" s="3"/>
      <c r="N326" s="3"/>
      <c r="O326" s="3"/>
      <c r="P326" s="3"/>
      <c r="Q326" s="3"/>
      <c r="R326" s="3"/>
    </row>
    <row r="327" spans="4:18" ht="13.5" customHeight="1">
      <c r="D327" s="4"/>
      <c r="E327" s="3"/>
      <c r="F327" s="3"/>
      <c r="G327" s="3"/>
      <c r="H327" s="3"/>
      <c r="I327" s="3"/>
      <c r="J327" s="3"/>
      <c r="K327" s="3"/>
      <c r="L327" s="3"/>
      <c r="M327" s="3"/>
      <c r="N327" s="3"/>
      <c r="O327" s="3"/>
      <c r="P327" s="3"/>
      <c r="Q327" s="3"/>
      <c r="R327" s="3"/>
    </row>
    <row r="328" spans="4:18" ht="13.5" customHeight="1">
      <c r="D328" s="4"/>
      <c r="E328" s="3"/>
      <c r="F328" s="3"/>
      <c r="G328" s="3"/>
      <c r="H328" s="3"/>
      <c r="I328" s="3"/>
      <c r="J328" s="3"/>
      <c r="K328" s="3"/>
      <c r="L328" s="3"/>
      <c r="M328" s="3"/>
      <c r="N328" s="3"/>
      <c r="O328" s="3"/>
      <c r="P328" s="3"/>
      <c r="Q328" s="3"/>
      <c r="R328" s="3"/>
    </row>
    <row r="329" spans="4:18" ht="13.5" customHeight="1">
      <c r="D329" s="4"/>
      <c r="E329" s="3"/>
      <c r="F329" s="3"/>
      <c r="G329" s="3"/>
      <c r="H329" s="3"/>
      <c r="I329" s="3"/>
      <c r="J329" s="3"/>
      <c r="K329" s="3"/>
      <c r="L329" s="3"/>
      <c r="M329" s="3"/>
      <c r="N329" s="3"/>
      <c r="O329" s="3"/>
      <c r="P329" s="3"/>
      <c r="Q329" s="3"/>
      <c r="R329" s="3"/>
    </row>
    <row r="330" spans="4:18" ht="13.5" customHeight="1">
      <c r="D330" s="4"/>
      <c r="E330" s="3"/>
      <c r="F330" s="3"/>
      <c r="G330" s="3"/>
      <c r="H330" s="3"/>
      <c r="I330" s="3"/>
      <c r="J330" s="3"/>
      <c r="K330" s="3"/>
      <c r="L330" s="3"/>
      <c r="M330" s="3"/>
      <c r="N330" s="3"/>
      <c r="O330" s="3"/>
      <c r="P330" s="3"/>
      <c r="Q330" s="3"/>
      <c r="R330" s="3"/>
    </row>
    <row r="331" spans="4:18" ht="13.5" customHeight="1">
      <c r="D331" s="4"/>
      <c r="E331" s="3"/>
      <c r="F331" s="3"/>
      <c r="G331" s="3"/>
      <c r="H331" s="3"/>
      <c r="I331" s="3"/>
      <c r="J331" s="3"/>
      <c r="K331" s="3"/>
      <c r="L331" s="3"/>
      <c r="M331" s="3"/>
      <c r="N331" s="3"/>
      <c r="O331" s="3"/>
      <c r="P331" s="3"/>
      <c r="Q331" s="3"/>
      <c r="R331" s="3"/>
    </row>
    <row r="332" spans="4:18" ht="13.5" customHeight="1">
      <c r="D332" s="4"/>
      <c r="E332" s="3"/>
      <c r="F332" s="3"/>
      <c r="G332" s="3"/>
      <c r="H332" s="3"/>
      <c r="I332" s="3"/>
      <c r="J332" s="3"/>
      <c r="K332" s="3"/>
      <c r="L332" s="3"/>
      <c r="M332" s="3"/>
      <c r="N332" s="3"/>
      <c r="O332" s="3"/>
      <c r="P332" s="3"/>
      <c r="Q332" s="3"/>
      <c r="R332" s="3"/>
    </row>
    <row r="333" spans="4:18" ht="13.5" customHeight="1">
      <c r="D333" s="4"/>
      <c r="E333" s="3"/>
      <c r="F333" s="3"/>
      <c r="G333" s="3"/>
      <c r="H333" s="3"/>
      <c r="I333" s="3"/>
      <c r="J333" s="3"/>
      <c r="K333" s="3"/>
      <c r="L333" s="3"/>
      <c r="M333" s="3"/>
      <c r="N333" s="3"/>
      <c r="O333" s="3"/>
      <c r="P333" s="3"/>
      <c r="Q333" s="3"/>
      <c r="R333" s="3"/>
    </row>
    <row r="334" spans="4:18" ht="13.5" customHeight="1">
      <c r="D334" s="4"/>
      <c r="E334" s="3"/>
      <c r="F334" s="3"/>
      <c r="G334" s="3"/>
      <c r="H334" s="3"/>
      <c r="I334" s="3"/>
      <c r="J334" s="3"/>
      <c r="K334" s="3"/>
      <c r="L334" s="3"/>
      <c r="M334" s="3"/>
      <c r="N334" s="3"/>
      <c r="O334" s="3"/>
      <c r="P334" s="3"/>
      <c r="Q334" s="3"/>
      <c r="R334" s="3"/>
    </row>
    <row r="335" spans="4:18" ht="13.5" customHeight="1">
      <c r="D335" s="4"/>
      <c r="E335" s="3"/>
      <c r="F335" s="3"/>
      <c r="G335" s="3"/>
      <c r="H335" s="3"/>
      <c r="I335" s="3"/>
      <c r="J335" s="3"/>
      <c r="K335" s="3"/>
      <c r="L335" s="3"/>
      <c r="M335" s="3"/>
      <c r="N335" s="3"/>
      <c r="O335" s="3"/>
      <c r="P335" s="3"/>
      <c r="Q335" s="3"/>
      <c r="R335" s="3"/>
    </row>
    <row r="336" spans="4:18" ht="13.5" customHeight="1">
      <c r="D336" s="4"/>
      <c r="E336" s="3"/>
      <c r="F336" s="3"/>
      <c r="G336" s="3"/>
      <c r="H336" s="3"/>
      <c r="I336" s="3"/>
      <c r="J336" s="3"/>
      <c r="K336" s="3"/>
      <c r="L336" s="3"/>
      <c r="M336" s="3"/>
      <c r="N336" s="3"/>
      <c r="O336" s="3"/>
      <c r="P336" s="3"/>
      <c r="Q336" s="3"/>
      <c r="R336" s="3"/>
    </row>
    <row r="337" spans="4:18" ht="13.5" customHeight="1">
      <c r="D337" s="4"/>
      <c r="E337" s="3"/>
      <c r="F337" s="3"/>
      <c r="G337" s="3"/>
      <c r="H337" s="3"/>
      <c r="I337" s="3"/>
      <c r="J337" s="3"/>
      <c r="K337" s="3"/>
      <c r="L337" s="3"/>
      <c r="M337" s="3"/>
      <c r="N337" s="3"/>
      <c r="O337" s="3"/>
      <c r="P337" s="3"/>
      <c r="Q337" s="3"/>
      <c r="R337" s="3"/>
    </row>
    <row r="338" spans="4:18" ht="13.5" customHeight="1">
      <c r="D338" s="4"/>
      <c r="E338" s="3"/>
      <c r="F338" s="3"/>
      <c r="G338" s="3"/>
      <c r="H338" s="3"/>
      <c r="I338" s="3"/>
      <c r="J338" s="3"/>
      <c r="K338" s="3"/>
      <c r="L338" s="3"/>
      <c r="M338" s="3"/>
      <c r="N338" s="3"/>
      <c r="O338" s="3"/>
      <c r="P338" s="3"/>
      <c r="Q338" s="3"/>
      <c r="R338" s="3"/>
    </row>
    <row r="339" spans="4:18" ht="13.5" customHeight="1">
      <c r="D339" s="4"/>
      <c r="E339" s="3"/>
      <c r="F339" s="3"/>
      <c r="G339" s="3"/>
      <c r="H339" s="3"/>
      <c r="I339" s="3"/>
      <c r="J339" s="3"/>
      <c r="K339" s="3"/>
      <c r="L339" s="3"/>
      <c r="M339" s="3"/>
      <c r="N339" s="3"/>
      <c r="O339" s="3"/>
      <c r="P339" s="3"/>
      <c r="Q339" s="3"/>
      <c r="R339" s="3"/>
    </row>
    <row r="340" spans="4:18" ht="13.5" customHeight="1">
      <c r="D340" s="4"/>
      <c r="E340" s="3"/>
      <c r="F340" s="3"/>
      <c r="G340" s="3"/>
      <c r="H340" s="3"/>
      <c r="I340" s="3"/>
      <c r="J340" s="3"/>
      <c r="K340" s="3"/>
      <c r="L340" s="3"/>
      <c r="M340" s="3"/>
      <c r="N340" s="3"/>
      <c r="O340" s="3"/>
      <c r="P340" s="3"/>
      <c r="Q340" s="3"/>
      <c r="R340" s="3"/>
    </row>
    <row r="341" spans="4:18" ht="13.5" customHeight="1">
      <c r="D341" s="4"/>
      <c r="E341" s="3"/>
      <c r="F341" s="3"/>
      <c r="G341" s="3"/>
      <c r="H341" s="3"/>
      <c r="I341" s="3"/>
      <c r="J341" s="3"/>
      <c r="K341" s="3"/>
      <c r="L341" s="3"/>
      <c r="M341" s="3"/>
      <c r="N341" s="3"/>
      <c r="O341" s="3"/>
      <c r="P341" s="3"/>
      <c r="Q341" s="3"/>
      <c r="R341" s="3"/>
    </row>
    <row r="342" spans="4:18" ht="13.5" customHeight="1">
      <c r="D342" s="4"/>
      <c r="E342" s="3"/>
      <c r="F342" s="3"/>
      <c r="G342" s="3"/>
      <c r="H342" s="3"/>
      <c r="I342" s="3"/>
      <c r="J342" s="3"/>
      <c r="K342" s="3"/>
      <c r="L342" s="3"/>
      <c r="M342" s="3"/>
      <c r="N342" s="3"/>
      <c r="O342" s="3"/>
      <c r="P342" s="3"/>
      <c r="Q342" s="3"/>
      <c r="R342" s="3"/>
    </row>
    <row r="343" spans="4:18" ht="13.5" customHeight="1">
      <c r="D343" s="4"/>
      <c r="E343" s="3"/>
      <c r="F343" s="3"/>
      <c r="G343" s="3"/>
      <c r="H343" s="3"/>
      <c r="I343" s="3"/>
      <c r="J343" s="3"/>
      <c r="K343" s="3"/>
      <c r="L343" s="3"/>
      <c r="M343" s="3"/>
      <c r="N343" s="3"/>
      <c r="O343" s="3"/>
      <c r="P343" s="3"/>
      <c r="Q343" s="3"/>
      <c r="R343" s="3"/>
    </row>
    <row r="344" spans="4:18" ht="13.5" customHeight="1">
      <c r="D344" s="4"/>
      <c r="E344" s="3"/>
      <c r="F344" s="3"/>
      <c r="G344" s="3"/>
      <c r="H344" s="3"/>
      <c r="I344" s="3"/>
      <c r="J344" s="3"/>
      <c r="K344" s="3"/>
      <c r="L344" s="3"/>
      <c r="M344" s="3"/>
      <c r="N344" s="3"/>
      <c r="O344" s="3"/>
      <c r="P344" s="3"/>
      <c r="Q344" s="3"/>
      <c r="R344" s="3"/>
    </row>
    <row r="345" spans="4:18" ht="13.5" customHeight="1">
      <c r="D345" s="4"/>
      <c r="E345" s="3"/>
      <c r="F345" s="3"/>
      <c r="G345" s="3"/>
      <c r="H345" s="3"/>
      <c r="I345" s="3"/>
      <c r="J345" s="3"/>
      <c r="K345" s="3"/>
      <c r="L345" s="3"/>
      <c r="M345" s="3"/>
      <c r="N345" s="3"/>
      <c r="O345" s="3"/>
      <c r="P345" s="3"/>
      <c r="Q345" s="3"/>
      <c r="R345" s="3"/>
    </row>
    <row r="346" spans="4:18" ht="13.5" customHeight="1">
      <c r="D346" s="4"/>
      <c r="E346" s="3"/>
      <c r="F346" s="3"/>
      <c r="G346" s="3"/>
      <c r="H346" s="3"/>
      <c r="I346" s="3"/>
      <c r="J346" s="3"/>
      <c r="K346" s="3"/>
      <c r="L346" s="3"/>
      <c r="M346" s="3"/>
      <c r="N346" s="3"/>
      <c r="O346" s="3"/>
      <c r="P346" s="3"/>
      <c r="Q346" s="3"/>
      <c r="R346" s="3"/>
    </row>
    <row r="347" spans="4:18" ht="13.5" customHeight="1">
      <c r="D347" s="4"/>
      <c r="E347" s="3"/>
      <c r="F347" s="3"/>
      <c r="G347" s="3"/>
      <c r="H347" s="3"/>
      <c r="I347" s="3"/>
      <c r="J347" s="3"/>
      <c r="K347" s="3"/>
      <c r="L347" s="3"/>
      <c r="M347" s="3"/>
      <c r="N347" s="3"/>
      <c r="O347" s="3"/>
      <c r="P347" s="3"/>
      <c r="Q347" s="3"/>
      <c r="R347" s="3"/>
    </row>
    <row r="348" spans="4:18" ht="13.5" customHeight="1">
      <c r="D348" s="4"/>
      <c r="E348" s="3"/>
      <c r="F348" s="3"/>
      <c r="G348" s="3"/>
      <c r="H348" s="3"/>
      <c r="I348" s="3"/>
      <c r="J348" s="3"/>
      <c r="K348" s="3"/>
      <c r="L348" s="3"/>
      <c r="M348" s="3"/>
      <c r="N348" s="3"/>
      <c r="O348" s="3"/>
      <c r="P348" s="3"/>
      <c r="Q348" s="3"/>
      <c r="R348" s="3"/>
    </row>
    <row r="349" spans="4:18" ht="13.5" customHeight="1">
      <c r="D349" s="4"/>
      <c r="E349" s="3"/>
      <c r="F349" s="3"/>
      <c r="G349" s="3"/>
      <c r="H349" s="3"/>
      <c r="I349" s="3"/>
      <c r="J349" s="3"/>
      <c r="K349" s="3"/>
      <c r="L349" s="3"/>
      <c r="M349" s="3"/>
      <c r="N349" s="3"/>
      <c r="O349" s="3"/>
      <c r="P349" s="3"/>
      <c r="Q349" s="3"/>
      <c r="R349" s="3"/>
    </row>
    <row r="350" spans="4:18" ht="13.5" customHeight="1">
      <c r="D350" s="4"/>
      <c r="E350" s="3"/>
      <c r="F350" s="3"/>
      <c r="G350" s="3"/>
      <c r="H350" s="3"/>
      <c r="I350" s="3"/>
      <c r="J350" s="3"/>
      <c r="K350" s="3"/>
      <c r="L350" s="3"/>
      <c r="M350" s="3"/>
      <c r="N350" s="3"/>
      <c r="O350" s="3"/>
      <c r="P350" s="3"/>
      <c r="Q350" s="3"/>
      <c r="R350" s="3"/>
    </row>
    <row r="351" spans="4:18" ht="13.5" customHeight="1">
      <c r="D351" s="4"/>
      <c r="E351" s="3"/>
      <c r="F351" s="3"/>
      <c r="G351" s="3"/>
      <c r="H351" s="3"/>
      <c r="I351" s="3"/>
      <c r="J351" s="3"/>
      <c r="K351" s="3"/>
      <c r="L351" s="3"/>
      <c r="M351" s="3"/>
      <c r="N351" s="3"/>
      <c r="O351" s="3"/>
      <c r="P351" s="3"/>
      <c r="Q351" s="3"/>
      <c r="R351" s="3"/>
    </row>
    <row r="352" spans="4:18" ht="13.5" customHeight="1">
      <c r="D352" s="4"/>
      <c r="E352" s="3"/>
      <c r="F352" s="3"/>
      <c r="G352" s="3"/>
      <c r="H352" s="3"/>
      <c r="I352" s="3"/>
      <c r="J352" s="3"/>
      <c r="K352" s="3"/>
      <c r="L352" s="3"/>
      <c r="M352" s="3"/>
      <c r="N352" s="3"/>
      <c r="O352" s="3"/>
      <c r="P352" s="3"/>
      <c r="Q352" s="3"/>
      <c r="R352" s="3"/>
    </row>
    <row r="353" spans="4:18" ht="13.5" customHeight="1">
      <c r="D353" s="4"/>
      <c r="E353" s="3"/>
      <c r="F353" s="3"/>
      <c r="G353" s="3"/>
      <c r="H353" s="3"/>
      <c r="I353" s="3"/>
      <c r="J353" s="3"/>
      <c r="K353" s="3"/>
      <c r="L353" s="3"/>
      <c r="M353" s="3"/>
      <c r="N353" s="3"/>
      <c r="O353" s="3"/>
      <c r="P353" s="3"/>
      <c r="Q353" s="3"/>
      <c r="R353" s="3"/>
    </row>
    <row r="354" spans="4:18" ht="13.5" customHeight="1">
      <c r="D354" s="4"/>
      <c r="E354" s="3"/>
      <c r="F354" s="3"/>
      <c r="G354" s="3"/>
      <c r="H354" s="3"/>
      <c r="I354" s="3"/>
      <c r="J354" s="3"/>
      <c r="K354" s="3"/>
      <c r="L354" s="3"/>
      <c r="M354" s="3"/>
      <c r="N354" s="3"/>
      <c r="O354" s="3"/>
      <c r="P354" s="3"/>
      <c r="Q354" s="3"/>
      <c r="R354" s="3"/>
    </row>
    <row r="355" spans="4:18" ht="13.5" customHeight="1">
      <c r="D355" s="4"/>
      <c r="E355" s="3"/>
      <c r="F355" s="3"/>
      <c r="G355" s="3"/>
      <c r="H355" s="3"/>
      <c r="I355" s="3"/>
      <c r="J355" s="3"/>
      <c r="K355" s="3"/>
      <c r="L355" s="3"/>
      <c r="M355" s="3"/>
      <c r="N355" s="3"/>
      <c r="O355" s="3"/>
      <c r="P355" s="3"/>
      <c r="Q355" s="3"/>
      <c r="R355" s="3"/>
    </row>
    <row r="356" spans="4:18" ht="13.5" customHeight="1">
      <c r="D356" s="4"/>
      <c r="E356" s="3"/>
      <c r="F356" s="3"/>
      <c r="G356" s="3"/>
      <c r="H356" s="3"/>
      <c r="I356" s="3"/>
      <c r="J356" s="3"/>
      <c r="K356" s="3"/>
      <c r="L356" s="3"/>
      <c r="M356" s="3"/>
      <c r="N356" s="3"/>
      <c r="O356" s="3"/>
      <c r="P356" s="3"/>
      <c r="Q356" s="3"/>
      <c r="R356" s="3"/>
    </row>
    <row r="357" spans="4:18" ht="13.5" customHeight="1">
      <c r="D357" s="4"/>
      <c r="E357" s="3"/>
      <c r="F357" s="3"/>
      <c r="G357" s="3"/>
      <c r="H357" s="3"/>
      <c r="I357" s="3"/>
      <c r="J357" s="3"/>
      <c r="K357" s="3"/>
      <c r="L357" s="3"/>
      <c r="M357" s="3"/>
      <c r="N357" s="3"/>
      <c r="O357" s="3"/>
      <c r="P357" s="3"/>
      <c r="Q357" s="3"/>
      <c r="R357" s="3"/>
    </row>
    <row r="358" spans="4:18" ht="13.5" customHeight="1">
      <c r="D358" s="4"/>
      <c r="E358" s="3"/>
      <c r="F358" s="3"/>
      <c r="G358" s="3"/>
      <c r="H358" s="3"/>
      <c r="I358" s="3"/>
      <c r="J358" s="3"/>
      <c r="K358" s="3"/>
      <c r="L358" s="3"/>
      <c r="M358" s="3"/>
      <c r="N358" s="3"/>
      <c r="O358" s="3"/>
      <c r="P358" s="3"/>
      <c r="Q358" s="3"/>
      <c r="R358" s="3"/>
    </row>
    <row r="359" spans="4:18" ht="13.5" customHeight="1">
      <c r="D359" s="4"/>
      <c r="E359" s="3"/>
      <c r="F359" s="3"/>
      <c r="G359" s="3"/>
      <c r="H359" s="3"/>
      <c r="I359" s="3"/>
      <c r="J359" s="3"/>
      <c r="K359" s="3"/>
      <c r="L359" s="3"/>
      <c r="M359" s="3"/>
      <c r="N359" s="3"/>
      <c r="O359" s="3"/>
      <c r="P359" s="3"/>
      <c r="Q359" s="3"/>
      <c r="R359" s="3"/>
    </row>
    <row r="360" spans="4:18" ht="13.5" customHeight="1">
      <c r="D360" s="4"/>
      <c r="E360" s="3"/>
      <c r="F360" s="3"/>
      <c r="G360" s="3"/>
      <c r="H360" s="3"/>
      <c r="I360" s="3"/>
      <c r="J360" s="3"/>
      <c r="K360" s="3"/>
      <c r="L360" s="3"/>
      <c r="M360" s="3"/>
      <c r="N360" s="3"/>
      <c r="O360" s="3"/>
      <c r="P360" s="3"/>
      <c r="Q360" s="3"/>
      <c r="R360" s="3"/>
    </row>
    <row r="361" spans="4:18" ht="13.5" customHeight="1">
      <c r="D361" s="4"/>
      <c r="E361" s="3"/>
      <c r="F361" s="3"/>
      <c r="G361" s="3"/>
      <c r="H361" s="3"/>
      <c r="I361" s="3"/>
      <c r="J361" s="3"/>
      <c r="K361" s="3"/>
      <c r="L361" s="3"/>
      <c r="M361" s="3"/>
      <c r="N361" s="3"/>
      <c r="O361" s="3"/>
      <c r="P361" s="3"/>
      <c r="Q361" s="3"/>
      <c r="R361" s="3"/>
    </row>
    <row r="362" spans="4:18" ht="13.5" customHeight="1">
      <c r="D362" s="4"/>
      <c r="E362" s="3"/>
      <c r="F362" s="3"/>
      <c r="G362" s="3"/>
      <c r="H362" s="3"/>
      <c r="I362" s="3"/>
      <c r="J362" s="3"/>
      <c r="K362" s="3"/>
      <c r="L362" s="3"/>
      <c r="M362" s="3"/>
      <c r="N362" s="3"/>
      <c r="O362" s="3"/>
      <c r="P362" s="3"/>
      <c r="Q362" s="3"/>
      <c r="R362" s="3"/>
    </row>
    <row r="363" spans="4:18" ht="13.5" customHeight="1">
      <c r="D363" s="4"/>
      <c r="E363" s="3"/>
      <c r="F363" s="3"/>
      <c r="G363" s="3"/>
      <c r="H363" s="3"/>
      <c r="I363" s="3"/>
      <c r="J363" s="3"/>
      <c r="K363" s="3"/>
      <c r="L363" s="3"/>
      <c r="M363" s="3"/>
      <c r="N363" s="3"/>
      <c r="O363" s="3"/>
      <c r="P363" s="3"/>
      <c r="Q363" s="3"/>
      <c r="R363" s="3"/>
    </row>
    <row r="364" spans="4:18" ht="13.5" customHeight="1">
      <c r="D364" s="4"/>
      <c r="E364" s="3"/>
      <c r="F364" s="3"/>
      <c r="G364" s="3"/>
      <c r="H364" s="3"/>
      <c r="I364" s="3"/>
      <c r="J364" s="3"/>
      <c r="K364" s="3"/>
      <c r="L364" s="3"/>
      <c r="M364" s="3"/>
      <c r="N364" s="3"/>
      <c r="O364" s="3"/>
      <c r="P364" s="3"/>
      <c r="Q364" s="3"/>
      <c r="R364" s="3"/>
    </row>
    <row r="365" spans="4:18" ht="13.5" customHeight="1">
      <c r="D365" s="4"/>
      <c r="E365" s="3"/>
      <c r="F365" s="3"/>
      <c r="G365" s="3"/>
      <c r="H365" s="3"/>
      <c r="I365" s="3"/>
      <c r="J365" s="3"/>
      <c r="K365" s="3"/>
      <c r="L365" s="3"/>
      <c r="M365" s="3"/>
      <c r="N365" s="3"/>
      <c r="O365" s="3"/>
      <c r="P365" s="3"/>
      <c r="Q365" s="3"/>
      <c r="R365" s="3"/>
    </row>
    <row r="366" spans="4:18" ht="13.5" customHeight="1">
      <c r="D366" s="4"/>
      <c r="E366" s="3"/>
      <c r="F366" s="3"/>
      <c r="G366" s="3"/>
      <c r="H366" s="3"/>
      <c r="I366" s="3"/>
      <c r="J366" s="3"/>
      <c r="K366" s="3"/>
      <c r="L366" s="3"/>
      <c r="M366" s="3"/>
      <c r="N366" s="3"/>
      <c r="O366" s="3"/>
      <c r="P366" s="3"/>
      <c r="Q366" s="3"/>
      <c r="R366" s="3"/>
    </row>
    <row r="367" spans="4:18" ht="13.5" customHeight="1">
      <c r="D367" s="4"/>
      <c r="E367" s="3"/>
      <c r="F367" s="3"/>
      <c r="G367" s="3"/>
      <c r="H367" s="3"/>
      <c r="I367" s="3"/>
      <c r="J367" s="3"/>
      <c r="K367" s="3"/>
      <c r="L367" s="3"/>
      <c r="M367" s="3"/>
      <c r="N367" s="3"/>
      <c r="O367" s="3"/>
      <c r="P367" s="3"/>
      <c r="Q367" s="3"/>
      <c r="R367" s="3"/>
    </row>
    <row r="368" spans="4:18" ht="13.5" customHeight="1">
      <c r="D368" s="4"/>
      <c r="E368" s="3"/>
      <c r="F368" s="3"/>
      <c r="G368" s="3"/>
      <c r="H368" s="3"/>
      <c r="I368" s="3"/>
      <c r="J368" s="3"/>
      <c r="K368" s="3"/>
      <c r="L368" s="3"/>
      <c r="M368" s="3"/>
      <c r="N368" s="3"/>
      <c r="O368" s="3"/>
      <c r="P368" s="3"/>
      <c r="Q368" s="3"/>
      <c r="R368" s="3"/>
    </row>
    <row r="369" spans="4:18" ht="13.5" customHeight="1">
      <c r="D369" s="4"/>
      <c r="E369" s="3"/>
      <c r="F369" s="3"/>
      <c r="G369" s="3"/>
      <c r="H369" s="3"/>
      <c r="I369" s="3"/>
      <c r="J369" s="3"/>
      <c r="K369" s="3"/>
      <c r="L369" s="3"/>
      <c r="M369" s="3"/>
      <c r="N369" s="3"/>
      <c r="O369" s="3"/>
      <c r="P369" s="3"/>
      <c r="Q369" s="3"/>
      <c r="R369" s="3"/>
    </row>
    <row r="370" spans="4:18" ht="13.5" customHeight="1">
      <c r="D370" s="4"/>
      <c r="E370" s="3"/>
      <c r="F370" s="3"/>
      <c r="G370" s="3"/>
      <c r="H370" s="3"/>
      <c r="I370" s="3"/>
      <c r="J370" s="3"/>
      <c r="K370" s="3"/>
      <c r="L370" s="3"/>
      <c r="M370" s="3"/>
      <c r="N370" s="3"/>
      <c r="O370" s="3"/>
      <c r="P370" s="3"/>
      <c r="Q370" s="3"/>
      <c r="R370" s="3"/>
    </row>
    <row r="371" spans="4:18" ht="13.5" customHeight="1">
      <c r="D371" s="4"/>
      <c r="E371" s="3"/>
      <c r="F371" s="3"/>
      <c r="G371" s="3"/>
      <c r="H371" s="3"/>
      <c r="I371" s="3"/>
      <c r="J371" s="3"/>
      <c r="K371" s="3"/>
      <c r="L371" s="3"/>
      <c r="M371" s="3"/>
      <c r="N371" s="3"/>
      <c r="O371" s="3"/>
      <c r="P371" s="3"/>
      <c r="Q371" s="3"/>
      <c r="R371" s="3"/>
    </row>
    <row r="372" spans="4:18" ht="13.5" customHeight="1">
      <c r="D372" s="4"/>
      <c r="E372" s="3"/>
      <c r="F372" s="3"/>
      <c r="G372" s="3"/>
      <c r="H372" s="3"/>
      <c r="I372" s="3"/>
      <c r="J372" s="3"/>
      <c r="K372" s="3"/>
      <c r="L372" s="3"/>
      <c r="M372" s="3"/>
      <c r="N372" s="3"/>
      <c r="O372" s="3"/>
      <c r="P372" s="3"/>
      <c r="Q372" s="3"/>
      <c r="R372" s="3"/>
    </row>
    <row r="373" spans="4:18" ht="13.5" customHeight="1">
      <c r="D373" s="4"/>
      <c r="E373" s="3"/>
      <c r="F373" s="3"/>
      <c r="G373" s="3"/>
      <c r="H373" s="3"/>
      <c r="I373" s="3"/>
      <c r="J373" s="3"/>
      <c r="K373" s="3"/>
      <c r="L373" s="3"/>
      <c r="M373" s="3"/>
      <c r="N373" s="3"/>
      <c r="O373" s="3"/>
      <c r="P373" s="3"/>
      <c r="Q373" s="3"/>
      <c r="R373" s="3"/>
    </row>
    <row r="374" spans="4:18" ht="13.5" customHeight="1">
      <c r="D374" s="4"/>
      <c r="E374" s="3"/>
      <c r="F374" s="3"/>
      <c r="G374" s="3"/>
      <c r="H374" s="3"/>
      <c r="I374" s="3"/>
      <c r="J374" s="3"/>
      <c r="K374" s="3"/>
      <c r="L374" s="3"/>
      <c r="M374" s="3"/>
      <c r="N374" s="3"/>
      <c r="O374" s="3"/>
      <c r="P374" s="3"/>
      <c r="Q374" s="3"/>
      <c r="R374" s="3"/>
    </row>
    <row r="375" spans="4:18" ht="13.5" customHeight="1">
      <c r="D375" s="4"/>
      <c r="E375" s="3"/>
      <c r="F375" s="3"/>
      <c r="G375" s="3"/>
      <c r="H375" s="3"/>
      <c r="I375" s="3"/>
      <c r="J375" s="3"/>
      <c r="K375" s="3"/>
      <c r="L375" s="3"/>
      <c r="M375" s="3"/>
      <c r="N375" s="3"/>
      <c r="O375" s="3"/>
      <c r="P375" s="3"/>
      <c r="Q375" s="3"/>
      <c r="R375" s="3"/>
    </row>
    <row r="376" spans="4:18" ht="13.5" customHeight="1">
      <c r="D376" s="4"/>
      <c r="E376" s="3"/>
      <c r="F376" s="3"/>
      <c r="G376" s="3"/>
      <c r="H376" s="3"/>
      <c r="I376" s="3"/>
      <c r="J376" s="3"/>
      <c r="K376" s="3"/>
      <c r="L376" s="3"/>
      <c r="M376" s="3"/>
      <c r="N376" s="3"/>
      <c r="O376" s="3"/>
      <c r="P376" s="3"/>
      <c r="Q376" s="3"/>
      <c r="R376" s="3"/>
    </row>
    <row r="377" spans="4:18" ht="13.5" customHeight="1">
      <c r="D377" s="4"/>
      <c r="E377" s="3"/>
      <c r="F377" s="3"/>
      <c r="G377" s="3"/>
      <c r="H377" s="3"/>
      <c r="I377" s="3"/>
      <c r="J377" s="3"/>
      <c r="K377" s="3"/>
      <c r="L377" s="3"/>
      <c r="M377" s="3"/>
      <c r="N377" s="3"/>
      <c r="O377" s="3"/>
      <c r="P377" s="3"/>
      <c r="Q377" s="3"/>
      <c r="R377" s="3"/>
    </row>
    <row r="378" spans="4:18" ht="13.5" customHeight="1">
      <c r="D378" s="4"/>
      <c r="E378" s="3"/>
      <c r="F378" s="3"/>
      <c r="G378" s="3"/>
      <c r="H378" s="3"/>
      <c r="I378" s="3"/>
      <c r="J378" s="3"/>
      <c r="K378" s="3"/>
      <c r="L378" s="3"/>
      <c r="M378" s="3"/>
      <c r="N378" s="3"/>
      <c r="O378" s="3"/>
      <c r="P378" s="3"/>
      <c r="Q378" s="3"/>
      <c r="R378" s="3"/>
    </row>
    <row r="379" spans="4:18" ht="13.5" customHeight="1">
      <c r="D379" s="4"/>
      <c r="E379" s="3"/>
      <c r="F379" s="3"/>
      <c r="G379" s="3"/>
      <c r="H379" s="3"/>
      <c r="I379" s="3"/>
      <c r="J379" s="3"/>
      <c r="K379" s="3"/>
      <c r="L379" s="3"/>
      <c r="M379" s="3"/>
      <c r="N379" s="3"/>
      <c r="O379" s="3"/>
      <c r="P379" s="3"/>
      <c r="Q379" s="3"/>
      <c r="R379" s="3"/>
    </row>
    <row r="380" spans="4:18" ht="13.5" customHeight="1">
      <c r="D380" s="4"/>
      <c r="E380" s="3"/>
      <c r="F380" s="3"/>
      <c r="G380" s="3"/>
      <c r="H380" s="3"/>
      <c r="I380" s="3"/>
      <c r="J380" s="3"/>
      <c r="K380" s="3"/>
      <c r="L380" s="3"/>
      <c r="M380" s="3"/>
      <c r="N380" s="3"/>
      <c r="O380" s="3"/>
      <c r="P380" s="3"/>
      <c r="Q380" s="3"/>
      <c r="R380" s="3"/>
    </row>
    <row r="381" spans="4:18" ht="13.5" customHeight="1">
      <c r="D381" s="4"/>
      <c r="E381" s="3"/>
      <c r="F381" s="3"/>
      <c r="G381" s="3"/>
      <c r="H381" s="3"/>
      <c r="I381" s="3"/>
      <c r="J381" s="3"/>
      <c r="K381" s="3"/>
      <c r="L381" s="3"/>
      <c r="M381" s="3"/>
      <c r="N381" s="3"/>
      <c r="O381" s="3"/>
      <c r="P381" s="3"/>
      <c r="Q381" s="3"/>
      <c r="R381" s="3"/>
    </row>
    <row r="382" spans="4:18" ht="13.5" customHeight="1">
      <c r="D382" s="4"/>
      <c r="E382" s="3"/>
      <c r="F382" s="3"/>
      <c r="G382" s="3"/>
      <c r="H382" s="3"/>
      <c r="I382" s="3"/>
      <c r="J382" s="3"/>
      <c r="K382" s="3"/>
      <c r="L382" s="3"/>
      <c r="M382" s="3"/>
      <c r="N382" s="3"/>
      <c r="O382" s="3"/>
      <c r="P382" s="3"/>
      <c r="Q382" s="3"/>
      <c r="R382" s="3"/>
    </row>
    <row r="383" spans="4:18" ht="13.5" customHeight="1">
      <c r="D383" s="4"/>
      <c r="E383" s="3"/>
      <c r="F383" s="3"/>
      <c r="G383" s="3"/>
      <c r="H383" s="3"/>
      <c r="I383" s="3"/>
      <c r="J383" s="3"/>
      <c r="K383" s="3"/>
      <c r="L383" s="3"/>
      <c r="M383" s="3"/>
      <c r="N383" s="3"/>
      <c r="O383" s="3"/>
      <c r="P383" s="3"/>
      <c r="Q383" s="3"/>
      <c r="R383" s="3"/>
    </row>
    <row r="384" spans="4:18" ht="13.5" customHeight="1">
      <c r="D384" s="4"/>
      <c r="E384" s="3"/>
      <c r="F384" s="3"/>
      <c r="G384" s="3"/>
      <c r="H384" s="3"/>
      <c r="I384" s="3"/>
      <c r="J384" s="3"/>
      <c r="K384" s="3"/>
      <c r="L384" s="3"/>
      <c r="M384" s="3"/>
      <c r="N384" s="3"/>
      <c r="O384" s="3"/>
      <c r="P384" s="3"/>
      <c r="Q384" s="3"/>
      <c r="R384" s="3"/>
    </row>
    <row r="385" spans="4:18" ht="13.5" customHeight="1">
      <c r="D385" s="4"/>
      <c r="E385" s="3"/>
      <c r="F385" s="3"/>
      <c r="G385" s="3"/>
      <c r="H385" s="3"/>
      <c r="I385" s="3"/>
      <c r="J385" s="3"/>
      <c r="K385" s="3"/>
      <c r="L385" s="3"/>
      <c r="M385" s="3"/>
      <c r="N385" s="3"/>
      <c r="O385" s="3"/>
      <c r="P385" s="3"/>
      <c r="Q385" s="3"/>
      <c r="R385" s="3"/>
    </row>
    <row r="386" spans="4:18" ht="13.5" customHeight="1">
      <c r="D386" s="4"/>
      <c r="E386" s="3"/>
      <c r="F386" s="3"/>
      <c r="G386" s="3"/>
      <c r="H386" s="3"/>
      <c r="I386" s="3"/>
      <c r="J386" s="3"/>
      <c r="K386" s="3"/>
      <c r="L386" s="3"/>
      <c r="M386" s="3"/>
      <c r="N386" s="3"/>
      <c r="O386" s="3"/>
      <c r="P386" s="3"/>
      <c r="Q386" s="3"/>
      <c r="R386" s="3"/>
    </row>
    <row r="387" spans="4:18" ht="13.5" customHeight="1">
      <c r="D387" s="4"/>
      <c r="E387" s="3"/>
      <c r="F387" s="3"/>
      <c r="G387" s="3"/>
      <c r="H387" s="3"/>
      <c r="I387" s="3"/>
      <c r="J387" s="3"/>
      <c r="K387" s="3"/>
      <c r="L387" s="3"/>
      <c r="M387" s="3"/>
      <c r="N387" s="3"/>
      <c r="O387" s="3"/>
      <c r="P387" s="3"/>
      <c r="Q387" s="3"/>
      <c r="R387" s="3"/>
    </row>
    <row r="388" spans="4:18" ht="13.5" customHeight="1">
      <c r="D388" s="4"/>
      <c r="E388" s="3"/>
      <c r="F388" s="3"/>
      <c r="G388" s="3"/>
      <c r="H388" s="3"/>
      <c r="I388" s="3"/>
      <c r="J388" s="3"/>
      <c r="K388" s="3"/>
      <c r="L388" s="3"/>
      <c r="M388" s="3"/>
      <c r="N388" s="3"/>
      <c r="O388" s="3"/>
      <c r="P388" s="3"/>
      <c r="Q388" s="3"/>
      <c r="R388" s="3"/>
    </row>
    <row r="389" spans="4:18" ht="13.5" customHeight="1">
      <c r="D389" s="4"/>
      <c r="E389" s="3"/>
      <c r="F389" s="3"/>
      <c r="G389" s="3"/>
      <c r="H389" s="3"/>
      <c r="I389" s="3"/>
      <c r="J389" s="3"/>
      <c r="K389" s="3"/>
      <c r="L389" s="3"/>
      <c r="M389" s="3"/>
      <c r="N389" s="3"/>
      <c r="O389" s="3"/>
      <c r="P389" s="3"/>
      <c r="Q389" s="3"/>
      <c r="R389" s="3"/>
    </row>
    <row r="390" spans="4:18" ht="13.5" customHeight="1">
      <c r="D390" s="4"/>
      <c r="E390" s="3"/>
      <c r="F390" s="3"/>
      <c r="G390" s="3"/>
      <c r="H390" s="3"/>
      <c r="I390" s="3"/>
      <c r="J390" s="3"/>
      <c r="K390" s="3"/>
      <c r="L390" s="3"/>
      <c r="M390" s="3"/>
      <c r="N390" s="3"/>
      <c r="O390" s="3"/>
      <c r="P390" s="3"/>
      <c r="Q390" s="3"/>
      <c r="R390" s="3"/>
    </row>
    <row r="391" spans="4:18" ht="13.5" customHeight="1">
      <c r="D391" s="4"/>
      <c r="E391" s="3"/>
      <c r="F391" s="3"/>
      <c r="G391" s="3"/>
      <c r="H391" s="3"/>
      <c r="I391" s="3"/>
      <c r="J391" s="3"/>
      <c r="K391" s="3"/>
      <c r="L391" s="3"/>
      <c r="M391" s="3"/>
      <c r="N391" s="3"/>
      <c r="O391" s="3"/>
      <c r="P391" s="3"/>
      <c r="Q391" s="3"/>
      <c r="R391" s="3"/>
    </row>
    <row r="392" spans="4:18" ht="13.5" customHeight="1">
      <c r="D392" s="4"/>
      <c r="E392" s="3"/>
      <c r="F392" s="3"/>
      <c r="G392" s="3"/>
      <c r="H392" s="3"/>
      <c r="I392" s="3"/>
      <c r="J392" s="3"/>
      <c r="K392" s="3"/>
      <c r="L392" s="3"/>
      <c r="M392" s="3"/>
      <c r="N392" s="3"/>
      <c r="O392" s="3"/>
      <c r="P392" s="3"/>
      <c r="Q392" s="3"/>
      <c r="R392" s="3"/>
    </row>
    <row r="393" spans="4:18" ht="13.5" customHeight="1">
      <c r="D393" s="4"/>
      <c r="E393" s="3"/>
      <c r="F393" s="3"/>
      <c r="G393" s="3"/>
      <c r="H393" s="3"/>
      <c r="I393" s="3"/>
      <c r="J393" s="3"/>
      <c r="K393" s="3"/>
      <c r="L393" s="3"/>
      <c r="M393" s="3"/>
      <c r="N393" s="3"/>
      <c r="O393" s="3"/>
      <c r="P393" s="3"/>
      <c r="Q393" s="3"/>
      <c r="R393" s="3"/>
    </row>
    <row r="394" spans="4:18" ht="13.5" customHeight="1">
      <c r="D394" s="4"/>
      <c r="E394" s="3"/>
      <c r="F394" s="3"/>
      <c r="G394" s="3"/>
      <c r="H394" s="3"/>
      <c r="I394" s="3"/>
      <c r="J394" s="3"/>
      <c r="K394" s="3"/>
      <c r="L394" s="3"/>
      <c r="M394" s="3"/>
      <c r="N394" s="3"/>
      <c r="O394" s="3"/>
      <c r="P394" s="3"/>
      <c r="Q394" s="3"/>
      <c r="R394" s="3"/>
    </row>
    <row r="395" spans="4:18" ht="13.5" customHeight="1">
      <c r="D395" s="4"/>
      <c r="E395" s="3"/>
      <c r="F395" s="3"/>
      <c r="G395" s="3"/>
      <c r="H395" s="3"/>
      <c r="I395" s="3"/>
      <c r="J395" s="3"/>
      <c r="K395" s="3"/>
      <c r="L395" s="3"/>
      <c r="M395" s="3"/>
      <c r="N395" s="3"/>
      <c r="O395" s="3"/>
      <c r="P395" s="3"/>
      <c r="Q395" s="3"/>
      <c r="R395" s="3"/>
    </row>
    <row r="396" spans="4:18" ht="13.5" customHeight="1">
      <c r="D396" s="4"/>
      <c r="E396" s="3"/>
      <c r="F396" s="3"/>
      <c r="G396" s="3"/>
      <c r="H396" s="3"/>
      <c r="I396" s="3"/>
      <c r="J396" s="3"/>
      <c r="K396" s="3"/>
      <c r="L396" s="3"/>
      <c r="M396" s="3"/>
      <c r="N396" s="3"/>
      <c r="O396" s="3"/>
      <c r="P396" s="3"/>
      <c r="Q396" s="3"/>
      <c r="R396" s="3"/>
    </row>
    <row r="397" spans="4:18" ht="13.5" customHeight="1">
      <c r="D397" s="4"/>
      <c r="E397" s="3"/>
      <c r="F397" s="3"/>
      <c r="G397" s="3"/>
      <c r="H397" s="3"/>
      <c r="I397" s="3"/>
      <c r="J397" s="3"/>
      <c r="K397" s="3"/>
      <c r="L397" s="3"/>
      <c r="M397" s="3"/>
      <c r="N397" s="3"/>
      <c r="O397" s="3"/>
      <c r="P397" s="3"/>
      <c r="Q397" s="3"/>
      <c r="R397" s="3"/>
    </row>
    <row r="398" spans="4:18" ht="13.5" customHeight="1">
      <c r="D398" s="4"/>
      <c r="E398" s="3"/>
      <c r="F398" s="3"/>
      <c r="G398" s="3"/>
      <c r="H398" s="3"/>
      <c r="I398" s="3"/>
      <c r="J398" s="3"/>
      <c r="K398" s="3"/>
      <c r="L398" s="3"/>
      <c r="M398" s="3"/>
      <c r="N398" s="3"/>
      <c r="O398" s="3"/>
      <c r="P398" s="3"/>
      <c r="Q398" s="3"/>
      <c r="R398" s="3"/>
    </row>
    <row r="399" spans="4:18" ht="13.5" customHeight="1">
      <c r="D399" s="4"/>
      <c r="E399" s="3"/>
      <c r="F399" s="3"/>
      <c r="G399" s="3"/>
      <c r="H399" s="3"/>
      <c r="I399" s="3"/>
      <c r="J399" s="3"/>
      <c r="K399" s="3"/>
      <c r="L399" s="3"/>
      <c r="M399" s="3"/>
      <c r="N399" s="3"/>
      <c r="O399" s="3"/>
      <c r="P399" s="3"/>
      <c r="Q399" s="3"/>
      <c r="R399" s="3"/>
    </row>
    <row r="400" spans="4:18" ht="13.5" customHeight="1">
      <c r="D400" s="4"/>
      <c r="E400" s="3"/>
      <c r="F400" s="3"/>
      <c r="G400" s="3"/>
      <c r="H400" s="3"/>
      <c r="I400" s="3"/>
      <c r="J400" s="3"/>
      <c r="K400" s="3"/>
      <c r="L400" s="3"/>
      <c r="M400" s="3"/>
      <c r="N400" s="3"/>
      <c r="O400" s="3"/>
      <c r="P400" s="3"/>
      <c r="Q400" s="3"/>
      <c r="R400" s="3"/>
    </row>
    <row r="401" spans="4:18" ht="13.5" customHeight="1">
      <c r="D401" s="4"/>
      <c r="E401" s="3"/>
      <c r="F401" s="3"/>
      <c r="G401" s="3"/>
      <c r="H401" s="3"/>
      <c r="I401" s="3"/>
      <c r="J401" s="3"/>
      <c r="K401" s="3"/>
      <c r="L401" s="3"/>
      <c r="M401" s="3"/>
      <c r="N401" s="3"/>
      <c r="O401" s="3"/>
      <c r="P401" s="3"/>
      <c r="Q401" s="3"/>
      <c r="R401" s="3"/>
    </row>
    <row r="402" spans="4:18" ht="13.5" customHeight="1">
      <c r="D402" s="4"/>
      <c r="E402" s="3"/>
      <c r="F402" s="3"/>
      <c r="G402" s="3"/>
      <c r="H402" s="3"/>
      <c r="I402" s="3"/>
      <c r="J402" s="3"/>
      <c r="K402" s="3"/>
      <c r="L402" s="3"/>
      <c r="M402" s="3"/>
      <c r="N402" s="3"/>
      <c r="O402" s="3"/>
      <c r="P402" s="3"/>
      <c r="Q402" s="3"/>
      <c r="R402" s="3"/>
    </row>
    <row r="403" spans="4:18" ht="13.5" customHeight="1">
      <c r="D403" s="4"/>
      <c r="E403" s="3"/>
      <c r="F403" s="3"/>
      <c r="G403" s="3"/>
      <c r="H403" s="3"/>
      <c r="I403" s="3"/>
      <c r="J403" s="3"/>
      <c r="K403" s="3"/>
      <c r="L403" s="3"/>
      <c r="M403" s="3"/>
      <c r="N403" s="3"/>
      <c r="O403" s="3"/>
      <c r="P403" s="3"/>
      <c r="Q403" s="3"/>
      <c r="R403" s="3"/>
    </row>
    <row r="404" spans="4:18" ht="13.5" customHeight="1">
      <c r="D404" s="4"/>
      <c r="E404" s="3"/>
      <c r="F404" s="3"/>
      <c r="G404" s="3"/>
      <c r="H404" s="3"/>
      <c r="I404" s="3"/>
      <c r="J404" s="3"/>
      <c r="K404" s="3"/>
      <c r="L404" s="3"/>
      <c r="M404" s="3"/>
      <c r="N404" s="3"/>
      <c r="O404" s="3"/>
      <c r="P404" s="3"/>
      <c r="Q404" s="3"/>
      <c r="R404" s="3"/>
    </row>
    <row r="405" spans="4:18" ht="13.5" customHeight="1">
      <c r="D405" s="4"/>
      <c r="E405" s="3"/>
      <c r="F405" s="3"/>
      <c r="G405" s="3"/>
      <c r="H405" s="3"/>
      <c r="I405" s="3"/>
      <c r="J405" s="3"/>
      <c r="K405" s="3"/>
      <c r="L405" s="3"/>
      <c r="M405" s="3"/>
      <c r="N405" s="3"/>
      <c r="O405" s="3"/>
      <c r="P405" s="3"/>
      <c r="Q405" s="3"/>
      <c r="R405" s="3"/>
    </row>
    <row r="406" spans="4:18" ht="13.5" customHeight="1">
      <c r="D406" s="4"/>
      <c r="E406" s="3"/>
      <c r="F406" s="3"/>
      <c r="G406" s="3"/>
      <c r="H406" s="3"/>
      <c r="I406" s="3"/>
      <c r="J406" s="3"/>
      <c r="K406" s="3"/>
      <c r="L406" s="3"/>
      <c r="M406" s="3"/>
      <c r="N406" s="3"/>
      <c r="O406" s="3"/>
      <c r="P406" s="3"/>
      <c r="Q406" s="3"/>
      <c r="R406" s="3"/>
    </row>
    <row r="407" spans="4:18" ht="13.5" customHeight="1">
      <c r="D407" s="4"/>
      <c r="E407" s="3"/>
      <c r="F407" s="3"/>
      <c r="G407" s="3"/>
      <c r="H407" s="3"/>
      <c r="I407" s="3"/>
      <c r="J407" s="3"/>
      <c r="K407" s="3"/>
      <c r="L407" s="3"/>
      <c r="M407" s="3"/>
      <c r="N407" s="3"/>
      <c r="O407" s="3"/>
      <c r="P407" s="3"/>
      <c r="Q407" s="3"/>
      <c r="R407" s="3"/>
    </row>
    <row r="408" spans="4:18" ht="13.5" customHeight="1">
      <c r="D408" s="4"/>
      <c r="E408" s="3"/>
      <c r="F408" s="3"/>
      <c r="G408" s="3"/>
      <c r="H408" s="3"/>
      <c r="I408" s="3"/>
      <c r="J408" s="3"/>
      <c r="K408" s="3"/>
      <c r="L408" s="3"/>
      <c r="M408" s="3"/>
      <c r="N408" s="3"/>
      <c r="O408" s="3"/>
      <c r="P408" s="3"/>
      <c r="Q408" s="3"/>
      <c r="R408" s="3"/>
    </row>
    <row r="409" spans="4:18" ht="13.5" customHeight="1">
      <c r="D409" s="4"/>
      <c r="E409" s="3"/>
      <c r="F409" s="3"/>
      <c r="G409" s="3"/>
      <c r="H409" s="3"/>
      <c r="I409" s="3"/>
      <c r="J409" s="3"/>
      <c r="K409" s="3"/>
      <c r="L409" s="3"/>
      <c r="M409" s="3"/>
      <c r="N409" s="3"/>
      <c r="O409" s="3"/>
      <c r="P409" s="3"/>
      <c r="Q409" s="3"/>
      <c r="R409" s="3"/>
    </row>
    <row r="410" spans="4:18" ht="13.5" customHeight="1">
      <c r="D410" s="4"/>
      <c r="E410" s="3"/>
      <c r="F410" s="3"/>
      <c r="G410" s="3"/>
      <c r="H410" s="3"/>
      <c r="I410" s="3"/>
      <c r="J410" s="3"/>
      <c r="K410" s="3"/>
      <c r="L410" s="3"/>
      <c r="M410" s="3"/>
      <c r="N410" s="3"/>
      <c r="O410" s="3"/>
      <c r="P410" s="3"/>
      <c r="Q410" s="3"/>
      <c r="R410" s="3"/>
    </row>
    <row r="411" spans="4:18" ht="13.5" customHeight="1">
      <c r="D411" s="4"/>
      <c r="E411" s="3"/>
      <c r="F411" s="3"/>
      <c r="G411" s="3"/>
      <c r="H411" s="3"/>
      <c r="I411" s="3"/>
      <c r="J411" s="3"/>
      <c r="K411" s="3"/>
      <c r="L411" s="3"/>
      <c r="M411" s="3"/>
      <c r="N411" s="3"/>
      <c r="O411" s="3"/>
      <c r="P411" s="3"/>
      <c r="Q411" s="3"/>
      <c r="R411" s="3"/>
    </row>
    <row r="412" spans="4:18" ht="13.5" customHeight="1">
      <c r="D412" s="4"/>
      <c r="E412" s="3"/>
      <c r="F412" s="3"/>
      <c r="G412" s="3"/>
      <c r="H412" s="3"/>
      <c r="I412" s="3"/>
      <c r="J412" s="3"/>
      <c r="K412" s="3"/>
      <c r="L412" s="3"/>
      <c r="M412" s="3"/>
      <c r="N412" s="3"/>
      <c r="O412" s="3"/>
      <c r="P412" s="3"/>
      <c r="Q412" s="3"/>
      <c r="R412" s="3"/>
    </row>
    <row r="413" spans="4:18" ht="13.5" customHeight="1">
      <c r="D413" s="4"/>
      <c r="E413" s="3"/>
      <c r="F413" s="3"/>
      <c r="G413" s="3"/>
      <c r="H413" s="3"/>
      <c r="I413" s="3"/>
      <c r="J413" s="3"/>
      <c r="K413" s="3"/>
      <c r="L413" s="3"/>
      <c r="M413" s="3"/>
      <c r="N413" s="3"/>
      <c r="O413" s="3"/>
      <c r="P413" s="3"/>
      <c r="Q413" s="3"/>
      <c r="R413" s="3"/>
    </row>
    <row r="414" spans="4:18" ht="13.5" customHeight="1">
      <c r="D414" s="4"/>
      <c r="E414" s="3"/>
      <c r="F414" s="3"/>
      <c r="G414" s="3"/>
      <c r="H414" s="3"/>
      <c r="I414" s="3"/>
      <c r="J414" s="3"/>
      <c r="K414" s="3"/>
      <c r="L414" s="3"/>
      <c r="M414" s="3"/>
      <c r="N414" s="3"/>
      <c r="O414" s="3"/>
      <c r="P414" s="3"/>
      <c r="Q414" s="3"/>
      <c r="R414" s="3"/>
    </row>
    <row r="415" spans="4:18" ht="13.5" customHeight="1">
      <c r="D415" s="4"/>
      <c r="E415" s="3"/>
      <c r="F415" s="3"/>
      <c r="G415" s="3"/>
      <c r="H415" s="3"/>
      <c r="I415" s="3"/>
      <c r="J415" s="3"/>
      <c r="K415" s="3"/>
      <c r="L415" s="3"/>
      <c r="M415" s="3"/>
      <c r="N415" s="3"/>
      <c r="O415" s="3"/>
      <c r="P415" s="3"/>
      <c r="Q415" s="3"/>
      <c r="R415" s="3"/>
    </row>
    <row r="416" spans="4:18" ht="13.5" customHeight="1">
      <c r="D416" s="4"/>
      <c r="E416" s="3"/>
      <c r="F416" s="3"/>
      <c r="G416" s="3"/>
      <c r="H416" s="3"/>
      <c r="I416" s="3"/>
      <c r="J416" s="3"/>
      <c r="K416" s="3"/>
      <c r="L416" s="3"/>
      <c r="M416" s="3"/>
      <c r="N416" s="3"/>
      <c r="O416" s="3"/>
      <c r="P416" s="3"/>
      <c r="Q416" s="3"/>
      <c r="R416" s="3"/>
    </row>
    <row r="417" spans="4:18" ht="13.5" customHeight="1">
      <c r="D417" s="4"/>
      <c r="E417" s="3"/>
      <c r="F417" s="3"/>
      <c r="G417" s="3"/>
      <c r="H417" s="3"/>
      <c r="I417" s="3"/>
      <c r="J417" s="3"/>
      <c r="K417" s="3"/>
      <c r="L417" s="3"/>
      <c r="M417" s="3"/>
      <c r="N417" s="3"/>
      <c r="O417" s="3"/>
      <c r="P417" s="3"/>
      <c r="Q417" s="3"/>
      <c r="R417" s="3"/>
    </row>
    <row r="418" spans="4:18" ht="13.5" customHeight="1">
      <c r="D418" s="4"/>
      <c r="E418" s="3"/>
      <c r="F418" s="3"/>
      <c r="G418" s="3"/>
      <c r="H418" s="3"/>
      <c r="I418" s="3"/>
      <c r="J418" s="3"/>
      <c r="K418" s="3"/>
      <c r="L418" s="3"/>
      <c r="M418" s="3"/>
      <c r="N418" s="3"/>
      <c r="O418" s="3"/>
      <c r="P418" s="3"/>
      <c r="Q418" s="3"/>
      <c r="R418" s="3"/>
    </row>
    <row r="419" spans="4:18" ht="13.5" customHeight="1">
      <c r="D419" s="4"/>
      <c r="E419" s="3"/>
      <c r="F419" s="3"/>
      <c r="G419" s="3"/>
      <c r="H419" s="3"/>
      <c r="I419" s="3"/>
      <c r="J419" s="3"/>
      <c r="K419" s="3"/>
      <c r="L419" s="3"/>
      <c r="M419" s="3"/>
      <c r="N419" s="3"/>
      <c r="O419" s="3"/>
      <c r="P419" s="3"/>
      <c r="Q419" s="3"/>
      <c r="R419" s="3"/>
    </row>
    <row r="420" spans="4:18" ht="13.5" customHeight="1">
      <c r="D420" s="4"/>
      <c r="E420" s="3"/>
      <c r="F420" s="3"/>
      <c r="G420" s="3"/>
      <c r="H420" s="3"/>
      <c r="I420" s="3"/>
      <c r="J420" s="3"/>
      <c r="K420" s="3"/>
      <c r="L420" s="3"/>
      <c r="M420" s="3"/>
      <c r="N420" s="3"/>
      <c r="O420" s="3"/>
      <c r="P420" s="3"/>
      <c r="Q420" s="3"/>
      <c r="R420" s="3"/>
    </row>
    <row r="421" spans="4:18" ht="13.5" customHeight="1">
      <c r="D421" s="4"/>
      <c r="E421" s="3"/>
      <c r="F421" s="3"/>
      <c r="G421" s="3"/>
      <c r="H421" s="3"/>
      <c r="I421" s="3"/>
      <c r="J421" s="3"/>
      <c r="K421" s="3"/>
      <c r="L421" s="3"/>
      <c r="M421" s="3"/>
      <c r="N421" s="3"/>
      <c r="O421" s="3"/>
      <c r="P421" s="3"/>
      <c r="Q421" s="3"/>
      <c r="R421" s="3"/>
    </row>
    <row r="422" spans="4:18" ht="13.5" customHeight="1">
      <c r="D422" s="4"/>
      <c r="E422" s="3"/>
      <c r="F422" s="3"/>
      <c r="G422" s="3"/>
      <c r="H422" s="3"/>
      <c r="I422" s="3"/>
      <c r="J422" s="3"/>
      <c r="K422" s="3"/>
      <c r="L422" s="3"/>
      <c r="M422" s="3"/>
      <c r="N422" s="3"/>
      <c r="O422" s="3"/>
      <c r="P422" s="3"/>
      <c r="Q422" s="3"/>
      <c r="R422" s="3"/>
    </row>
    <row r="423" spans="4:18" ht="13.5" customHeight="1">
      <c r="D423" s="4"/>
      <c r="E423" s="3"/>
      <c r="F423" s="3"/>
      <c r="G423" s="3"/>
      <c r="H423" s="3"/>
      <c r="I423" s="3"/>
      <c r="J423" s="3"/>
      <c r="K423" s="3"/>
      <c r="L423" s="3"/>
      <c r="M423" s="3"/>
      <c r="N423" s="3"/>
      <c r="O423" s="3"/>
      <c r="P423" s="3"/>
      <c r="Q423" s="3"/>
      <c r="R423" s="3"/>
    </row>
    <row r="424" spans="4:18" ht="13.5" customHeight="1">
      <c r="D424" s="4"/>
      <c r="E424" s="3"/>
      <c r="F424" s="3"/>
      <c r="G424" s="3"/>
      <c r="H424" s="3"/>
      <c r="I424" s="3"/>
      <c r="J424" s="3"/>
      <c r="K424" s="3"/>
      <c r="L424" s="3"/>
      <c r="M424" s="3"/>
      <c r="N424" s="3"/>
      <c r="O424" s="3"/>
      <c r="P424" s="3"/>
      <c r="Q424" s="3"/>
      <c r="R424" s="3"/>
    </row>
    <row r="425" spans="4:18" ht="13.5" customHeight="1">
      <c r="D425" s="4"/>
      <c r="E425" s="3"/>
      <c r="F425" s="3"/>
      <c r="G425" s="3"/>
      <c r="H425" s="3"/>
      <c r="I425" s="3"/>
      <c r="J425" s="3"/>
      <c r="K425" s="3"/>
      <c r="L425" s="3"/>
      <c r="M425" s="3"/>
      <c r="N425" s="3"/>
      <c r="O425" s="3"/>
      <c r="P425" s="3"/>
      <c r="Q425" s="3"/>
      <c r="R425" s="3"/>
    </row>
    <row r="426" spans="4:18" ht="13.5" customHeight="1">
      <c r="D426" s="4"/>
      <c r="E426" s="3"/>
      <c r="F426" s="3"/>
      <c r="G426" s="3"/>
      <c r="H426" s="3"/>
      <c r="I426" s="3"/>
      <c r="J426" s="3"/>
      <c r="K426" s="3"/>
      <c r="L426" s="3"/>
      <c r="M426" s="3"/>
      <c r="N426" s="3"/>
      <c r="O426" s="3"/>
      <c r="P426" s="3"/>
      <c r="Q426" s="3"/>
      <c r="R426" s="3"/>
    </row>
    <row r="427" spans="4:18" ht="13.5" customHeight="1">
      <c r="D427" s="4"/>
      <c r="E427" s="3"/>
      <c r="F427" s="3"/>
      <c r="G427" s="3"/>
      <c r="H427" s="3"/>
      <c r="I427" s="3"/>
      <c r="J427" s="3"/>
      <c r="K427" s="3"/>
      <c r="L427" s="3"/>
      <c r="M427" s="3"/>
      <c r="N427" s="3"/>
      <c r="O427" s="3"/>
      <c r="P427" s="3"/>
      <c r="Q427" s="3"/>
      <c r="R427" s="3"/>
    </row>
    <row r="428" spans="4:18" ht="13.5" customHeight="1">
      <c r="D428" s="4"/>
      <c r="E428" s="3"/>
      <c r="F428" s="3"/>
      <c r="G428" s="3"/>
      <c r="H428" s="3"/>
      <c r="I428" s="3"/>
      <c r="J428" s="3"/>
      <c r="K428" s="3"/>
      <c r="L428" s="3"/>
      <c r="M428" s="3"/>
      <c r="N428" s="3"/>
      <c r="O428" s="3"/>
      <c r="P428" s="3"/>
      <c r="Q428" s="3"/>
      <c r="R428" s="3"/>
    </row>
    <row r="429" spans="4:18" ht="13.5" customHeight="1">
      <c r="D429" s="4"/>
      <c r="E429" s="3"/>
      <c r="F429" s="3"/>
      <c r="G429" s="3"/>
      <c r="H429" s="3"/>
      <c r="I429" s="3"/>
      <c r="J429" s="3"/>
      <c r="K429" s="3"/>
      <c r="L429" s="3"/>
      <c r="M429" s="3"/>
      <c r="N429" s="3"/>
      <c r="O429" s="3"/>
      <c r="P429" s="3"/>
      <c r="Q429" s="3"/>
      <c r="R429" s="3"/>
    </row>
    <row r="430" spans="4:18" ht="13.5" customHeight="1">
      <c r="D430" s="4"/>
      <c r="E430" s="3"/>
      <c r="F430" s="3"/>
      <c r="G430" s="3"/>
      <c r="H430" s="3"/>
      <c r="I430" s="3"/>
      <c r="J430" s="3"/>
      <c r="K430" s="3"/>
      <c r="L430" s="3"/>
      <c r="M430" s="3"/>
      <c r="N430" s="3"/>
      <c r="O430" s="3"/>
      <c r="P430" s="3"/>
      <c r="Q430" s="3"/>
      <c r="R430" s="3"/>
    </row>
    <row r="431" spans="4:18" ht="13.5" customHeight="1">
      <c r="D431" s="4"/>
      <c r="E431" s="3"/>
      <c r="F431" s="3"/>
      <c r="G431" s="3"/>
      <c r="H431" s="3"/>
      <c r="I431" s="3"/>
      <c r="J431" s="3"/>
      <c r="K431" s="3"/>
      <c r="L431" s="3"/>
      <c r="M431" s="3"/>
      <c r="N431" s="3"/>
      <c r="O431" s="3"/>
      <c r="P431" s="3"/>
      <c r="Q431" s="3"/>
      <c r="R431" s="3"/>
    </row>
    <row r="432" spans="4:18" ht="13.5" customHeight="1">
      <c r="D432" s="4"/>
      <c r="E432" s="3"/>
      <c r="F432" s="3"/>
      <c r="G432" s="3"/>
      <c r="H432" s="3"/>
      <c r="I432" s="3"/>
      <c r="J432" s="3"/>
      <c r="K432" s="3"/>
      <c r="L432" s="3"/>
      <c r="M432" s="3"/>
      <c r="N432" s="3"/>
      <c r="O432" s="3"/>
      <c r="P432" s="3"/>
      <c r="Q432" s="3"/>
      <c r="R432" s="3"/>
    </row>
    <row r="433" spans="4:18" ht="13.5" customHeight="1">
      <c r="D433" s="4"/>
      <c r="E433" s="3"/>
      <c r="F433" s="3"/>
      <c r="G433" s="3"/>
      <c r="H433" s="3"/>
      <c r="I433" s="3"/>
      <c r="J433" s="3"/>
      <c r="K433" s="3"/>
      <c r="L433" s="3"/>
      <c r="M433" s="3"/>
      <c r="N433" s="3"/>
      <c r="O433" s="3"/>
      <c r="P433" s="3"/>
      <c r="Q433" s="3"/>
      <c r="R433" s="3"/>
    </row>
    <row r="434" spans="4:18" ht="13.5" customHeight="1">
      <c r="D434" s="4"/>
      <c r="E434" s="3"/>
      <c r="F434" s="3"/>
      <c r="G434" s="3"/>
      <c r="H434" s="3"/>
      <c r="I434" s="3"/>
      <c r="J434" s="3"/>
      <c r="K434" s="3"/>
      <c r="L434" s="3"/>
      <c r="M434" s="3"/>
      <c r="N434" s="3"/>
      <c r="O434" s="3"/>
      <c r="P434" s="3"/>
      <c r="Q434" s="3"/>
      <c r="R434" s="3"/>
    </row>
    <row r="435" spans="4:18" ht="13.5" customHeight="1">
      <c r="D435" s="4"/>
      <c r="E435" s="3"/>
      <c r="F435" s="3"/>
      <c r="G435" s="3"/>
      <c r="H435" s="3"/>
      <c r="I435" s="3"/>
      <c r="J435" s="3"/>
      <c r="K435" s="3"/>
      <c r="L435" s="3"/>
      <c r="M435" s="3"/>
      <c r="N435" s="3"/>
      <c r="O435" s="3"/>
      <c r="P435" s="3"/>
      <c r="Q435" s="3"/>
      <c r="R435" s="3"/>
    </row>
    <row r="436" spans="4:18" ht="13.5" customHeight="1">
      <c r="D436" s="4"/>
      <c r="E436" s="3"/>
      <c r="F436" s="3"/>
      <c r="G436" s="3"/>
      <c r="H436" s="3"/>
      <c r="I436" s="3"/>
      <c r="J436" s="3"/>
      <c r="K436" s="3"/>
      <c r="L436" s="3"/>
      <c r="M436" s="3"/>
      <c r="N436" s="3"/>
      <c r="O436" s="3"/>
      <c r="P436" s="3"/>
      <c r="Q436" s="3"/>
      <c r="R436" s="3"/>
    </row>
    <row r="437" spans="4:18" ht="13.5" customHeight="1">
      <c r="D437" s="4"/>
      <c r="E437" s="3"/>
      <c r="F437" s="3"/>
      <c r="G437" s="3"/>
      <c r="H437" s="3"/>
      <c r="I437" s="3"/>
      <c r="J437" s="3"/>
      <c r="K437" s="3"/>
      <c r="L437" s="3"/>
      <c r="M437" s="3"/>
      <c r="N437" s="3"/>
      <c r="O437" s="3"/>
      <c r="P437" s="3"/>
      <c r="Q437" s="3"/>
      <c r="R437" s="3"/>
    </row>
    <row r="438" spans="4:18" ht="13.5" customHeight="1">
      <c r="D438" s="4"/>
      <c r="E438" s="3"/>
      <c r="F438" s="3"/>
      <c r="G438" s="3"/>
      <c r="H438" s="3"/>
      <c r="I438" s="3"/>
      <c r="J438" s="3"/>
      <c r="K438" s="3"/>
      <c r="L438" s="3"/>
      <c r="M438" s="3"/>
      <c r="N438" s="3"/>
      <c r="O438" s="3"/>
      <c r="P438" s="3"/>
      <c r="Q438" s="3"/>
      <c r="R438" s="3"/>
    </row>
    <row r="439" spans="4:18" ht="13.5" customHeight="1">
      <c r="D439" s="4"/>
      <c r="E439" s="3"/>
      <c r="F439" s="3"/>
      <c r="G439" s="3"/>
      <c r="H439" s="3"/>
      <c r="I439" s="3"/>
      <c r="J439" s="3"/>
      <c r="K439" s="3"/>
      <c r="L439" s="3"/>
      <c r="M439" s="3"/>
      <c r="N439" s="3"/>
      <c r="O439" s="3"/>
      <c r="P439" s="3"/>
      <c r="Q439" s="3"/>
      <c r="R439" s="3"/>
    </row>
    <row r="440" spans="4:18" ht="13.5" customHeight="1">
      <c r="D440" s="4"/>
      <c r="E440" s="3"/>
      <c r="F440" s="3"/>
      <c r="G440" s="3"/>
      <c r="H440" s="3"/>
      <c r="I440" s="3"/>
      <c r="J440" s="3"/>
      <c r="K440" s="3"/>
      <c r="L440" s="3"/>
      <c r="M440" s="3"/>
      <c r="N440" s="3"/>
      <c r="O440" s="3"/>
      <c r="P440" s="3"/>
      <c r="Q440" s="3"/>
      <c r="R440" s="3"/>
    </row>
    <row r="441" spans="4:18" ht="13.5" customHeight="1">
      <c r="D441" s="4"/>
      <c r="E441" s="3"/>
      <c r="F441" s="3"/>
      <c r="G441" s="3"/>
      <c r="H441" s="3"/>
      <c r="I441" s="3"/>
      <c r="J441" s="3"/>
      <c r="K441" s="3"/>
      <c r="L441" s="3"/>
      <c r="M441" s="3"/>
      <c r="N441" s="3"/>
      <c r="O441" s="3"/>
      <c r="P441" s="3"/>
      <c r="Q441" s="3"/>
      <c r="R441" s="3"/>
    </row>
    <row r="442" spans="4:18" ht="13.5" customHeight="1">
      <c r="D442" s="4"/>
      <c r="E442" s="3"/>
      <c r="F442" s="3"/>
      <c r="G442" s="3"/>
      <c r="H442" s="3"/>
      <c r="I442" s="3"/>
      <c r="J442" s="3"/>
      <c r="K442" s="3"/>
      <c r="L442" s="3"/>
      <c r="M442" s="3"/>
      <c r="N442" s="3"/>
      <c r="O442" s="3"/>
      <c r="P442" s="3"/>
      <c r="Q442" s="3"/>
      <c r="R442" s="3"/>
    </row>
    <row r="443" spans="4:18" ht="13.5" customHeight="1">
      <c r="D443" s="4"/>
      <c r="E443" s="3"/>
      <c r="F443" s="3"/>
      <c r="G443" s="3"/>
      <c r="H443" s="3"/>
      <c r="I443" s="3"/>
      <c r="J443" s="3"/>
      <c r="K443" s="3"/>
      <c r="L443" s="3"/>
      <c r="M443" s="3"/>
      <c r="N443" s="3"/>
      <c r="O443" s="3"/>
      <c r="P443" s="3"/>
      <c r="Q443" s="3"/>
      <c r="R443" s="3"/>
    </row>
    <row r="444" spans="4:18" ht="13.5" customHeight="1">
      <c r="D444" s="4"/>
      <c r="E444" s="3"/>
      <c r="F444" s="3"/>
      <c r="G444" s="3"/>
      <c r="H444" s="3"/>
      <c r="I444" s="3"/>
      <c r="J444" s="3"/>
      <c r="K444" s="3"/>
      <c r="L444" s="3"/>
      <c r="M444" s="3"/>
      <c r="N444" s="3"/>
      <c r="O444" s="3"/>
      <c r="P444" s="3"/>
      <c r="Q444" s="3"/>
      <c r="R444" s="3"/>
    </row>
    <row r="445" spans="4:18" ht="13.5" customHeight="1">
      <c r="D445" s="4"/>
      <c r="E445" s="3"/>
      <c r="F445" s="3"/>
      <c r="G445" s="3"/>
      <c r="H445" s="3"/>
      <c r="I445" s="3"/>
      <c r="J445" s="3"/>
      <c r="K445" s="3"/>
      <c r="L445" s="3"/>
      <c r="M445" s="3"/>
      <c r="N445" s="3"/>
      <c r="O445" s="3"/>
      <c r="P445" s="3"/>
      <c r="Q445" s="3"/>
      <c r="R445" s="3"/>
    </row>
    <row r="446" spans="4:18" ht="13.5" customHeight="1">
      <c r="D446" s="4"/>
      <c r="E446" s="3"/>
      <c r="F446" s="3"/>
      <c r="G446" s="3"/>
      <c r="H446" s="3"/>
      <c r="I446" s="3"/>
      <c r="J446" s="3"/>
      <c r="K446" s="3"/>
      <c r="L446" s="3"/>
      <c r="M446" s="3"/>
      <c r="N446" s="3"/>
      <c r="O446" s="3"/>
      <c r="P446" s="3"/>
      <c r="Q446" s="3"/>
      <c r="R446" s="3"/>
    </row>
    <row r="447" spans="4:18" ht="13.5" customHeight="1">
      <c r="D447" s="4"/>
      <c r="E447" s="3"/>
      <c r="F447" s="3"/>
      <c r="G447" s="3"/>
      <c r="H447" s="3"/>
      <c r="I447" s="3"/>
      <c r="J447" s="3"/>
      <c r="K447" s="3"/>
      <c r="L447" s="3"/>
      <c r="M447" s="3"/>
      <c r="N447" s="3"/>
      <c r="O447" s="3"/>
      <c r="P447" s="3"/>
      <c r="Q447" s="3"/>
      <c r="R447" s="3"/>
    </row>
    <row r="448" spans="4:18" ht="13.5" customHeight="1">
      <c r="D448" s="4"/>
      <c r="E448" s="3"/>
      <c r="F448" s="3"/>
      <c r="G448" s="3"/>
      <c r="H448" s="3"/>
      <c r="I448" s="3"/>
      <c r="J448" s="3"/>
      <c r="K448" s="3"/>
      <c r="L448" s="3"/>
      <c r="M448" s="3"/>
      <c r="N448" s="3"/>
      <c r="O448" s="3"/>
      <c r="P448" s="3"/>
      <c r="Q448" s="3"/>
      <c r="R448" s="3"/>
    </row>
    <row r="449" spans="4:18" ht="13.5" customHeight="1">
      <c r="D449" s="4"/>
      <c r="E449" s="3"/>
      <c r="F449" s="3"/>
      <c r="G449" s="3"/>
      <c r="H449" s="3"/>
      <c r="I449" s="3"/>
      <c r="J449" s="3"/>
      <c r="K449" s="3"/>
      <c r="L449" s="3"/>
      <c r="M449" s="3"/>
      <c r="N449" s="3"/>
      <c r="O449" s="3"/>
      <c r="P449" s="3"/>
      <c r="Q449" s="3"/>
      <c r="R449" s="3"/>
    </row>
    <row r="450" spans="4:18" ht="13.5" customHeight="1">
      <c r="D450" s="4"/>
      <c r="E450" s="3"/>
      <c r="F450" s="3"/>
      <c r="G450" s="3"/>
      <c r="H450" s="3"/>
      <c r="I450" s="3"/>
      <c r="J450" s="3"/>
      <c r="K450" s="3"/>
      <c r="L450" s="3"/>
      <c r="M450" s="3"/>
      <c r="N450" s="3"/>
      <c r="O450" s="3"/>
      <c r="P450" s="3"/>
      <c r="Q450" s="3"/>
      <c r="R450" s="3"/>
    </row>
    <row r="451" spans="4:18" ht="13.5" customHeight="1">
      <c r="D451" s="4"/>
      <c r="E451" s="3"/>
      <c r="F451" s="3"/>
      <c r="G451" s="3"/>
      <c r="H451" s="3"/>
      <c r="I451" s="3"/>
      <c r="J451" s="3"/>
      <c r="K451" s="3"/>
      <c r="L451" s="3"/>
      <c r="M451" s="3"/>
      <c r="N451" s="3"/>
      <c r="O451" s="3"/>
      <c r="P451" s="3"/>
      <c r="Q451" s="3"/>
      <c r="R451" s="3"/>
    </row>
    <row r="452" spans="4:18" ht="13.5" customHeight="1">
      <c r="D452" s="4"/>
      <c r="E452" s="3"/>
      <c r="F452" s="3"/>
      <c r="G452" s="3"/>
      <c r="H452" s="3"/>
      <c r="I452" s="3"/>
      <c r="J452" s="3"/>
      <c r="K452" s="3"/>
      <c r="L452" s="3"/>
      <c r="M452" s="3"/>
      <c r="N452" s="3"/>
      <c r="O452" s="3"/>
      <c r="P452" s="3"/>
      <c r="Q452" s="3"/>
      <c r="R452" s="3"/>
    </row>
    <row r="453" spans="4:18" ht="13.5" customHeight="1">
      <c r="D453" s="4"/>
      <c r="E453" s="3"/>
      <c r="F453" s="3"/>
      <c r="G453" s="3"/>
      <c r="H453" s="3"/>
      <c r="I453" s="3"/>
      <c r="J453" s="3"/>
      <c r="K453" s="3"/>
      <c r="L453" s="3"/>
      <c r="M453" s="3"/>
      <c r="N453" s="3"/>
      <c r="O453" s="3"/>
      <c r="P453" s="3"/>
      <c r="Q453" s="3"/>
      <c r="R453" s="3"/>
    </row>
    <row r="454" spans="4:18" ht="13.5" customHeight="1">
      <c r="D454" s="4"/>
      <c r="E454" s="3"/>
      <c r="F454" s="3"/>
      <c r="G454" s="3"/>
      <c r="H454" s="3"/>
      <c r="I454" s="3"/>
      <c r="J454" s="3"/>
      <c r="K454" s="3"/>
      <c r="L454" s="3"/>
      <c r="M454" s="3"/>
      <c r="N454" s="3"/>
      <c r="O454" s="3"/>
      <c r="P454" s="3"/>
      <c r="Q454" s="3"/>
      <c r="R454" s="3"/>
    </row>
    <row r="455" spans="4:18" ht="13.5" customHeight="1">
      <c r="D455" s="4"/>
      <c r="E455" s="3"/>
      <c r="F455" s="3"/>
      <c r="G455" s="3"/>
      <c r="H455" s="3"/>
      <c r="I455" s="3"/>
      <c r="J455" s="3"/>
      <c r="K455" s="3"/>
      <c r="L455" s="3"/>
      <c r="M455" s="3"/>
      <c r="N455" s="3"/>
      <c r="O455" s="3"/>
      <c r="P455" s="3"/>
      <c r="Q455" s="3"/>
      <c r="R455" s="3"/>
    </row>
    <row r="456" spans="4:18" ht="13.5" customHeight="1">
      <c r="D456" s="4"/>
      <c r="E456" s="3"/>
      <c r="F456" s="3"/>
      <c r="G456" s="3"/>
      <c r="H456" s="3"/>
      <c r="I456" s="3"/>
      <c r="J456" s="3"/>
      <c r="K456" s="3"/>
      <c r="L456" s="3"/>
      <c r="M456" s="3"/>
      <c r="N456" s="3"/>
      <c r="O456" s="3"/>
      <c r="P456" s="3"/>
      <c r="Q456" s="3"/>
      <c r="R456" s="3"/>
    </row>
    <row r="457" spans="4:18" ht="13.5" customHeight="1">
      <c r="D457" s="4"/>
      <c r="E457" s="3"/>
      <c r="F457" s="3"/>
      <c r="G457" s="3"/>
      <c r="H457" s="3"/>
      <c r="I457" s="3"/>
      <c r="J457" s="3"/>
      <c r="K457" s="3"/>
      <c r="L457" s="3"/>
      <c r="M457" s="3"/>
      <c r="N457" s="3"/>
      <c r="O457" s="3"/>
      <c r="P457" s="3"/>
      <c r="Q457" s="3"/>
      <c r="R457" s="3"/>
    </row>
    <row r="458" spans="4:18" ht="13.5" customHeight="1">
      <c r="D458" s="4"/>
      <c r="E458" s="3"/>
      <c r="F458" s="3"/>
      <c r="G458" s="3"/>
      <c r="H458" s="3"/>
      <c r="I458" s="3"/>
      <c r="J458" s="3"/>
      <c r="K458" s="3"/>
      <c r="L458" s="3"/>
      <c r="M458" s="3"/>
      <c r="N458" s="3"/>
      <c r="O458" s="3"/>
      <c r="P458" s="3"/>
      <c r="Q458" s="3"/>
      <c r="R458" s="3"/>
    </row>
    <row r="459" spans="4:18" ht="13.5" customHeight="1">
      <c r="D459" s="4"/>
      <c r="E459" s="3"/>
      <c r="F459" s="3"/>
      <c r="G459" s="3"/>
      <c r="H459" s="3"/>
      <c r="I459" s="3"/>
      <c r="J459" s="3"/>
      <c r="K459" s="3"/>
      <c r="L459" s="3"/>
      <c r="M459" s="3"/>
      <c r="N459" s="3"/>
      <c r="O459" s="3"/>
      <c r="P459" s="3"/>
      <c r="Q459" s="3"/>
      <c r="R459" s="3"/>
    </row>
    <row r="460" spans="4:18" ht="13.5" customHeight="1">
      <c r="D460" s="4"/>
      <c r="E460" s="3"/>
      <c r="F460" s="3"/>
      <c r="G460" s="3"/>
      <c r="H460" s="3"/>
      <c r="I460" s="3"/>
      <c r="J460" s="3"/>
      <c r="K460" s="3"/>
      <c r="L460" s="3"/>
      <c r="M460" s="3"/>
      <c r="N460" s="3"/>
      <c r="O460" s="3"/>
      <c r="P460" s="3"/>
      <c r="Q460" s="3"/>
      <c r="R460" s="3"/>
    </row>
    <row r="461" spans="4:18" ht="13.5" customHeight="1">
      <c r="D461" s="4"/>
      <c r="E461" s="3"/>
      <c r="F461" s="3"/>
      <c r="G461" s="3"/>
      <c r="H461" s="3"/>
      <c r="I461" s="3"/>
      <c r="J461" s="3"/>
      <c r="K461" s="3"/>
      <c r="L461" s="3"/>
      <c r="M461" s="3"/>
      <c r="N461" s="3"/>
      <c r="O461" s="3"/>
      <c r="P461" s="3"/>
      <c r="Q461" s="3"/>
      <c r="R461" s="3"/>
    </row>
    <row r="462" spans="4:18" ht="13.5" customHeight="1">
      <c r="D462" s="4"/>
      <c r="E462" s="3"/>
      <c r="F462" s="3"/>
      <c r="G462" s="3"/>
      <c r="H462" s="3"/>
      <c r="I462" s="3"/>
      <c r="J462" s="3"/>
      <c r="K462" s="3"/>
      <c r="L462" s="3"/>
      <c r="M462" s="3"/>
      <c r="N462" s="3"/>
      <c r="O462" s="3"/>
      <c r="P462" s="3"/>
      <c r="Q462" s="3"/>
      <c r="R462" s="3"/>
    </row>
    <row r="463" spans="4:18" ht="13.5" customHeight="1">
      <c r="D463" s="4"/>
      <c r="E463" s="3"/>
      <c r="F463" s="3"/>
      <c r="G463" s="3"/>
      <c r="H463" s="3"/>
      <c r="I463" s="3"/>
      <c r="J463" s="3"/>
      <c r="K463" s="3"/>
      <c r="L463" s="3"/>
      <c r="M463" s="3"/>
      <c r="N463" s="3"/>
      <c r="O463" s="3"/>
      <c r="P463" s="3"/>
      <c r="Q463" s="3"/>
      <c r="R463" s="3"/>
    </row>
    <row r="464" spans="4:18" ht="13.5" customHeight="1">
      <c r="D464" s="4"/>
      <c r="E464" s="3"/>
      <c r="F464" s="3"/>
      <c r="G464" s="3"/>
      <c r="H464" s="3"/>
      <c r="I464" s="3"/>
      <c r="J464" s="3"/>
      <c r="K464" s="3"/>
      <c r="L464" s="3"/>
      <c r="M464" s="3"/>
      <c r="N464" s="3"/>
      <c r="O464" s="3"/>
      <c r="P464" s="3"/>
      <c r="Q464" s="3"/>
      <c r="R464" s="3"/>
    </row>
    <row r="465" spans="4:18" ht="13.5" customHeight="1">
      <c r="D465" s="4"/>
      <c r="E465" s="3"/>
      <c r="F465" s="3"/>
      <c r="G465" s="3"/>
      <c r="H465" s="3"/>
      <c r="I465" s="3"/>
      <c r="J465" s="3"/>
      <c r="K465" s="3"/>
      <c r="L465" s="3"/>
      <c r="M465" s="3"/>
      <c r="N465" s="3"/>
      <c r="O465" s="3"/>
      <c r="P465" s="3"/>
      <c r="Q465" s="3"/>
      <c r="R465" s="3"/>
    </row>
    <row r="466" spans="4:18" ht="13.5" customHeight="1">
      <c r="D466" s="4"/>
      <c r="E466" s="3"/>
      <c r="F466" s="3"/>
      <c r="G466" s="3"/>
      <c r="H466" s="3"/>
      <c r="I466" s="3"/>
      <c r="J466" s="3"/>
      <c r="K466" s="3"/>
      <c r="L466" s="3"/>
      <c r="M466" s="3"/>
      <c r="N466" s="3"/>
      <c r="O466" s="3"/>
      <c r="P466" s="3"/>
      <c r="Q466" s="3"/>
      <c r="R466" s="3"/>
    </row>
    <row r="467" spans="4:18" ht="13.5" customHeight="1">
      <c r="D467" s="4"/>
      <c r="E467" s="3"/>
      <c r="F467" s="3"/>
      <c r="G467" s="3"/>
      <c r="H467" s="3"/>
      <c r="I467" s="3"/>
      <c r="J467" s="3"/>
      <c r="K467" s="3"/>
      <c r="L467" s="3"/>
      <c r="M467" s="3"/>
      <c r="N467" s="3"/>
      <c r="O467" s="3"/>
      <c r="P467" s="3"/>
      <c r="Q467" s="3"/>
      <c r="R467" s="3"/>
    </row>
    <row r="468" spans="4:18" ht="13.5" customHeight="1">
      <c r="D468" s="4"/>
      <c r="E468" s="3"/>
      <c r="F468" s="3"/>
      <c r="G468" s="3"/>
      <c r="H468" s="3"/>
      <c r="I468" s="3"/>
      <c r="J468" s="3"/>
      <c r="K468" s="3"/>
      <c r="L468" s="3"/>
      <c r="M468" s="3"/>
      <c r="N468" s="3"/>
      <c r="O468" s="3"/>
      <c r="P468" s="3"/>
      <c r="Q468" s="3"/>
      <c r="R468" s="3"/>
    </row>
    <row r="469" spans="4:18" ht="13.5" customHeight="1">
      <c r="D469" s="4"/>
      <c r="E469" s="3"/>
      <c r="F469" s="3"/>
      <c r="G469" s="3"/>
      <c r="H469" s="3"/>
      <c r="I469" s="3"/>
      <c r="J469" s="3"/>
      <c r="K469" s="3"/>
      <c r="L469" s="3"/>
      <c r="M469" s="3"/>
      <c r="N469" s="3"/>
      <c r="O469" s="3"/>
      <c r="P469" s="3"/>
      <c r="Q469" s="3"/>
      <c r="R469" s="3"/>
    </row>
    <row r="470" spans="4:18" ht="13.5" customHeight="1">
      <c r="D470" s="4"/>
      <c r="E470" s="3"/>
      <c r="F470" s="3"/>
      <c r="G470" s="3"/>
      <c r="H470" s="3"/>
      <c r="I470" s="3"/>
      <c r="J470" s="3"/>
      <c r="K470" s="3"/>
      <c r="L470" s="3"/>
      <c r="M470" s="3"/>
      <c r="N470" s="3"/>
      <c r="O470" s="3"/>
      <c r="P470" s="3"/>
      <c r="Q470" s="3"/>
      <c r="R470" s="3"/>
    </row>
    <row r="471" spans="4:18" ht="13.5" customHeight="1">
      <c r="D471" s="4"/>
      <c r="E471" s="3"/>
      <c r="F471" s="3"/>
      <c r="G471" s="3"/>
      <c r="H471" s="3"/>
      <c r="I471" s="3"/>
      <c r="J471" s="3"/>
      <c r="K471" s="3"/>
      <c r="L471" s="3"/>
      <c r="M471" s="3"/>
      <c r="N471" s="3"/>
      <c r="O471" s="3"/>
      <c r="P471" s="3"/>
      <c r="Q471" s="3"/>
      <c r="R471" s="3"/>
    </row>
    <row r="472" spans="4:18" ht="13.5" customHeight="1">
      <c r="D472" s="4"/>
      <c r="E472" s="3"/>
      <c r="F472" s="3"/>
      <c r="G472" s="3"/>
      <c r="H472" s="3"/>
      <c r="I472" s="3"/>
      <c r="J472" s="3"/>
      <c r="K472" s="3"/>
      <c r="L472" s="3"/>
      <c r="M472" s="3"/>
      <c r="N472" s="3"/>
      <c r="O472" s="3"/>
      <c r="P472" s="3"/>
      <c r="Q472" s="3"/>
      <c r="R472" s="3"/>
    </row>
    <row r="473" spans="4:18" ht="13.5" customHeight="1">
      <c r="D473" s="4"/>
      <c r="E473" s="3"/>
      <c r="F473" s="3"/>
      <c r="G473" s="3"/>
      <c r="H473" s="3"/>
      <c r="I473" s="3"/>
      <c r="J473" s="3"/>
      <c r="K473" s="3"/>
      <c r="L473" s="3"/>
      <c r="M473" s="3"/>
      <c r="N473" s="3"/>
      <c r="O473" s="3"/>
      <c r="P473" s="3"/>
      <c r="Q473" s="3"/>
      <c r="R473" s="3"/>
    </row>
    <row r="474" spans="4:18" ht="13.5" customHeight="1">
      <c r="D474" s="4"/>
      <c r="E474" s="3"/>
      <c r="F474" s="3"/>
      <c r="G474" s="3"/>
      <c r="H474" s="3"/>
      <c r="I474" s="3"/>
      <c r="J474" s="3"/>
      <c r="K474" s="3"/>
      <c r="L474" s="3"/>
      <c r="M474" s="3"/>
      <c r="N474" s="3"/>
      <c r="O474" s="3"/>
      <c r="P474" s="3"/>
      <c r="Q474" s="3"/>
      <c r="R474" s="3"/>
    </row>
    <row r="475" spans="4:18" ht="13.5" customHeight="1">
      <c r="D475" s="4"/>
      <c r="E475" s="3"/>
      <c r="F475" s="3"/>
      <c r="G475" s="3"/>
      <c r="H475" s="3"/>
      <c r="I475" s="3"/>
      <c r="J475" s="3"/>
      <c r="K475" s="3"/>
      <c r="L475" s="3"/>
      <c r="M475" s="3"/>
      <c r="N475" s="3"/>
      <c r="O475" s="3"/>
      <c r="P475" s="3"/>
      <c r="Q475" s="3"/>
      <c r="R475" s="3"/>
    </row>
    <row r="476" spans="4:18" ht="13.5" customHeight="1">
      <c r="D476" s="4"/>
      <c r="E476" s="3"/>
      <c r="F476" s="3"/>
      <c r="G476" s="3"/>
      <c r="H476" s="3"/>
      <c r="I476" s="3"/>
      <c r="J476" s="3"/>
      <c r="K476" s="3"/>
      <c r="L476" s="3"/>
      <c r="M476" s="3"/>
      <c r="N476" s="3"/>
      <c r="O476" s="3"/>
      <c r="P476" s="3"/>
      <c r="Q476" s="3"/>
      <c r="R476" s="3"/>
    </row>
    <row r="477" spans="4:18" ht="13.5" customHeight="1">
      <c r="D477" s="4"/>
      <c r="E477" s="3"/>
      <c r="F477" s="3"/>
      <c r="G477" s="3"/>
      <c r="H477" s="3"/>
      <c r="I477" s="3"/>
      <c r="J477" s="3"/>
      <c r="K477" s="3"/>
      <c r="L477" s="3"/>
      <c r="M477" s="3"/>
      <c r="N477" s="3"/>
      <c r="O477" s="3"/>
      <c r="P477" s="3"/>
      <c r="Q477" s="3"/>
      <c r="R477" s="3"/>
    </row>
    <row r="478" spans="4:18" ht="13.5" customHeight="1">
      <c r="D478" s="4"/>
      <c r="E478" s="3"/>
      <c r="F478" s="3"/>
      <c r="G478" s="3"/>
      <c r="H478" s="3"/>
      <c r="I478" s="3"/>
      <c r="J478" s="3"/>
      <c r="K478" s="3"/>
      <c r="L478" s="3"/>
      <c r="M478" s="3"/>
      <c r="N478" s="3"/>
      <c r="O478" s="3"/>
      <c r="P478" s="3"/>
      <c r="Q478" s="3"/>
      <c r="R478" s="3"/>
    </row>
    <row r="479" spans="4:18" ht="13.5" customHeight="1">
      <c r="D479" s="4"/>
      <c r="E479" s="3"/>
      <c r="F479" s="3"/>
      <c r="G479" s="3"/>
      <c r="H479" s="3"/>
      <c r="I479" s="3"/>
      <c r="J479" s="3"/>
      <c r="K479" s="3"/>
      <c r="L479" s="3"/>
      <c r="M479" s="3"/>
      <c r="N479" s="3"/>
      <c r="O479" s="3"/>
      <c r="P479" s="3"/>
      <c r="Q479" s="3"/>
      <c r="R479" s="3"/>
    </row>
    <row r="480" spans="4:18" ht="13.5" customHeight="1">
      <c r="D480" s="4"/>
      <c r="E480" s="3"/>
      <c r="F480" s="3"/>
      <c r="G480" s="3"/>
      <c r="H480" s="3"/>
      <c r="I480" s="3"/>
      <c r="J480" s="3"/>
      <c r="K480" s="3"/>
      <c r="L480" s="3"/>
      <c r="M480" s="3"/>
      <c r="N480" s="3"/>
      <c r="O480" s="3"/>
      <c r="P480" s="3"/>
      <c r="Q480" s="3"/>
      <c r="R480" s="3"/>
    </row>
    <row r="481" spans="4:18" ht="13.5" customHeight="1">
      <c r="D481" s="4"/>
      <c r="E481" s="3"/>
      <c r="F481" s="3"/>
      <c r="G481" s="3"/>
      <c r="H481" s="3"/>
      <c r="I481" s="3"/>
      <c r="J481" s="3"/>
      <c r="K481" s="3"/>
      <c r="L481" s="3"/>
      <c r="M481" s="3"/>
      <c r="N481" s="3"/>
      <c r="O481" s="3"/>
      <c r="P481" s="3"/>
      <c r="Q481" s="3"/>
      <c r="R481" s="3"/>
    </row>
    <row r="482" spans="4:18" ht="13.5" customHeight="1">
      <c r="D482" s="4"/>
      <c r="E482" s="3"/>
      <c r="F482" s="3"/>
      <c r="G482" s="3"/>
      <c r="H482" s="3"/>
      <c r="I482" s="3"/>
      <c r="J482" s="3"/>
      <c r="K482" s="3"/>
      <c r="L482" s="3"/>
      <c r="M482" s="3"/>
      <c r="N482" s="3"/>
      <c r="O482" s="3"/>
      <c r="P482" s="3"/>
      <c r="Q482" s="3"/>
      <c r="R482" s="3"/>
    </row>
    <row r="483" spans="4:18" ht="13.5" customHeight="1">
      <c r="D483" s="4"/>
      <c r="E483" s="3"/>
      <c r="F483" s="3"/>
      <c r="G483" s="3"/>
      <c r="H483" s="3"/>
      <c r="I483" s="3"/>
      <c r="J483" s="3"/>
      <c r="K483" s="3"/>
      <c r="L483" s="3"/>
      <c r="M483" s="3"/>
      <c r="N483" s="3"/>
      <c r="O483" s="3"/>
      <c r="P483" s="3"/>
      <c r="Q483" s="3"/>
      <c r="R483" s="3"/>
    </row>
    <row r="484" spans="4:18" ht="13.5" customHeight="1">
      <c r="D484" s="4"/>
      <c r="E484" s="3"/>
      <c r="F484" s="3"/>
      <c r="G484" s="3"/>
      <c r="H484" s="3"/>
      <c r="I484" s="3"/>
      <c r="J484" s="3"/>
      <c r="K484" s="3"/>
      <c r="L484" s="3"/>
      <c r="M484" s="3"/>
      <c r="N484" s="3"/>
      <c r="O484" s="3"/>
      <c r="P484" s="3"/>
      <c r="Q484" s="3"/>
      <c r="R484" s="3"/>
    </row>
    <row r="485" spans="4:18" ht="13.5" customHeight="1">
      <c r="D485" s="4"/>
      <c r="E485" s="3"/>
      <c r="F485" s="3"/>
      <c r="G485" s="3"/>
      <c r="H485" s="3"/>
      <c r="I485" s="3"/>
      <c r="J485" s="3"/>
      <c r="K485" s="3"/>
      <c r="L485" s="3"/>
      <c r="M485" s="3"/>
      <c r="N485" s="3"/>
      <c r="O485" s="3"/>
      <c r="P485" s="3"/>
      <c r="Q485" s="3"/>
      <c r="R485" s="3"/>
    </row>
    <row r="486" spans="4:18" ht="13.5" customHeight="1">
      <c r="D486" s="4"/>
      <c r="E486" s="3"/>
      <c r="F486" s="3"/>
      <c r="G486" s="3"/>
      <c r="H486" s="3"/>
      <c r="I486" s="3"/>
      <c r="J486" s="3"/>
      <c r="K486" s="3"/>
      <c r="L486" s="3"/>
      <c r="M486" s="3"/>
      <c r="N486" s="3"/>
      <c r="O486" s="3"/>
      <c r="P486" s="3"/>
      <c r="Q486" s="3"/>
      <c r="R486" s="3"/>
    </row>
    <row r="487" spans="4:18" ht="13.5" customHeight="1">
      <c r="D487" s="4"/>
      <c r="E487" s="3"/>
      <c r="F487" s="3"/>
      <c r="G487" s="3"/>
      <c r="H487" s="3"/>
      <c r="I487" s="3"/>
      <c r="J487" s="3"/>
      <c r="K487" s="3"/>
      <c r="L487" s="3"/>
      <c r="M487" s="3"/>
      <c r="N487" s="3"/>
      <c r="O487" s="3"/>
      <c r="P487" s="3"/>
      <c r="Q487" s="3"/>
      <c r="R487" s="3"/>
    </row>
    <row r="488" spans="4:18" ht="13.5" customHeight="1">
      <c r="D488" s="4"/>
      <c r="E488" s="3"/>
      <c r="F488" s="3"/>
      <c r="G488" s="3"/>
      <c r="H488" s="3"/>
      <c r="I488" s="3"/>
      <c r="J488" s="3"/>
      <c r="K488" s="3"/>
      <c r="L488" s="3"/>
      <c r="M488" s="3"/>
      <c r="N488" s="3"/>
      <c r="O488" s="3"/>
      <c r="P488" s="3"/>
      <c r="Q488" s="3"/>
      <c r="R488" s="3"/>
    </row>
    <row r="489" spans="4:18" ht="13.5" customHeight="1">
      <c r="D489" s="4"/>
      <c r="E489" s="3"/>
      <c r="F489" s="3"/>
      <c r="G489" s="3"/>
      <c r="H489" s="3"/>
      <c r="I489" s="3"/>
      <c r="J489" s="3"/>
      <c r="K489" s="3"/>
      <c r="L489" s="3"/>
      <c r="M489" s="3"/>
      <c r="N489" s="3"/>
      <c r="O489" s="3"/>
      <c r="P489" s="3"/>
      <c r="Q489" s="3"/>
      <c r="R489" s="3"/>
    </row>
    <row r="490" spans="4:18" ht="13.5" customHeight="1">
      <c r="D490" s="4"/>
      <c r="E490" s="3"/>
      <c r="F490" s="3"/>
      <c r="G490" s="3"/>
      <c r="H490" s="3"/>
      <c r="I490" s="3"/>
      <c r="J490" s="3"/>
      <c r="K490" s="3"/>
      <c r="L490" s="3"/>
      <c r="M490" s="3"/>
      <c r="N490" s="3"/>
      <c r="O490" s="3"/>
      <c r="P490" s="3"/>
      <c r="Q490" s="3"/>
      <c r="R490" s="3"/>
    </row>
    <row r="491" spans="4:18" ht="13.5" customHeight="1">
      <c r="D491" s="4"/>
      <c r="E491" s="3"/>
      <c r="F491" s="3"/>
      <c r="G491" s="3"/>
      <c r="H491" s="3"/>
      <c r="I491" s="3"/>
      <c r="J491" s="3"/>
      <c r="K491" s="3"/>
      <c r="L491" s="3"/>
      <c r="M491" s="3"/>
      <c r="N491" s="3"/>
      <c r="O491" s="3"/>
      <c r="P491" s="3"/>
      <c r="Q491" s="3"/>
      <c r="R491" s="3"/>
    </row>
    <row r="492" spans="4:18" ht="13.5" customHeight="1">
      <c r="D492" s="4"/>
      <c r="E492" s="3"/>
      <c r="F492" s="3"/>
      <c r="G492" s="3"/>
      <c r="H492" s="3"/>
      <c r="I492" s="3"/>
      <c r="J492" s="3"/>
      <c r="K492" s="3"/>
      <c r="L492" s="3"/>
      <c r="M492" s="3"/>
      <c r="N492" s="3"/>
      <c r="O492" s="3"/>
      <c r="P492" s="3"/>
      <c r="Q492" s="3"/>
      <c r="R492" s="3"/>
    </row>
    <row r="493" spans="4:18" ht="13.5" customHeight="1">
      <c r="D493" s="4"/>
      <c r="E493" s="3"/>
      <c r="F493" s="3"/>
      <c r="G493" s="3"/>
      <c r="H493" s="3"/>
      <c r="I493" s="3"/>
      <c r="J493" s="3"/>
      <c r="K493" s="3"/>
      <c r="L493" s="3"/>
      <c r="M493" s="3"/>
      <c r="N493" s="3"/>
      <c r="O493" s="3"/>
      <c r="P493" s="3"/>
      <c r="Q493" s="3"/>
      <c r="R493" s="3"/>
    </row>
    <row r="494" spans="4:18" ht="13.5" customHeight="1">
      <c r="D494" s="4"/>
      <c r="E494" s="3"/>
      <c r="F494" s="3"/>
      <c r="G494" s="3"/>
      <c r="H494" s="3"/>
      <c r="I494" s="3"/>
      <c r="J494" s="3"/>
      <c r="K494" s="3"/>
      <c r="L494" s="3"/>
      <c r="M494" s="3"/>
      <c r="N494" s="3"/>
      <c r="O494" s="3"/>
      <c r="P494" s="3"/>
      <c r="Q494" s="3"/>
      <c r="R494" s="3"/>
    </row>
    <row r="495" spans="4:18" ht="13.5" customHeight="1">
      <c r="D495" s="4"/>
      <c r="E495" s="3"/>
      <c r="F495" s="3"/>
      <c r="G495" s="3"/>
      <c r="H495" s="3"/>
      <c r="I495" s="3"/>
      <c r="J495" s="3"/>
      <c r="K495" s="3"/>
      <c r="L495" s="3"/>
      <c r="M495" s="3"/>
      <c r="N495" s="3"/>
      <c r="O495" s="3"/>
      <c r="P495" s="3"/>
      <c r="Q495" s="3"/>
      <c r="R495" s="3"/>
    </row>
    <row r="496" spans="4:18" ht="13.5" customHeight="1">
      <c r="D496" s="4"/>
      <c r="E496" s="3"/>
      <c r="F496" s="3"/>
      <c r="G496" s="3"/>
      <c r="H496" s="3"/>
      <c r="I496" s="3"/>
      <c r="J496" s="3"/>
      <c r="K496" s="3"/>
      <c r="L496" s="3"/>
      <c r="M496" s="3"/>
      <c r="N496" s="3"/>
      <c r="O496" s="3"/>
      <c r="P496" s="3"/>
      <c r="Q496" s="3"/>
      <c r="R496" s="3"/>
    </row>
    <row r="497" spans="4:18" ht="13.5" customHeight="1">
      <c r="D497" s="4"/>
      <c r="E497" s="3"/>
      <c r="F497" s="3"/>
      <c r="G497" s="3"/>
      <c r="H497" s="3"/>
      <c r="I497" s="3"/>
      <c r="J497" s="3"/>
      <c r="K497" s="3"/>
      <c r="L497" s="3"/>
      <c r="M497" s="3"/>
      <c r="N497" s="3"/>
      <c r="O497" s="3"/>
      <c r="P497" s="3"/>
      <c r="Q497" s="3"/>
      <c r="R497" s="3"/>
    </row>
    <row r="498" spans="4:18" ht="13.5" customHeight="1">
      <c r="D498" s="4"/>
      <c r="E498" s="3"/>
      <c r="F498" s="3"/>
      <c r="G498" s="3"/>
      <c r="H498" s="3"/>
      <c r="I498" s="3"/>
      <c r="J498" s="3"/>
      <c r="K498" s="3"/>
      <c r="L498" s="3"/>
      <c r="M498" s="3"/>
      <c r="N498" s="3"/>
      <c r="O498" s="3"/>
      <c r="P498" s="3"/>
      <c r="Q498" s="3"/>
      <c r="R498" s="3"/>
    </row>
    <row r="499" spans="4:18" ht="13.5" customHeight="1">
      <c r="D499" s="4"/>
      <c r="E499" s="3"/>
      <c r="F499" s="3"/>
      <c r="G499" s="3"/>
      <c r="H499" s="3"/>
      <c r="I499" s="3"/>
      <c r="J499" s="3"/>
      <c r="K499" s="3"/>
      <c r="L499" s="3"/>
      <c r="M499" s="3"/>
      <c r="N499" s="3"/>
      <c r="O499" s="3"/>
      <c r="P499" s="3"/>
      <c r="Q499" s="3"/>
      <c r="R499" s="3"/>
    </row>
    <row r="500" spans="4:18" ht="13.5" customHeight="1">
      <c r="D500" s="4"/>
      <c r="E500" s="3"/>
      <c r="F500" s="3"/>
      <c r="G500" s="3"/>
      <c r="H500" s="3"/>
      <c r="I500" s="3"/>
      <c r="J500" s="3"/>
      <c r="K500" s="3"/>
      <c r="L500" s="3"/>
      <c r="M500" s="3"/>
      <c r="N500" s="3"/>
      <c r="O500" s="3"/>
      <c r="P500" s="3"/>
      <c r="Q500" s="3"/>
      <c r="R500" s="3"/>
    </row>
    <row r="501" spans="4:18" ht="13.5" customHeight="1">
      <c r="D501" s="4"/>
      <c r="E501" s="3"/>
      <c r="F501" s="3"/>
      <c r="G501" s="3"/>
      <c r="H501" s="3"/>
      <c r="I501" s="3"/>
      <c r="J501" s="3"/>
      <c r="K501" s="3"/>
      <c r="L501" s="3"/>
      <c r="M501" s="3"/>
      <c r="N501" s="3"/>
      <c r="O501" s="3"/>
      <c r="P501" s="3"/>
      <c r="Q501" s="3"/>
      <c r="R501" s="3"/>
    </row>
    <row r="502" spans="4:18" ht="13.5" customHeight="1">
      <c r="D502" s="4"/>
      <c r="E502" s="3"/>
      <c r="F502" s="3"/>
      <c r="G502" s="3"/>
      <c r="H502" s="3"/>
      <c r="I502" s="3"/>
      <c r="J502" s="3"/>
      <c r="K502" s="3"/>
      <c r="L502" s="3"/>
      <c r="M502" s="3"/>
      <c r="N502" s="3"/>
      <c r="O502" s="3"/>
      <c r="P502" s="3"/>
      <c r="Q502" s="3"/>
      <c r="R502" s="3"/>
    </row>
    <row r="503" spans="4:18" ht="13.5" customHeight="1">
      <c r="D503" s="4"/>
      <c r="E503" s="3"/>
      <c r="F503" s="3"/>
      <c r="G503" s="3"/>
      <c r="H503" s="3"/>
      <c r="I503" s="3"/>
      <c r="J503" s="3"/>
      <c r="K503" s="3"/>
      <c r="L503" s="3"/>
      <c r="M503" s="3"/>
      <c r="N503" s="3"/>
      <c r="O503" s="3"/>
      <c r="P503" s="3"/>
      <c r="Q503" s="3"/>
      <c r="R503" s="3"/>
    </row>
    <row r="504" spans="4:18" ht="13.5" customHeight="1">
      <c r="D504" s="4"/>
      <c r="E504" s="3"/>
      <c r="F504" s="3"/>
      <c r="G504" s="3"/>
      <c r="H504" s="3"/>
      <c r="I504" s="3"/>
      <c r="J504" s="3"/>
      <c r="K504" s="3"/>
      <c r="L504" s="3"/>
      <c r="M504" s="3"/>
      <c r="N504" s="3"/>
      <c r="O504" s="3"/>
      <c r="P504" s="3"/>
      <c r="Q504" s="3"/>
      <c r="R504" s="3"/>
    </row>
    <row r="505" spans="4:18" ht="13.5" customHeight="1">
      <c r="D505" s="4"/>
      <c r="E505" s="3"/>
      <c r="F505" s="3"/>
      <c r="G505" s="3"/>
      <c r="H505" s="3"/>
      <c r="I505" s="3"/>
      <c r="J505" s="3"/>
      <c r="K505" s="3"/>
      <c r="L505" s="3"/>
      <c r="M505" s="3"/>
      <c r="N505" s="3"/>
      <c r="O505" s="3"/>
      <c r="P505" s="3"/>
      <c r="Q505" s="3"/>
      <c r="R505" s="3"/>
    </row>
    <row r="506" spans="4:18" ht="13.5" customHeight="1">
      <c r="D506" s="4"/>
      <c r="E506" s="3"/>
      <c r="F506" s="3"/>
      <c r="G506" s="3"/>
      <c r="H506" s="3"/>
      <c r="I506" s="3"/>
      <c r="J506" s="3"/>
      <c r="K506" s="3"/>
      <c r="L506" s="3"/>
      <c r="M506" s="3"/>
      <c r="N506" s="3"/>
      <c r="O506" s="3"/>
      <c r="P506" s="3"/>
      <c r="Q506" s="3"/>
      <c r="R506" s="3"/>
    </row>
    <row r="507" spans="4:18" ht="13.5" customHeight="1">
      <c r="D507" s="4"/>
      <c r="E507" s="3"/>
      <c r="F507" s="3"/>
      <c r="G507" s="3"/>
      <c r="H507" s="3"/>
      <c r="I507" s="3"/>
      <c r="J507" s="3"/>
      <c r="K507" s="3"/>
      <c r="L507" s="3"/>
      <c r="M507" s="3"/>
      <c r="N507" s="3"/>
      <c r="O507" s="3"/>
      <c r="P507" s="3"/>
      <c r="Q507" s="3"/>
      <c r="R507" s="3"/>
    </row>
    <row r="508" spans="4:18" ht="13.5" customHeight="1">
      <c r="D508" s="4"/>
      <c r="E508" s="3"/>
      <c r="F508" s="3"/>
      <c r="G508" s="3"/>
      <c r="H508" s="3"/>
      <c r="I508" s="3"/>
      <c r="J508" s="3"/>
      <c r="K508" s="3"/>
      <c r="L508" s="3"/>
      <c r="M508" s="3"/>
      <c r="N508" s="3"/>
      <c r="O508" s="3"/>
      <c r="P508" s="3"/>
      <c r="Q508" s="3"/>
      <c r="R508" s="3"/>
    </row>
    <row r="509" spans="4:18" ht="13.5" customHeight="1">
      <c r="D509" s="4"/>
      <c r="E509" s="3"/>
      <c r="F509" s="3"/>
      <c r="G509" s="3"/>
      <c r="H509" s="3"/>
      <c r="I509" s="3"/>
      <c r="J509" s="3"/>
      <c r="K509" s="3"/>
      <c r="L509" s="3"/>
      <c r="M509" s="3"/>
      <c r="N509" s="3"/>
      <c r="O509" s="3"/>
      <c r="P509" s="3"/>
      <c r="Q509" s="3"/>
      <c r="R509" s="3"/>
    </row>
    <row r="510" spans="4:18" ht="13.5" customHeight="1">
      <c r="D510" s="4"/>
      <c r="E510" s="3"/>
      <c r="F510" s="3"/>
      <c r="G510" s="3"/>
      <c r="H510" s="3"/>
      <c r="I510" s="3"/>
      <c r="J510" s="3"/>
      <c r="K510" s="3"/>
      <c r="L510" s="3"/>
      <c r="M510" s="3"/>
      <c r="N510" s="3"/>
      <c r="O510" s="3"/>
      <c r="P510" s="3"/>
      <c r="Q510" s="3"/>
      <c r="R510" s="3"/>
    </row>
    <row r="511" spans="4:18" ht="13.5" customHeight="1">
      <c r="D511" s="4"/>
      <c r="E511" s="3"/>
      <c r="F511" s="3"/>
      <c r="G511" s="3"/>
      <c r="H511" s="3"/>
      <c r="I511" s="3"/>
      <c r="J511" s="3"/>
      <c r="K511" s="3"/>
      <c r="L511" s="3"/>
      <c r="M511" s="3"/>
      <c r="N511" s="3"/>
      <c r="O511" s="3"/>
      <c r="P511" s="3"/>
      <c r="Q511" s="3"/>
      <c r="R511" s="3"/>
    </row>
    <row r="512" spans="4:18" ht="13.5" customHeight="1">
      <c r="D512" s="4"/>
      <c r="E512" s="3"/>
      <c r="F512" s="3"/>
      <c r="G512" s="3"/>
      <c r="H512" s="3"/>
      <c r="I512" s="3"/>
      <c r="J512" s="3"/>
      <c r="K512" s="3"/>
      <c r="L512" s="3"/>
      <c r="M512" s="3"/>
      <c r="N512" s="3"/>
      <c r="O512" s="3"/>
      <c r="P512" s="3"/>
      <c r="Q512" s="3"/>
      <c r="R512" s="3"/>
    </row>
    <row r="513" spans="4:18" ht="13.5" customHeight="1">
      <c r="D513" s="4"/>
      <c r="E513" s="3"/>
      <c r="F513" s="3"/>
      <c r="G513" s="3"/>
      <c r="H513" s="3"/>
      <c r="I513" s="3"/>
      <c r="J513" s="3"/>
      <c r="K513" s="3"/>
      <c r="L513" s="3"/>
      <c r="M513" s="3"/>
      <c r="N513" s="3"/>
      <c r="O513" s="3"/>
      <c r="P513" s="3"/>
      <c r="Q513" s="3"/>
      <c r="R513" s="3"/>
    </row>
    <row r="514" spans="4:18" ht="13.5" customHeight="1">
      <c r="D514" s="4"/>
      <c r="E514" s="3"/>
      <c r="F514" s="3"/>
      <c r="G514" s="3"/>
      <c r="H514" s="3"/>
      <c r="I514" s="3"/>
      <c r="J514" s="3"/>
      <c r="K514" s="3"/>
      <c r="L514" s="3"/>
      <c r="M514" s="3"/>
      <c r="N514" s="3"/>
      <c r="O514" s="3"/>
      <c r="P514" s="3"/>
      <c r="Q514" s="3"/>
      <c r="R514" s="3"/>
    </row>
    <row r="515" spans="4:18" ht="13.5" customHeight="1">
      <c r="D515" s="4"/>
      <c r="E515" s="3"/>
      <c r="F515" s="3"/>
      <c r="G515" s="3"/>
      <c r="H515" s="3"/>
      <c r="I515" s="3"/>
      <c r="J515" s="3"/>
      <c r="K515" s="3"/>
      <c r="L515" s="3"/>
      <c r="M515" s="3"/>
      <c r="N515" s="3"/>
      <c r="O515" s="3"/>
      <c r="P515" s="3"/>
      <c r="Q515" s="3"/>
      <c r="R515" s="3"/>
    </row>
    <row r="516" spans="4:18" ht="13.5" customHeight="1">
      <c r="D516" s="4"/>
      <c r="E516" s="3"/>
      <c r="F516" s="3"/>
      <c r="G516" s="3"/>
      <c r="H516" s="3"/>
      <c r="I516" s="3"/>
      <c r="J516" s="3"/>
      <c r="K516" s="3"/>
      <c r="L516" s="3"/>
      <c r="M516" s="3"/>
      <c r="N516" s="3"/>
      <c r="O516" s="3"/>
      <c r="P516" s="3"/>
      <c r="Q516" s="3"/>
      <c r="R516" s="3"/>
    </row>
    <row r="517" spans="4:18" ht="13.5" customHeight="1">
      <c r="D517" s="4"/>
      <c r="E517" s="3"/>
      <c r="F517" s="3"/>
      <c r="G517" s="3"/>
      <c r="H517" s="3"/>
      <c r="I517" s="3"/>
      <c r="J517" s="3"/>
      <c r="K517" s="3"/>
      <c r="L517" s="3"/>
      <c r="M517" s="3"/>
      <c r="N517" s="3"/>
      <c r="O517" s="3"/>
      <c r="P517" s="3"/>
      <c r="Q517" s="3"/>
      <c r="R517" s="3"/>
    </row>
    <row r="518" spans="4:18" ht="13.5" customHeight="1">
      <c r="D518" s="4"/>
      <c r="E518" s="3"/>
      <c r="F518" s="3"/>
      <c r="G518" s="3"/>
      <c r="H518" s="3"/>
      <c r="I518" s="3"/>
      <c r="J518" s="3"/>
      <c r="K518" s="3"/>
      <c r="L518" s="3"/>
      <c r="M518" s="3"/>
      <c r="N518" s="3"/>
      <c r="O518" s="3"/>
      <c r="P518" s="3"/>
      <c r="Q518" s="3"/>
      <c r="R518" s="3"/>
    </row>
    <row r="519" spans="4:18" ht="13.5" customHeight="1">
      <c r="D519" s="4"/>
      <c r="E519" s="3"/>
      <c r="F519" s="3"/>
      <c r="G519" s="3"/>
      <c r="H519" s="3"/>
      <c r="I519" s="3"/>
      <c r="J519" s="3"/>
      <c r="K519" s="3"/>
      <c r="L519" s="3"/>
      <c r="M519" s="3"/>
      <c r="N519" s="3"/>
      <c r="O519" s="3"/>
      <c r="P519" s="3"/>
      <c r="Q519" s="3"/>
      <c r="R519" s="3"/>
    </row>
    <row r="520" spans="4:18" ht="13.5" customHeight="1">
      <c r="D520" s="4"/>
      <c r="E520" s="3"/>
      <c r="F520" s="3"/>
      <c r="G520" s="3"/>
      <c r="H520" s="3"/>
      <c r="I520" s="3"/>
      <c r="J520" s="3"/>
      <c r="K520" s="3"/>
      <c r="L520" s="3"/>
      <c r="M520" s="3"/>
      <c r="N520" s="3"/>
      <c r="O520" s="3"/>
      <c r="P520" s="3"/>
      <c r="Q520" s="3"/>
      <c r="R520" s="3"/>
    </row>
    <row r="521" spans="4:18" ht="13.5" customHeight="1">
      <c r="D521" s="4"/>
      <c r="E521" s="3"/>
      <c r="F521" s="3"/>
      <c r="G521" s="3"/>
      <c r="H521" s="3"/>
      <c r="I521" s="3"/>
      <c r="J521" s="3"/>
      <c r="K521" s="3"/>
      <c r="L521" s="3"/>
      <c r="M521" s="3"/>
      <c r="N521" s="3"/>
      <c r="O521" s="3"/>
      <c r="P521" s="3"/>
      <c r="Q521" s="3"/>
      <c r="R521" s="3"/>
    </row>
    <row r="522" spans="4:18" ht="13.5" customHeight="1">
      <c r="D522" s="4"/>
      <c r="E522" s="3"/>
      <c r="F522" s="3"/>
      <c r="G522" s="3"/>
      <c r="H522" s="3"/>
      <c r="I522" s="3"/>
      <c r="J522" s="3"/>
      <c r="K522" s="3"/>
      <c r="L522" s="3"/>
      <c r="M522" s="3"/>
      <c r="N522" s="3"/>
      <c r="O522" s="3"/>
      <c r="P522" s="3"/>
      <c r="Q522" s="3"/>
      <c r="R522" s="3"/>
    </row>
    <row r="523" spans="4:18" ht="13.5" customHeight="1">
      <c r="D523" s="4"/>
      <c r="E523" s="3"/>
      <c r="F523" s="3"/>
      <c r="G523" s="3"/>
      <c r="H523" s="3"/>
      <c r="I523" s="3"/>
      <c r="J523" s="3"/>
      <c r="K523" s="3"/>
      <c r="L523" s="3"/>
      <c r="M523" s="3"/>
      <c r="N523" s="3"/>
      <c r="O523" s="3"/>
      <c r="P523" s="3"/>
      <c r="Q523" s="3"/>
      <c r="R523" s="3"/>
    </row>
    <row r="524" spans="4:18" ht="13.5" customHeight="1">
      <c r="D524" s="4"/>
      <c r="E524" s="3"/>
      <c r="F524" s="3"/>
      <c r="G524" s="3"/>
      <c r="H524" s="3"/>
      <c r="I524" s="3"/>
      <c r="J524" s="3"/>
      <c r="K524" s="3"/>
      <c r="L524" s="3"/>
      <c r="M524" s="3"/>
      <c r="N524" s="3"/>
      <c r="O524" s="3"/>
      <c r="P524" s="3"/>
      <c r="Q524" s="3"/>
      <c r="R524" s="3"/>
    </row>
    <row r="525" spans="4:18" ht="13.5" customHeight="1">
      <c r="D525" s="4"/>
      <c r="E525" s="3"/>
      <c r="F525" s="3"/>
      <c r="G525" s="3"/>
      <c r="H525" s="3"/>
      <c r="I525" s="3"/>
      <c r="J525" s="3"/>
      <c r="K525" s="3"/>
      <c r="L525" s="3"/>
      <c r="M525" s="3"/>
      <c r="N525" s="3"/>
      <c r="O525" s="3"/>
      <c r="P525" s="3"/>
      <c r="Q525" s="3"/>
      <c r="R525" s="3"/>
    </row>
    <row r="526" spans="4:18" ht="13.5" customHeight="1">
      <c r="D526" s="4"/>
      <c r="E526" s="3"/>
      <c r="F526" s="3"/>
      <c r="G526" s="3"/>
      <c r="H526" s="3"/>
      <c r="I526" s="3"/>
      <c r="J526" s="3"/>
      <c r="K526" s="3"/>
      <c r="L526" s="3"/>
      <c r="M526" s="3"/>
      <c r="N526" s="3"/>
      <c r="O526" s="3"/>
      <c r="P526" s="3"/>
      <c r="Q526" s="3"/>
      <c r="R526" s="3"/>
    </row>
    <row r="527" spans="4:18" ht="13.5" customHeight="1">
      <c r="D527" s="4"/>
      <c r="E527" s="3"/>
      <c r="F527" s="3"/>
      <c r="G527" s="3"/>
      <c r="H527" s="3"/>
      <c r="I527" s="3"/>
      <c r="J527" s="3"/>
      <c r="K527" s="3"/>
      <c r="L527" s="3"/>
      <c r="M527" s="3"/>
      <c r="N527" s="3"/>
      <c r="O527" s="3"/>
      <c r="P527" s="3"/>
      <c r="Q527" s="3"/>
      <c r="R527" s="3"/>
    </row>
    <row r="528" spans="4:18" ht="13.5" customHeight="1">
      <c r="D528" s="4"/>
      <c r="E528" s="3"/>
      <c r="F528" s="3"/>
      <c r="G528" s="3"/>
      <c r="H528" s="3"/>
      <c r="I528" s="3"/>
      <c r="J528" s="3"/>
      <c r="K528" s="3"/>
      <c r="L528" s="3"/>
      <c r="M528" s="3"/>
      <c r="N528" s="3"/>
      <c r="O528" s="3"/>
      <c r="P528" s="3"/>
      <c r="Q528" s="3"/>
      <c r="R528" s="3"/>
    </row>
    <row r="529" spans="4:18" ht="13.5" customHeight="1">
      <c r="D529" s="4"/>
      <c r="E529" s="3"/>
      <c r="F529" s="3"/>
      <c r="G529" s="3"/>
      <c r="H529" s="3"/>
      <c r="I529" s="3"/>
      <c r="J529" s="3"/>
      <c r="K529" s="3"/>
      <c r="L529" s="3"/>
      <c r="M529" s="3"/>
      <c r="N529" s="3"/>
      <c r="O529" s="3"/>
      <c r="P529" s="3"/>
      <c r="Q529" s="3"/>
      <c r="R529" s="3"/>
    </row>
    <row r="530" spans="4:18" ht="13.5" customHeight="1">
      <c r="D530" s="4"/>
      <c r="E530" s="3"/>
      <c r="F530" s="3"/>
      <c r="G530" s="3"/>
      <c r="H530" s="3"/>
      <c r="I530" s="3"/>
      <c r="J530" s="3"/>
      <c r="K530" s="3"/>
      <c r="L530" s="3"/>
      <c r="M530" s="3"/>
      <c r="N530" s="3"/>
      <c r="O530" s="3"/>
      <c r="P530" s="3"/>
      <c r="Q530" s="3"/>
      <c r="R530" s="3"/>
    </row>
    <row r="531" spans="4:18" ht="13.5" customHeight="1">
      <c r="D531" s="4"/>
      <c r="E531" s="3"/>
      <c r="F531" s="3"/>
      <c r="G531" s="3"/>
      <c r="H531" s="3"/>
      <c r="I531" s="3"/>
      <c r="J531" s="3"/>
      <c r="K531" s="3"/>
      <c r="L531" s="3"/>
      <c r="M531" s="3"/>
      <c r="N531" s="3"/>
      <c r="O531" s="3"/>
      <c r="P531" s="3"/>
      <c r="Q531" s="3"/>
      <c r="R531" s="3"/>
    </row>
    <row r="532" spans="4:18" ht="13.5" customHeight="1">
      <c r="D532" s="4"/>
      <c r="E532" s="3"/>
      <c r="F532" s="3"/>
      <c r="G532" s="3"/>
      <c r="H532" s="3"/>
      <c r="I532" s="3"/>
      <c r="J532" s="3"/>
      <c r="K532" s="3"/>
      <c r="L532" s="3"/>
      <c r="M532" s="3"/>
      <c r="N532" s="3"/>
      <c r="O532" s="3"/>
      <c r="P532" s="3"/>
      <c r="Q532" s="3"/>
      <c r="R532" s="3"/>
    </row>
    <row r="533" spans="4:18" ht="13.5" customHeight="1">
      <c r="D533" s="4"/>
      <c r="E533" s="3"/>
      <c r="F533" s="3"/>
      <c r="G533" s="3"/>
      <c r="H533" s="3"/>
      <c r="I533" s="3"/>
      <c r="J533" s="3"/>
      <c r="K533" s="3"/>
      <c r="L533" s="3"/>
      <c r="M533" s="3"/>
      <c r="N533" s="3"/>
      <c r="O533" s="3"/>
      <c r="P533" s="3"/>
      <c r="Q533" s="3"/>
      <c r="R533" s="3"/>
    </row>
    <row r="534" spans="4:18" ht="13.5" customHeight="1">
      <c r="D534" s="4"/>
      <c r="E534" s="3"/>
      <c r="F534" s="3"/>
      <c r="G534" s="3"/>
      <c r="H534" s="3"/>
      <c r="I534" s="3"/>
      <c r="J534" s="3"/>
      <c r="K534" s="3"/>
      <c r="L534" s="3"/>
      <c r="M534" s="3"/>
      <c r="N534" s="3"/>
      <c r="O534" s="3"/>
      <c r="P534" s="3"/>
      <c r="Q534" s="3"/>
      <c r="R534" s="3"/>
    </row>
    <row r="535" spans="4:18" ht="13.5" customHeight="1">
      <c r="D535" s="4"/>
      <c r="E535" s="3"/>
      <c r="F535" s="3"/>
      <c r="G535" s="3"/>
      <c r="H535" s="3"/>
      <c r="I535" s="3"/>
      <c r="J535" s="3"/>
      <c r="K535" s="3"/>
      <c r="L535" s="3"/>
      <c r="M535" s="3"/>
      <c r="N535" s="3"/>
      <c r="O535" s="3"/>
      <c r="P535" s="3"/>
      <c r="Q535" s="3"/>
      <c r="R535" s="3"/>
    </row>
    <row r="536" spans="4:18" ht="13.5" customHeight="1">
      <c r="D536" s="4"/>
      <c r="E536" s="3"/>
      <c r="F536" s="3"/>
      <c r="G536" s="3"/>
      <c r="H536" s="3"/>
      <c r="I536" s="3"/>
      <c r="J536" s="3"/>
      <c r="K536" s="3"/>
      <c r="L536" s="3"/>
      <c r="M536" s="3"/>
      <c r="N536" s="3"/>
      <c r="O536" s="3"/>
      <c r="P536" s="3"/>
      <c r="Q536" s="3"/>
      <c r="R536" s="3"/>
    </row>
    <row r="537" spans="4:18" ht="13.5" customHeight="1">
      <c r="D537" s="4"/>
      <c r="E537" s="3"/>
      <c r="F537" s="3"/>
      <c r="G537" s="3"/>
      <c r="H537" s="3"/>
      <c r="I537" s="3"/>
      <c r="J537" s="3"/>
      <c r="K537" s="3"/>
      <c r="L537" s="3"/>
      <c r="M537" s="3"/>
      <c r="N537" s="3"/>
      <c r="O537" s="3"/>
      <c r="P537" s="3"/>
      <c r="Q537" s="3"/>
      <c r="R537" s="3"/>
    </row>
    <row r="538" spans="4:18" ht="13.5" customHeight="1">
      <c r="D538" s="4"/>
      <c r="E538" s="3"/>
      <c r="F538" s="3"/>
      <c r="G538" s="3"/>
      <c r="H538" s="3"/>
      <c r="I538" s="3"/>
      <c r="J538" s="3"/>
      <c r="K538" s="3"/>
      <c r="L538" s="3"/>
      <c r="M538" s="3"/>
      <c r="N538" s="3"/>
      <c r="O538" s="3"/>
      <c r="P538" s="3"/>
      <c r="Q538" s="3"/>
      <c r="R538" s="3"/>
    </row>
    <row r="539" spans="4:18" ht="13.5" customHeight="1">
      <c r="D539" s="4"/>
      <c r="E539" s="3"/>
      <c r="F539" s="3"/>
      <c r="G539" s="3"/>
      <c r="H539" s="3"/>
      <c r="I539" s="3"/>
      <c r="J539" s="3"/>
      <c r="K539" s="3"/>
      <c r="L539" s="3"/>
      <c r="M539" s="3"/>
      <c r="N539" s="3"/>
      <c r="O539" s="3"/>
      <c r="P539" s="3"/>
      <c r="Q539" s="3"/>
      <c r="R539" s="3"/>
    </row>
    <row r="540" spans="4:18" ht="13.5" customHeight="1">
      <c r="D540" s="4"/>
      <c r="E540" s="3"/>
      <c r="F540" s="3"/>
      <c r="G540" s="3"/>
      <c r="H540" s="3"/>
      <c r="I540" s="3"/>
      <c r="J540" s="3"/>
      <c r="K540" s="3"/>
      <c r="L540" s="3"/>
      <c r="M540" s="3"/>
      <c r="N540" s="3"/>
      <c r="O540" s="3"/>
      <c r="P540" s="3"/>
      <c r="Q540" s="3"/>
      <c r="R540" s="3"/>
    </row>
    <row r="541" spans="4:18" ht="13.5" customHeight="1">
      <c r="D541" s="4"/>
      <c r="E541" s="3"/>
      <c r="F541" s="3"/>
      <c r="G541" s="3"/>
      <c r="H541" s="3"/>
      <c r="I541" s="3"/>
      <c r="J541" s="3"/>
      <c r="K541" s="3"/>
      <c r="L541" s="3"/>
      <c r="M541" s="3"/>
      <c r="N541" s="3"/>
      <c r="O541" s="3"/>
      <c r="P541" s="3"/>
      <c r="Q541" s="3"/>
      <c r="R541" s="3"/>
    </row>
    <row r="542" spans="4:18" ht="13.5" customHeight="1">
      <c r="D542" s="4"/>
      <c r="E542" s="3"/>
      <c r="F542" s="3"/>
      <c r="G542" s="3"/>
      <c r="H542" s="3"/>
      <c r="I542" s="3"/>
      <c r="J542" s="3"/>
      <c r="K542" s="3"/>
      <c r="L542" s="3"/>
      <c r="M542" s="3"/>
      <c r="N542" s="3"/>
      <c r="O542" s="3"/>
      <c r="P542" s="3"/>
      <c r="Q542" s="3"/>
      <c r="R542" s="3"/>
    </row>
    <row r="543" spans="4:18" ht="13.5" customHeight="1">
      <c r="D543" s="4"/>
      <c r="E543" s="3"/>
      <c r="F543" s="3"/>
      <c r="G543" s="3"/>
      <c r="H543" s="3"/>
      <c r="I543" s="3"/>
      <c r="J543" s="3"/>
      <c r="K543" s="3"/>
      <c r="L543" s="3"/>
      <c r="M543" s="3"/>
      <c r="N543" s="3"/>
      <c r="O543" s="3"/>
      <c r="P543" s="3"/>
      <c r="Q543" s="3"/>
      <c r="R543" s="3"/>
    </row>
    <row r="544" spans="4:18" ht="13.5" customHeight="1">
      <c r="D544" s="4"/>
      <c r="E544" s="3"/>
      <c r="F544" s="3"/>
      <c r="G544" s="3"/>
      <c r="H544" s="3"/>
      <c r="I544" s="3"/>
      <c r="J544" s="3"/>
      <c r="K544" s="3"/>
      <c r="L544" s="3"/>
      <c r="M544" s="3"/>
      <c r="N544" s="3"/>
      <c r="O544" s="3"/>
      <c r="P544" s="3"/>
      <c r="Q544" s="3"/>
      <c r="R544" s="3"/>
    </row>
    <row r="545" spans="4:18" ht="13.5" customHeight="1">
      <c r="D545" s="4"/>
      <c r="E545" s="3"/>
      <c r="F545" s="3"/>
      <c r="G545" s="3"/>
      <c r="H545" s="3"/>
      <c r="I545" s="3"/>
      <c r="J545" s="3"/>
      <c r="K545" s="3"/>
      <c r="L545" s="3"/>
      <c r="M545" s="3"/>
      <c r="N545" s="3"/>
      <c r="O545" s="3"/>
      <c r="P545" s="3"/>
      <c r="Q545" s="3"/>
      <c r="R545" s="3"/>
    </row>
    <row r="546" spans="4:18" ht="13.5" customHeight="1">
      <c r="D546" s="4"/>
      <c r="E546" s="3"/>
      <c r="F546" s="3"/>
      <c r="G546" s="3"/>
      <c r="H546" s="3"/>
      <c r="I546" s="3"/>
      <c r="J546" s="3"/>
      <c r="K546" s="3"/>
      <c r="L546" s="3"/>
      <c r="M546" s="3"/>
      <c r="N546" s="3"/>
      <c r="O546" s="3"/>
      <c r="P546" s="3"/>
      <c r="Q546" s="3"/>
      <c r="R546" s="3"/>
    </row>
    <row r="547" spans="4:18" ht="13.5" customHeight="1">
      <c r="D547" s="4"/>
      <c r="E547" s="3"/>
      <c r="F547" s="3"/>
      <c r="G547" s="3"/>
      <c r="H547" s="3"/>
      <c r="I547" s="3"/>
      <c r="J547" s="3"/>
      <c r="K547" s="3"/>
      <c r="L547" s="3"/>
      <c r="M547" s="3"/>
      <c r="N547" s="3"/>
      <c r="O547" s="3"/>
      <c r="P547" s="3"/>
      <c r="Q547" s="3"/>
      <c r="R547" s="3"/>
    </row>
    <row r="548" spans="4:18" ht="13.5" customHeight="1">
      <c r="D548" s="4"/>
      <c r="E548" s="3"/>
      <c r="F548" s="3"/>
      <c r="G548" s="3"/>
      <c r="H548" s="3"/>
      <c r="I548" s="3"/>
      <c r="J548" s="3"/>
      <c r="K548" s="3"/>
      <c r="L548" s="3"/>
      <c r="M548" s="3"/>
      <c r="N548" s="3"/>
      <c r="O548" s="3"/>
      <c r="P548" s="3"/>
      <c r="Q548" s="3"/>
      <c r="R548" s="3"/>
    </row>
    <row r="549" spans="4:18" ht="13.5" customHeight="1">
      <c r="D549" s="4"/>
      <c r="E549" s="3"/>
      <c r="F549" s="3"/>
      <c r="G549" s="3"/>
      <c r="H549" s="3"/>
      <c r="I549" s="3"/>
      <c r="J549" s="3"/>
      <c r="K549" s="3"/>
      <c r="L549" s="3"/>
      <c r="M549" s="3"/>
      <c r="N549" s="3"/>
      <c r="O549" s="3"/>
      <c r="P549" s="3"/>
      <c r="Q549" s="3"/>
      <c r="R549" s="3"/>
    </row>
    <row r="550" spans="4:18" ht="13.5" customHeight="1">
      <c r="D550" s="4"/>
      <c r="E550" s="3"/>
      <c r="F550" s="3"/>
      <c r="G550" s="3"/>
      <c r="H550" s="3"/>
      <c r="I550" s="3"/>
      <c r="J550" s="3"/>
      <c r="K550" s="3"/>
      <c r="L550" s="3"/>
      <c r="M550" s="3"/>
      <c r="N550" s="3"/>
      <c r="O550" s="3"/>
      <c r="P550" s="3"/>
      <c r="Q550" s="3"/>
      <c r="R550" s="3"/>
    </row>
    <row r="551" spans="4:18" ht="13.5" customHeight="1">
      <c r="D551" s="4"/>
      <c r="E551" s="3"/>
      <c r="F551" s="3"/>
      <c r="G551" s="3"/>
      <c r="H551" s="3"/>
      <c r="I551" s="3"/>
      <c r="J551" s="3"/>
      <c r="K551" s="3"/>
      <c r="L551" s="3"/>
      <c r="M551" s="3"/>
      <c r="N551" s="3"/>
      <c r="O551" s="3"/>
      <c r="P551" s="3"/>
      <c r="Q551" s="3"/>
      <c r="R551" s="3"/>
    </row>
    <row r="552" spans="4:18" ht="13.5" customHeight="1">
      <c r="D552" s="4"/>
      <c r="E552" s="3"/>
      <c r="F552" s="3"/>
      <c r="G552" s="3"/>
      <c r="H552" s="3"/>
      <c r="I552" s="3"/>
      <c r="J552" s="3"/>
      <c r="K552" s="3"/>
      <c r="L552" s="3"/>
      <c r="M552" s="3"/>
      <c r="N552" s="3"/>
      <c r="O552" s="3"/>
      <c r="P552" s="3"/>
      <c r="Q552" s="3"/>
      <c r="R552" s="3"/>
    </row>
    <row r="553" spans="4:18" ht="13.5" customHeight="1">
      <c r="D553" s="4"/>
      <c r="E553" s="3"/>
      <c r="F553" s="3"/>
      <c r="G553" s="3"/>
      <c r="H553" s="3"/>
      <c r="I553" s="3"/>
      <c r="J553" s="3"/>
      <c r="K553" s="3"/>
      <c r="L553" s="3"/>
      <c r="M553" s="3"/>
      <c r="N553" s="3"/>
      <c r="O553" s="3"/>
      <c r="P553" s="3"/>
      <c r="Q553" s="3"/>
      <c r="R553" s="3"/>
    </row>
    <row r="554" spans="4:18" ht="13.5" customHeight="1">
      <c r="D554" s="4"/>
      <c r="E554" s="3"/>
      <c r="F554" s="3"/>
      <c r="G554" s="3"/>
      <c r="H554" s="3"/>
      <c r="I554" s="3"/>
      <c r="J554" s="3"/>
      <c r="K554" s="3"/>
      <c r="L554" s="3"/>
      <c r="M554" s="3"/>
      <c r="N554" s="3"/>
      <c r="O554" s="3"/>
      <c r="P554" s="3"/>
      <c r="Q554" s="3"/>
      <c r="R554" s="3"/>
    </row>
    <row r="555" spans="4:18" ht="13.5" customHeight="1">
      <c r="D555" s="4"/>
      <c r="E555" s="3"/>
      <c r="F555" s="3"/>
      <c r="G555" s="3"/>
      <c r="H555" s="3"/>
      <c r="I555" s="3"/>
      <c r="J555" s="3"/>
      <c r="K555" s="3"/>
      <c r="L555" s="3"/>
      <c r="M555" s="3"/>
      <c r="N555" s="3"/>
      <c r="O555" s="3"/>
      <c r="P555" s="3"/>
      <c r="Q555" s="3"/>
      <c r="R555" s="3"/>
    </row>
    <row r="556" spans="4:18" ht="13.5" customHeight="1">
      <c r="D556" s="4"/>
      <c r="E556" s="3"/>
      <c r="F556" s="3"/>
      <c r="G556" s="3"/>
      <c r="H556" s="3"/>
      <c r="I556" s="3"/>
      <c r="J556" s="3"/>
      <c r="K556" s="3"/>
      <c r="L556" s="3"/>
      <c r="M556" s="3"/>
      <c r="N556" s="3"/>
      <c r="O556" s="3"/>
      <c r="P556" s="3"/>
      <c r="Q556" s="3"/>
      <c r="R556" s="3"/>
    </row>
    <row r="557" spans="4:18" ht="13.5" customHeight="1">
      <c r="D557" s="4"/>
      <c r="E557" s="3"/>
      <c r="F557" s="3"/>
      <c r="G557" s="3"/>
      <c r="H557" s="3"/>
      <c r="I557" s="3"/>
      <c r="J557" s="3"/>
      <c r="K557" s="3"/>
      <c r="L557" s="3"/>
      <c r="M557" s="3"/>
      <c r="N557" s="3"/>
      <c r="O557" s="3"/>
      <c r="P557" s="3"/>
      <c r="Q557" s="3"/>
      <c r="R557" s="3"/>
    </row>
    <row r="558" spans="4:18" ht="13.5" customHeight="1">
      <c r="D558" s="4"/>
      <c r="E558" s="3"/>
      <c r="F558" s="3"/>
      <c r="G558" s="3"/>
      <c r="H558" s="3"/>
      <c r="I558" s="3"/>
      <c r="J558" s="3"/>
      <c r="K558" s="3"/>
      <c r="L558" s="3"/>
      <c r="M558" s="3"/>
      <c r="N558" s="3"/>
      <c r="O558" s="3"/>
      <c r="P558" s="3"/>
      <c r="Q558" s="3"/>
      <c r="R558" s="3"/>
    </row>
    <row r="559" spans="4:18" ht="13.5" customHeight="1">
      <c r="D559" s="4"/>
      <c r="E559" s="3"/>
      <c r="F559" s="3"/>
      <c r="G559" s="3"/>
      <c r="H559" s="3"/>
      <c r="I559" s="3"/>
      <c r="J559" s="3"/>
      <c r="K559" s="3"/>
      <c r="L559" s="3"/>
      <c r="M559" s="3"/>
      <c r="N559" s="3"/>
      <c r="O559" s="3"/>
      <c r="P559" s="3"/>
      <c r="Q559" s="3"/>
      <c r="R559" s="3"/>
    </row>
    <row r="560" spans="4:18" ht="13.5" customHeight="1">
      <c r="D560" s="4"/>
      <c r="E560" s="3"/>
      <c r="F560" s="3"/>
      <c r="G560" s="3"/>
      <c r="H560" s="3"/>
      <c r="I560" s="3"/>
      <c r="J560" s="3"/>
      <c r="K560" s="3"/>
      <c r="L560" s="3"/>
      <c r="M560" s="3"/>
      <c r="N560" s="3"/>
      <c r="O560" s="3"/>
      <c r="P560" s="3"/>
      <c r="Q560" s="3"/>
      <c r="R560" s="3"/>
    </row>
    <row r="561" spans="4:18" ht="13.5" customHeight="1">
      <c r="D561" s="4"/>
      <c r="E561" s="3"/>
      <c r="F561" s="3"/>
      <c r="G561" s="3"/>
      <c r="H561" s="3"/>
      <c r="I561" s="3"/>
      <c r="J561" s="3"/>
      <c r="K561" s="3"/>
      <c r="L561" s="3"/>
      <c r="M561" s="3"/>
      <c r="N561" s="3"/>
      <c r="O561" s="3"/>
      <c r="P561" s="3"/>
      <c r="Q561" s="3"/>
      <c r="R561" s="3"/>
    </row>
    <row r="562" spans="4:18" ht="13.5" customHeight="1">
      <c r="D562" s="4"/>
      <c r="E562" s="3"/>
      <c r="F562" s="3"/>
      <c r="G562" s="3"/>
      <c r="H562" s="3"/>
      <c r="I562" s="3"/>
      <c r="J562" s="3"/>
      <c r="K562" s="3"/>
      <c r="L562" s="3"/>
      <c r="M562" s="3"/>
      <c r="N562" s="3"/>
      <c r="O562" s="3"/>
      <c r="P562" s="3"/>
      <c r="Q562" s="3"/>
      <c r="R562" s="3"/>
    </row>
    <row r="563" spans="4:18" ht="13.5" customHeight="1">
      <c r="D563" s="4"/>
      <c r="E563" s="3"/>
      <c r="F563" s="3"/>
      <c r="G563" s="3"/>
      <c r="H563" s="3"/>
      <c r="I563" s="3"/>
      <c r="J563" s="3"/>
      <c r="K563" s="3"/>
      <c r="L563" s="3"/>
      <c r="M563" s="3"/>
      <c r="N563" s="3"/>
      <c r="O563" s="3"/>
      <c r="P563" s="3"/>
      <c r="Q563" s="3"/>
      <c r="R563" s="3"/>
    </row>
    <row r="564" spans="4:18" ht="13.5" customHeight="1">
      <c r="D564" s="4"/>
      <c r="E564" s="3"/>
      <c r="F564" s="3"/>
      <c r="G564" s="3"/>
      <c r="H564" s="3"/>
      <c r="I564" s="3"/>
      <c r="J564" s="3"/>
      <c r="K564" s="3"/>
      <c r="L564" s="3"/>
      <c r="M564" s="3"/>
      <c r="N564" s="3"/>
      <c r="O564" s="3"/>
      <c r="P564" s="3"/>
      <c r="Q564" s="3"/>
      <c r="R564" s="3"/>
    </row>
    <row r="565" spans="4:18" ht="13.5" customHeight="1">
      <c r="D565" s="4"/>
      <c r="E565" s="3"/>
      <c r="F565" s="3"/>
      <c r="G565" s="3"/>
      <c r="H565" s="3"/>
      <c r="I565" s="3"/>
      <c r="J565" s="3"/>
      <c r="K565" s="3"/>
      <c r="L565" s="3"/>
      <c r="M565" s="3"/>
      <c r="N565" s="3"/>
      <c r="O565" s="3"/>
      <c r="P565" s="3"/>
      <c r="Q565" s="3"/>
      <c r="R565" s="3"/>
    </row>
    <row r="566" spans="4:18" ht="13.5" customHeight="1">
      <c r="D566" s="4"/>
      <c r="E566" s="3"/>
      <c r="F566" s="3"/>
      <c r="G566" s="3"/>
      <c r="H566" s="3"/>
      <c r="I566" s="3"/>
      <c r="J566" s="3"/>
      <c r="K566" s="3"/>
      <c r="L566" s="3"/>
      <c r="M566" s="3"/>
      <c r="N566" s="3"/>
      <c r="O566" s="3"/>
      <c r="P566" s="3"/>
      <c r="Q566" s="3"/>
      <c r="R566" s="3"/>
    </row>
    <row r="567" spans="4:18" ht="13.5" customHeight="1">
      <c r="D567" s="4"/>
      <c r="E567" s="3"/>
      <c r="F567" s="3"/>
      <c r="G567" s="3"/>
      <c r="H567" s="3"/>
      <c r="I567" s="3"/>
      <c r="J567" s="3"/>
      <c r="K567" s="3"/>
      <c r="L567" s="3"/>
      <c r="M567" s="3"/>
      <c r="N567" s="3"/>
      <c r="O567" s="3"/>
      <c r="P567" s="3"/>
      <c r="Q567" s="3"/>
      <c r="R567" s="3"/>
    </row>
    <row r="568" spans="4:18" ht="13.5" customHeight="1">
      <c r="D568" s="4"/>
      <c r="E568" s="3"/>
      <c r="F568" s="3"/>
      <c r="G568" s="3"/>
      <c r="H568" s="3"/>
      <c r="I568" s="3"/>
      <c r="J568" s="3"/>
      <c r="K568" s="3"/>
      <c r="L568" s="3"/>
      <c r="M568" s="3"/>
      <c r="N568" s="3"/>
      <c r="O568" s="3"/>
      <c r="P568" s="3"/>
      <c r="Q568" s="3"/>
      <c r="R568" s="3"/>
    </row>
    <row r="569" spans="4:18" ht="13.5" customHeight="1">
      <c r="D569" s="4"/>
      <c r="E569" s="3"/>
      <c r="F569" s="3"/>
      <c r="G569" s="3"/>
      <c r="H569" s="3"/>
      <c r="I569" s="3"/>
      <c r="J569" s="3"/>
      <c r="K569" s="3"/>
      <c r="L569" s="3"/>
      <c r="M569" s="3"/>
      <c r="N569" s="3"/>
      <c r="O569" s="3"/>
      <c r="P569" s="3"/>
      <c r="Q569" s="3"/>
      <c r="R569" s="3"/>
    </row>
    <row r="570" spans="4:18" ht="13.5" customHeight="1">
      <c r="D570" s="4"/>
      <c r="E570" s="3"/>
      <c r="F570" s="3"/>
      <c r="G570" s="3"/>
      <c r="H570" s="3"/>
      <c r="I570" s="3"/>
      <c r="J570" s="3"/>
      <c r="K570" s="3"/>
      <c r="L570" s="3"/>
      <c r="M570" s="3"/>
      <c r="N570" s="3"/>
      <c r="O570" s="3"/>
      <c r="P570" s="3"/>
      <c r="Q570" s="3"/>
      <c r="R570" s="3"/>
    </row>
    <row r="571" spans="4:18" ht="13.5" customHeight="1">
      <c r="D571" s="4"/>
      <c r="E571" s="3"/>
      <c r="F571" s="3"/>
      <c r="G571" s="3"/>
      <c r="H571" s="3"/>
      <c r="I571" s="3"/>
      <c r="J571" s="3"/>
      <c r="K571" s="3"/>
      <c r="L571" s="3"/>
      <c r="M571" s="3"/>
      <c r="N571" s="3"/>
      <c r="O571" s="3"/>
      <c r="P571" s="3"/>
      <c r="Q571" s="3"/>
      <c r="R571" s="3"/>
    </row>
    <row r="572" spans="4:18" ht="13.5" customHeight="1">
      <c r="D572" s="4"/>
      <c r="E572" s="3"/>
      <c r="F572" s="3"/>
      <c r="G572" s="3"/>
      <c r="H572" s="3"/>
      <c r="I572" s="3"/>
      <c r="J572" s="3"/>
      <c r="K572" s="3"/>
      <c r="L572" s="3"/>
      <c r="M572" s="3"/>
      <c r="N572" s="3"/>
      <c r="O572" s="3"/>
      <c r="P572" s="3"/>
      <c r="Q572" s="3"/>
      <c r="R572" s="3"/>
    </row>
    <row r="573" spans="4:18" ht="13.5" customHeight="1">
      <c r="D573" s="4"/>
      <c r="E573" s="3"/>
      <c r="F573" s="3"/>
      <c r="G573" s="3"/>
      <c r="H573" s="3"/>
      <c r="I573" s="3"/>
      <c r="J573" s="3"/>
      <c r="K573" s="3"/>
      <c r="L573" s="3"/>
      <c r="M573" s="3"/>
      <c r="N573" s="3"/>
      <c r="O573" s="3"/>
      <c r="P573" s="3"/>
      <c r="Q573" s="3"/>
      <c r="R573" s="3"/>
    </row>
    <row r="574" spans="4:18" ht="13.5" customHeight="1">
      <c r="D574" s="4"/>
      <c r="E574" s="3"/>
      <c r="F574" s="3"/>
      <c r="G574" s="3"/>
      <c r="H574" s="3"/>
      <c r="I574" s="3"/>
      <c r="J574" s="3"/>
      <c r="K574" s="3"/>
      <c r="L574" s="3"/>
      <c r="M574" s="3"/>
      <c r="N574" s="3"/>
      <c r="O574" s="3"/>
      <c r="P574" s="3"/>
      <c r="Q574" s="3"/>
      <c r="R574" s="3"/>
    </row>
    <row r="575" spans="4:18" ht="13.5" customHeight="1">
      <c r="D575" s="4"/>
      <c r="E575" s="3"/>
      <c r="F575" s="3"/>
      <c r="G575" s="3"/>
      <c r="H575" s="3"/>
      <c r="I575" s="3"/>
      <c r="J575" s="3"/>
      <c r="K575" s="3"/>
      <c r="L575" s="3"/>
      <c r="M575" s="3"/>
      <c r="N575" s="3"/>
      <c r="O575" s="3"/>
      <c r="P575" s="3"/>
      <c r="Q575" s="3"/>
      <c r="R575" s="3"/>
    </row>
    <row r="576" spans="4:18" ht="13.5" customHeight="1">
      <c r="D576" s="4"/>
      <c r="E576" s="3"/>
      <c r="F576" s="3"/>
      <c r="G576" s="3"/>
      <c r="H576" s="3"/>
      <c r="I576" s="3"/>
      <c r="J576" s="3"/>
      <c r="K576" s="3"/>
      <c r="L576" s="3"/>
      <c r="M576" s="3"/>
      <c r="N576" s="3"/>
      <c r="O576" s="3"/>
      <c r="P576" s="3"/>
      <c r="Q576" s="3"/>
      <c r="R576" s="3"/>
    </row>
    <row r="577" spans="4:18" ht="13.5" customHeight="1">
      <c r="D577" s="4"/>
      <c r="E577" s="3"/>
      <c r="F577" s="3"/>
      <c r="G577" s="3"/>
      <c r="H577" s="3"/>
      <c r="I577" s="3"/>
      <c r="J577" s="3"/>
      <c r="K577" s="3"/>
      <c r="L577" s="3"/>
      <c r="M577" s="3"/>
      <c r="N577" s="3"/>
      <c r="O577" s="3"/>
      <c r="P577" s="3"/>
      <c r="Q577" s="3"/>
      <c r="R577" s="3"/>
    </row>
    <row r="578" spans="4:18" ht="13.5" customHeight="1">
      <c r="D578" s="4"/>
      <c r="E578" s="3"/>
      <c r="F578" s="3"/>
      <c r="G578" s="3"/>
      <c r="H578" s="3"/>
      <c r="I578" s="3"/>
      <c r="J578" s="3"/>
      <c r="K578" s="3"/>
      <c r="L578" s="3"/>
      <c r="M578" s="3"/>
      <c r="N578" s="3"/>
      <c r="O578" s="3"/>
      <c r="P578" s="3"/>
      <c r="Q578" s="3"/>
      <c r="R578" s="3"/>
    </row>
    <row r="579" spans="4:18" ht="13.5" customHeight="1">
      <c r="D579" s="4"/>
      <c r="E579" s="3"/>
      <c r="F579" s="3"/>
      <c r="G579" s="3"/>
      <c r="H579" s="3"/>
      <c r="I579" s="3"/>
      <c r="J579" s="3"/>
      <c r="K579" s="3"/>
      <c r="L579" s="3"/>
      <c r="M579" s="3"/>
      <c r="N579" s="3"/>
      <c r="O579" s="3"/>
      <c r="P579" s="3"/>
      <c r="Q579" s="3"/>
      <c r="R579" s="3"/>
    </row>
    <row r="580" spans="4:18" ht="13.5" customHeight="1">
      <c r="D580" s="4"/>
      <c r="E580" s="3"/>
      <c r="F580" s="3"/>
      <c r="G580" s="3"/>
      <c r="H580" s="3"/>
      <c r="I580" s="3"/>
      <c r="J580" s="3"/>
      <c r="K580" s="3"/>
      <c r="L580" s="3"/>
      <c r="M580" s="3"/>
      <c r="N580" s="3"/>
      <c r="O580" s="3"/>
      <c r="P580" s="3"/>
      <c r="Q580" s="3"/>
      <c r="R580" s="3"/>
    </row>
    <row r="581" spans="4:18" ht="13.5" customHeight="1">
      <c r="D581" s="4"/>
      <c r="E581" s="3"/>
      <c r="F581" s="3"/>
      <c r="G581" s="3"/>
      <c r="H581" s="3"/>
      <c r="I581" s="3"/>
      <c r="J581" s="3"/>
      <c r="K581" s="3"/>
      <c r="L581" s="3"/>
      <c r="M581" s="3"/>
      <c r="N581" s="3"/>
      <c r="O581" s="3"/>
      <c r="P581" s="3"/>
      <c r="Q581" s="3"/>
      <c r="R581" s="3"/>
    </row>
    <row r="582" spans="4:18" ht="13.5" customHeight="1">
      <c r="D582" s="4"/>
      <c r="E582" s="3"/>
      <c r="F582" s="3"/>
      <c r="G582" s="3"/>
      <c r="H582" s="3"/>
      <c r="I582" s="3"/>
      <c r="J582" s="3"/>
      <c r="K582" s="3"/>
      <c r="L582" s="3"/>
      <c r="M582" s="3"/>
      <c r="N582" s="3"/>
      <c r="O582" s="3"/>
      <c r="P582" s="3"/>
      <c r="Q582" s="3"/>
      <c r="R582" s="3"/>
    </row>
    <row r="583" spans="4:18" ht="13.5" customHeight="1">
      <c r="D583" s="4"/>
      <c r="E583" s="3"/>
      <c r="F583" s="3"/>
      <c r="G583" s="3"/>
      <c r="H583" s="3"/>
      <c r="I583" s="3"/>
      <c r="J583" s="3"/>
      <c r="K583" s="3"/>
      <c r="L583" s="3"/>
      <c r="M583" s="3"/>
      <c r="N583" s="3"/>
      <c r="O583" s="3"/>
      <c r="P583" s="3"/>
      <c r="Q583" s="3"/>
      <c r="R583" s="3"/>
    </row>
    <row r="584" spans="4:18" ht="13.5" customHeight="1">
      <c r="D584" s="4"/>
      <c r="E584" s="3"/>
      <c r="F584" s="3"/>
      <c r="G584" s="3"/>
      <c r="H584" s="3"/>
      <c r="I584" s="3"/>
      <c r="J584" s="3"/>
      <c r="K584" s="3"/>
      <c r="L584" s="3"/>
      <c r="M584" s="3"/>
      <c r="N584" s="3"/>
      <c r="O584" s="3"/>
      <c r="P584" s="3"/>
      <c r="Q584" s="3"/>
      <c r="R584" s="3"/>
    </row>
    <row r="585" spans="4:18" ht="13.5" customHeight="1">
      <c r="D585" s="4"/>
      <c r="E585" s="3"/>
      <c r="F585" s="3"/>
      <c r="G585" s="3"/>
      <c r="H585" s="3"/>
      <c r="I585" s="3"/>
      <c r="J585" s="3"/>
      <c r="K585" s="3"/>
      <c r="L585" s="3"/>
      <c r="M585" s="3"/>
      <c r="N585" s="3"/>
      <c r="O585" s="3"/>
      <c r="P585" s="3"/>
      <c r="Q585" s="3"/>
      <c r="R585" s="3"/>
    </row>
    <row r="586" spans="4:18" ht="13.5" customHeight="1">
      <c r="D586" s="4"/>
      <c r="E586" s="3"/>
      <c r="F586" s="3"/>
      <c r="G586" s="3"/>
      <c r="H586" s="3"/>
      <c r="I586" s="3"/>
      <c r="J586" s="3"/>
      <c r="K586" s="3"/>
      <c r="L586" s="3"/>
      <c r="M586" s="3"/>
      <c r="N586" s="3"/>
      <c r="O586" s="3"/>
      <c r="P586" s="3"/>
      <c r="Q586" s="3"/>
      <c r="R586" s="3"/>
    </row>
    <row r="587" spans="4:18" ht="13.5" customHeight="1">
      <c r="D587" s="4"/>
      <c r="E587" s="3"/>
      <c r="F587" s="3"/>
      <c r="G587" s="3"/>
      <c r="H587" s="3"/>
      <c r="I587" s="3"/>
      <c r="J587" s="3"/>
      <c r="K587" s="3"/>
      <c r="L587" s="3"/>
      <c r="M587" s="3"/>
      <c r="N587" s="3"/>
      <c r="O587" s="3"/>
      <c r="P587" s="3"/>
      <c r="Q587" s="3"/>
      <c r="R587" s="3"/>
    </row>
    <row r="588" spans="4:18" ht="13.5" customHeight="1">
      <c r="D588" s="4"/>
      <c r="E588" s="3"/>
      <c r="F588" s="3"/>
      <c r="G588" s="3"/>
      <c r="H588" s="3"/>
      <c r="I588" s="3"/>
      <c r="J588" s="3"/>
      <c r="K588" s="3"/>
      <c r="L588" s="3"/>
      <c r="M588" s="3"/>
      <c r="N588" s="3"/>
      <c r="O588" s="3"/>
      <c r="P588" s="3"/>
      <c r="Q588" s="3"/>
      <c r="R588" s="3"/>
    </row>
    <row r="589" spans="4:18" ht="13.5" customHeight="1">
      <c r="D589" s="4"/>
      <c r="E589" s="3"/>
      <c r="F589" s="3"/>
      <c r="G589" s="3"/>
      <c r="H589" s="3"/>
      <c r="I589" s="3"/>
      <c r="J589" s="3"/>
      <c r="K589" s="3"/>
      <c r="L589" s="3"/>
      <c r="M589" s="3"/>
      <c r="N589" s="3"/>
      <c r="O589" s="3"/>
      <c r="P589" s="3"/>
      <c r="Q589" s="3"/>
      <c r="R589" s="3"/>
    </row>
    <row r="590" spans="4:18" ht="13.5" customHeight="1">
      <c r="D590" s="4"/>
      <c r="E590" s="3"/>
      <c r="F590" s="3"/>
      <c r="G590" s="3"/>
      <c r="H590" s="3"/>
      <c r="I590" s="3"/>
      <c r="J590" s="3"/>
      <c r="K590" s="3"/>
      <c r="L590" s="3"/>
      <c r="M590" s="3"/>
      <c r="N590" s="3"/>
      <c r="O590" s="3"/>
      <c r="P590" s="3"/>
      <c r="Q590" s="3"/>
      <c r="R590" s="3"/>
    </row>
    <row r="591" spans="4:18" ht="13.5" customHeight="1">
      <c r="D591" s="4"/>
      <c r="E591" s="3"/>
      <c r="F591" s="3"/>
      <c r="G591" s="3"/>
      <c r="H591" s="3"/>
      <c r="I591" s="3"/>
      <c r="J591" s="3"/>
      <c r="K591" s="3"/>
      <c r="L591" s="3"/>
      <c r="M591" s="3"/>
      <c r="N591" s="3"/>
      <c r="O591" s="3"/>
      <c r="P591" s="3"/>
      <c r="Q591" s="3"/>
      <c r="R591" s="3"/>
    </row>
    <row r="592" spans="4:18" ht="13.5" customHeight="1">
      <c r="D592" s="4"/>
      <c r="E592" s="3"/>
      <c r="F592" s="3"/>
      <c r="G592" s="3"/>
      <c r="H592" s="3"/>
      <c r="I592" s="3"/>
      <c r="J592" s="3"/>
      <c r="K592" s="3"/>
      <c r="L592" s="3"/>
      <c r="M592" s="3"/>
      <c r="N592" s="3"/>
      <c r="O592" s="3"/>
      <c r="P592" s="3"/>
      <c r="Q592" s="3"/>
      <c r="R592" s="3"/>
    </row>
    <row r="593" spans="4:18" ht="13.5" customHeight="1">
      <c r="D593" s="4"/>
      <c r="E593" s="3"/>
      <c r="F593" s="3"/>
      <c r="G593" s="3"/>
      <c r="H593" s="3"/>
      <c r="I593" s="3"/>
      <c r="J593" s="3"/>
      <c r="K593" s="3"/>
      <c r="L593" s="3"/>
      <c r="M593" s="3"/>
      <c r="N593" s="3"/>
      <c r="O593" s="3"/>
      <c r="P593" s="3"/>
      <c r="Q593" s="3"/>
      <c r="R593" s="3"/>
    </row>
    <row r="594" spans="4:18" ht="13.5" customHeight="1">
      <c r="D594" s="4"/>
      <c r="E594" s="3"/>
      <c r="F594" s="3"/>
      <c r="G594" s="3"/>
      <c r="H594" s="3"/>
      <c r="I594" s="3"/>
      <c r="J594" s="3"/>
      <c r="K594" s="3"/>
      <c r="L594" s="3"/>
      <c r="M594" s="3"/>
      <c r="N594" s="3"/>
      <c r="O594" s="3"/>
      <c r="P594" s="3"/>
      <c r="Q594" s="3"/>
      <c r="R594" s="3"/>
    </row>
    <row r="595" spans="4:18" ht="13.5" customHeight="1">
      <c r="D595" s="4"/>
      <c r="E595" s="3"/>
      <c r="F595" s="3"/>
      <c r="G595" s="3"/>
      <c r="H595" s="3"/>
      <c r="I595" s="3"/>
      <c r="J595" s="3"/>
      <c r="K595" s="3"/>
      <c r="L595" s="3"/>
      <c r="M595" s="3"/>
      <c r="N595" s="3"/>
      <c r="O595" s="3"/>
      <c r="P595" s="3"/>
      <c r="Q595" s="3"/>
      <c r="R595" s="3"/>
    </row>
    <row r="596" spans="4:18" ht="13.5" customHeight="1">
      <c r="D596" s="4"/>
      <c r="E596" s="3"/>
      <c r="F596" s="3"/>
      <c r="G596" s="3"/>
      <c r="H596" s="3"/>
      <c r="I596" s="3"/>
      <c r="J596" s="3"/>
      <c r="K596" s="3"/>
      <c r="L596" s="3"/>
      <c r="M596" s="3"/>
      <c r="N596" s="3"/>
      <c r="O596" s="3"/>
      <c r="P596" s="3"/>
      <c r="Q596" s="3"/>
      <c r="R596" s="3"/>
    </row>
    <row r="597" spans="4:18" ht="13.5" customHeight="1">
      <c r="D597" s="4"/>
      <c r="E597" s="3"/>
      <c r="F597" s="3"/>
      <c r="G597" s="3"/>
      <c r="H597" s="3"/>
      <c r="I597" s="3"/>
      <c r="J597" s="3"/>
      <c r="K597" s="3"/>
      <c r="L597" s="3"/>
      <c r="M597" s="3"/>
      <c r="N597" s="3"/>
      <c r="O597" s="3"/>
      <c r="P597" s="3"/>
      <c r="Q597" s="3"/>
      <c r="R597" s="3"/>
    </row>
    <row r="598" spans="4:18" ht="13.5" customHeight="1">
      <c r="D598" s="4"/>
      <c r="E598" s="3"/>
      <c r="F598" s="3"/>
      <c r="G598" s="3"/>
      <c r="H598" s="3"/>
      <c r="I598" s="3"/>
      <c r="J598" s="3"/>
      <c r="K598" s="3"/>
      <c r="L598" s="3"/>
      <c r="M598" s="3"/>
      <c r="N598" s="3"/>
      <c r="O598" s="3"/>
      <c r="P598" s="3"/>
      <c r="Q598" s="3"/>
      <c r="R598" s="3"/>
    </row>
    <row r="599" spans="4:18" ht="13.5" customHeight="1">
      <c r="D599" s="4"/>
      <c r="E599" s="3"/>
      <c r="F599" s="3"/>
      <c r="G599" s="3"/>
      <c r="H599" s="3"/>
      <c r="I599" s="3"/>
      <c r="J599" s="3"/>
      <c r="K599" s="3"/>
      <c r="L599" s="3"/>
      <c r="M599" s="3"/>
      <c r="N599" s="3"/>
      <c r="O599" s="3"/>
      <c r="P599" s="3"/>
      <c r="Q599" s="3"/>
      <c r="R599" s="3"/>
    </row>
    <row r="600" spans="4:18" ht="13.5" customHeight="1">
      <c r="D600" s="4"/>
      <c r="E600" s="3"/>
      <c r="F600" s="3"/>
      <c r="G600" s="3"/>
      <c r="H600" s="3"/>
      <c r="I600" s="3"/>
      <c r="J600" s="3"/>
      <c r="K600" s="3"/>
      <c r="L600" s="3"/>
      <c r="M600" s="3"/>
      <c r="N600" s="3"/>
      <c r="O600" s="3"/>
      <c r="P600" s="3"/>
      <c r="Q600" s="3"/>
      <c r="R600" s="3"/>
    </row>
    <row r="601" spans="4:18" ht="13.5" customHeight="1">
      <c r="D601" s="4"/>
      <c r="E601" s="3"/>
      <c r="F601" s="3"/>
      <c r="G601" s="3"/>
      <c r="H601" s="3"/>
      <c r="I601" s="3"/>
      <c r="J601" s="3"/>
      <c r="K601" s="3"/>
      <c r="L601" s="3"/>
      <c r="M601" s="3"/>
      <c r="N601" s="3"/>
      <c r="O601" s="3"/>
      <c r="P601" s="3"/>
      <c r="Q601" s="3"/>
      <c r="R601" s="3"/>
    </row>
    <row r="602" spans="4:18" ht="13.5" customHeight="1">
      <c r="D602" s="4"/>
      <c r="E602" s="3"/>
      <c r="F602" s="3"/>
      <c r="G602" s="3"/>
      <c r="H602" s="3"/>
      <c r="I602" s="3"/>
      <c r="J602" s="3"/>
      <c r="K602" s="3"/>
      <c r="L602" s="3"/>
      <c r="M602" s="3"/>
      <c r="N602" s="3"/>
      <c r="O602" s="3"/>
      <c r="P602" s="3"/>
      <c r="Q602" s="3"/>
      <c r="R602" s="3"/>
    </row>
    <row r="603" spans="4:18" ht="13.5" customHeight="1">
      <c r="D603" s="4"/>
      <c r="E603" s="3"/>
      <c r="F603" s="3"/>
      <c r="G603" s="3"/>
      <c r="H603" s="3"/>
      <c r="I603" s="3"/>
      <c r="J603" s="3"/>
      <c r="K603" s="3"/>
      <c r="L603" s="3"/>
      <c r="M603" s="3"/>
      <c r="N603" s="3"/>
      <c r="O603" s="3"/>
      <c r="P603" s="3"/>
      <c r="Q603" s="3"/>
      <c r="R603" s="3"/>
    </row>
    <row r="604" spans="4:18" ht="13.5" customHeight="1">
      <c r="D604" s="4"/>
      <c r="E604" s="3"/>
      <c r="F604" s="3"/>
      <c r="G604" s="3"/>
      <c r="H604" s="3"/>
      <c r="I604" s="3"/>
      <c r="J604" s="3"/>
      <c r="K604" s="3"/>
      <c r="L604" s="3"/>
      <c r="M604" s="3"/>
      <c r="N604" s="3"/>
      <c r="O604" s="3"/>
      <c r="P604" s="3"/>
      <c r="Q604" s="3"/>
      <c r="R604" s="3"/>
    </row>
    <row r="605" spans="4:18" ht="13.5" customHeight="1">
      <c r="D605" s="4"/>
      <c r="E605" s="3"/>
      <c r="F605" s="3"/>
      <c r="G605" s="3"/>
      <c r="H605" s="3"/>
      <c r="I605" s="3"/>
      <c r="J605" s="3"/>
      <c r="K605" s="3"/>
      <c r="L605" s="3"/>
      <c r="M605" s="3"/>
      <c r="N605" s="3"/>
      <c r="O605" s="3"/>
      <c r="P605" s="3"/>
      <c r="Q605" s="3"/>
      <c r="R605" s="3"/>
    </row>
    <row r="606" spans="4:18" ht="13.5" customHeight="1">
      <c r="D606" s="4"/>
      <c r="E606" s="3"/>
      <c r="F606" s="3"/>
      <c r="G606" s="3"/>
      <c r="H606" s="3"/>
      <c r="I606" s="3"/>
      <c r="J606" s="3"/>
      <c r="K606" s="3"/>
      <c r="L606" s="3"/>
      <c r="M606" s="3"/>
      <c r="N606" s="3"/>
      <c r="O606" s="3"/>
      <c r="P606" s="3"/>
      <c r="Q606" s="3"/>
      <c r="R606" s="3"/>
    </row>
    <row r="607" spans="4:18" ht="13.5" customHeight="1">
      <c r="D607" s="4"/>
      <c r="E607" s="3"/>
      <c r="F607" s="3"/>
      <c r="G607" s="3"/>
      <c r="H607" s="3"/>
      <c r="I607" s="3"/>
      <c r="J607" s="3"/>
      <c r="K607" s="3"/>
      <c r="L607" s="3"/>
      <c r="M607" s="3"/>
      <c r="N607" s="3"/>
      <c r="O607" s="3"/>
      <c r="P607" s="3"/>
      <c r="Q607" s="3"/>
      <c r="R607" s="3"/>
    </row>
    <row r="608" spans="4:18" ht="13.5" customHeight="1">
      <c r="D608" s="4"/>
      <c r="E608" s="3"/>
      <c r="F608" s="3"/>
      <c r="G608" s="3"/>
      <c r="H608" s="3"/>
      <c r="I608" s="3"/>
      <c r="J608" s="3"/>
      <c r="K608" s="3"/>
      <c r="L608" s="3"/>
      <c r="M608" s="3"/>
      <c r="N608" s="3"/>
      <c r="O608" s="3"/>
      <c r="P608" s="3"/>
      <c r="Q608" s="3"/>
      <c r="R608" s="3"/>
    </row>
    <row r="609" spans="4:18" ht="13.5" customHeight="1">
      <c r="D609" s="4"/>
      <c r="E609" s="3"/>
      <c r="F609" s="3"/>
      <c r="G609" s="3"/>
      <c r="H609" s="3"/>
      <c r="I609" s="3"/>
      <c r="J609" s="3"/>
      <c r="K609" s="3"/>
      <c r="L609" s="3"/>
      <c r="M609" s="3"/>
      <c r="N609" s="3"/>
      <c r="O609" s="3"/>
      <c r="P609" s="3"/>
      <c r="Q609" s="3"/>
      <c r="R609" s="3"/>
    </row>
    <row r="610" spans="4:18" ht="13.5" customHeight="1">
      <c r="D610" s="4"/>
      <c r="E610" s="3"/>
      <c r="F610" s="3"/>
      <c r="G610" s="3"/>
      <c r="H610" s="3"/>
      <c r="I610" s="3"/>
      <c r="J610" s="3"/>
      <c r="K610" s="3"/>
      <c r="L610" s="3"/>
      <c r="M610" s="3"/>
      <c r="N610" s="3"/>
      <c r="O610" s="3"/>
      <c r="P610" s="3"/>
      <c r="Q610" s="3"/>
      <c r="R610" s="3"/>
    </row>
    <row r="611" spans="4:18" ht="13.5" customHeight="1">
      <c r="D611" s="4"/>
      <c r="E611" s="3"/>
      <c r="F611" s="3"/>
      <c r="G611" s="3"/>
      <c r="H611" s="3"/>
      <c r="I611" s="3"/>
      <c r="J611" s="3"/>
      <c r="K611" s="3"/>
      <c r="L611" s="3"/>
      <c r="M611" s="3"/>
      <c r="N611" s="3"/>
      <c r="O611" s="3"/>
      <c r="P611" s="3"/>
      <c r="Q611" s="3"/>
      <c r="R611" s="3"/>
    </row>
    <row r="612" spans="4:18" ht="13.5" customHeight="1">
      <c r="D612" s="4"/>
      <c r="E612" s="3"/>
      <c r="F612" s="3"/>
      <c r="G612" s="3"/>
      <c r="H612" s="3"/>
      <c r="I612" s="3"/>
      <c r="J612" s="3"/>
      <c r="K612" s="3"/>
      <c r="L612" s="3"/>
      <c r="M612" s="3"/>
      <c r="N612" s="3"/>
      <c r="O612" s="3"/>
      <c r="P612" s="3"/>
      <c r="Q612" s="3"/>
      <c r="R612" s="3"/>
    </row>
    <row r="613" spans="4:18" ht="13.5" customHeight="1">
      <c r="D613" s="4"/>
      <c r="E613" s="3"/>
      <c r="F613" s="3"/>
      <c r="G613" s="3"/>
      <c r="H613" s="3"/>
      <c r="I613" s="3"/>
      <c r="J613" s="3"/>
      <c r="K613" s="3"/>
      <c r="L613" s="3"/>
      <c r="M613" s="3"/>
      <c r="N613" s="3"/>
      <c r="O613" s="3"/>
      <c r="P613" s="3"/>
      <c r="Q613" s="3"/>
      <c r="R613" s="3"/>
    </row>
    <row r="614" spans="4:18" ht="13.5" customHeight="1">
      <c r="D614" s="4"/>
      <c r="E614" s="3"/>
      <c r="F614" s="3"/>
      <c r="G614" s="3"/>
      <c r="H614" s="3"/>
      <c r="I614" s="3"/>
      <c r="J614" s="3"/>
      <c r="K614" s="3"/>
      <c r="L614" s="3"/>
      <c r="M614" s="3"/>
      <c r="N614" s="3"/>
      <c r="O614" s="3"/>
      <c r="P614" s="3"/>
      <c r="Q614" s="3"/>
      <c r="R614" s="3"/>
    </row>
    <row r="615" spans="4:18" ht="13.5" customHeight="1">
      <c r="D615" s="4"/>
      <c r="E615" s="3"/>
      <c r="F615" s="3"/>
      <c r="G615" s="3"/>
      <c r="H615" s="3"/>
      <c r="I615" s="3"/>
      <c r="J615" s="3"/>
      <c r="K615" s="3"/>
      <c r="L615" s="3"/>
      <c r="M615" s="3"/>
      <c r="N615" s="3"/>
      <c r="O615" s="3"/>
      <c r="P615" s="3"/>
      <c r="Q615" s="3"/>
      <c r="R615" s="3"/>
    </row>
    <row r="616" spans="4:18" ht="13.5" customHeight="1">
      <c r="D616" s="4"/>
      <c r="E616" s="3"/>
      <c r="F616" s="3"/>
      <c r="G616" s="3"/>
      <c r="H616" s="3"/>
      <c r="I616" s="3"/>
      <c r="J616" s="3"/>
      <c r="K616" s="3"/>
      <c r="L616" s="3"/>
      <c r="M616" s="3"/>
      <c r="N616" s="3"/>
      <c r="O616" s="3"/>
      <c r="P616" s="3"/>
      <c r="Q616" s="3"/>
      <c r="R616" s="3"/>
    </row>
    <row r="617" spans="4:18" ht="13.5" customHeight="1">
      <c r="D617" s="4"/>
      <c r="E617" s="3"/>
      <c r="F617" s="3"/>
      <c r="G617" s="3"/>
      <c r="H617" s="3"/>
      <c r="I617" s="3"/>
      <c r="J617" s="3"/>
      <c r="K617" s="3"/>
      <c r="L617" s="3"/>
      <c r="M617" s="3"/>
      <c r="N617" s="3"/>
      <c r="O617" s="3"/>
      <c r="P617" s="3"/>
      <c r="Q617" s="3"/>
      <c r="R617" s="3"/>
    </row>
    <row r="618" spans="4:18" ht="13.5" customHeight="1">
      <c r="D618" s="4"/>
      <c r="E618" s="3"/>
      <c r="F618" s="3"/>
      <c r="G618" s="3"/>
      <c r="H618" s="3"/>
      <c r="I618" s="3"/>
      <c r="J618" s="3"/>
      <c r="K618" s="3"/>
      <c r="L618" s="3"/>
      <c r="M618" s="3"/>
      <c r="N618" s="3"/>
      <c r="O618" s="3"/>
      <c r="P618" s="3"/>
      <c r="Q618" s="3"/>
      <c r="R618" s="3"/>
    </row>
    <row r="619" spans="4:18" ht="13.5" customHeight="1">
      <c r="D619" s="4"/>
      <c r="E619" s="3"/>
      <c r="F619" s="3"/>
      <c r="G619" s="3"/>
      <c r="H619" s="3"/>
      <c r="I619" s="3"/>
      <c r="J619" s="3"/>
      <c r="K619" s="3"/>
      <c r="L619" s="3"/>
      <c r="M619" s="3"/>
      <c r="N619" s="3"/>
      <c r="O619" s="3"/>
      <c r="P619" s="3"/>
      <c r="Q619" s="3"/>
      <c r="R619" s="3"/>
    </row>
    <row r="620" spans="4:18" ht="13.5" customHeight="1">
      <c r="D620" s="4"/>
      <c r="E620" s="3"/>
      <c r="F620" s="3"/>
      <c r="G620" s="3"/>
      <c r="H620" s="3"/>
      <c r="I620" s="3"/>
      <c r="J620" s="3"/>
      <c r="K620" s="3"/>
      <c r="L620" s="3"/>
      <c r="M620" s="3"/>
      <c r="N620" s="3"/>
      <c r="O620" s="3"/>
      <c r="P620" s="3"/>
      <c r="Q620" s="3"/>
      <c r="R620" s="3"/>
    </row>
    <row r="621" spans="4:18" ht="13.5" customHeight="1">
      <c r="D621" s="4"/>
      <c r="E621" s="3"/>
      <c r="F621" s="3"/>
      <c r="G621" s="3"/>
      <c r="H621" s="3"/>
      <c r="I621" s="3"/>
      <c r="J621" s="3"/>
      <c r="K621" s="3"/>
      <c r="L621" s="3"/>
      <c r="M621" s="3"/>
      <c r="N621" s="3"/>
      <c r="O621" s="3"/>
      <c r="P621" s="3"/>
      <c r="Q621" s="3"/>
      <c r="R621" s="3"/>
    </row>
    <row r="622" spans="4:18" ht="13.5" customHeight="1">
      <c r="D622" s="4"/>
      <c r="E622" s="3"/>
      <c r="F622" s="3"/>
      <c r="G622" s="3"/>
      <c r="H622" s="3"/>
      <c r="I622" s="3"/>
      <c r="J622" s="3"/>
      <c r="K622" s="3"/>
      <c r="L622" s="3"/>
      <c r="M622" s="3"/>
      <c r="N622" s="3"/>
      <c r="O622" s="3"/>
      <c r="P622" s="3"/>
      <c r="Q622" s="3"/>
      <c r="R622" s="3"/>
    </row>
    <row r="623" spans="4:18" ht="13.5" customHeight="1">
      <c r="D623" s="4"/>
      <c r="E623" s="3"/>
      <c r="F623" s="3"/>
      <c r="G623" s="3"/>
      <c r="H623" s="3"/>
      <c r="I623" s="3"/>
      <c r="J623" s="3"/>
      <c r="K623" s="3"/>
      <c r="L623" s="3"/>
      <c r="M623" s="3"/>
      <c r="N623" s="3"/>
      <c r="O623" s="3"/>
      <c r="P623" s="3"/>
      <c r="Q623" s="3"/>
      <c r="R623" s="3"/>
    </row>
    <row r="624" spans="4:18" ht="13.5" customHeight="1">
      <c r="D624" s="4"/>
      <c r="E624" s="3"/>
      <c r="F624" s="3"/>
      <c r="G624" s="3"/>
      <c r="H624" s="3"/>
      <c r="I624" s="3"/>
      <c r="J624" s="3"/>
      <c r="K624" s="3"/>
      <c r="L624" s="3"/>
      <c r="M624" s="3"/>
      <c r="N624" s="3"/>
      <c r="O624" s="3"/>
      <c r="P624" s="3"/>
      <c r="Q624" s="3"/>
      <c r="R624" s="3"/>
    </row>
    <row r="625" spans="4:18" ht="13.5" customHeight="1">
      <c r="D625" s="4"/>
      <c r="E625" s="3"/>
      <c r="F625" s="3"/>
      <c r="G625" s="3"/>
      <c r="H625" s="3"/>
      <c r="I625" s="3"/>
      <c r="J625" s="3"/>
      <c r="K625" s="3"/>
      <c r="L625" s="3"/>
      <c r="M625" s="3"/>
      <c r="N625" s="3"/>
      <c r="O625" s="3"/>
      <c r="P625" s="3"/>
      <c r="Q625" s="3"/>
      <c r="R625" s="3"/>
    </row>
    <row r="626" spans="4:18" ht="13.5" customHeight="1">
      <c r="D626" s="4"/>
      <c r="E626" s="3"/>
      <c r="F626" s="3"/>
      <c r="G626" s="3"/>
      <c r="H626" s="3"/>
      <c r="I626" s="3"/>
      <c r="J626" s="3"/>
      <c r="K626" s="3"/>
      <c r="L626" s="3"/>
      <c r="M626" s="3"/>
      <c r="N626" s="3"/>
      <c r="O626" s="3"/>
      <c r="P626" s="3"/>
      <c r="Q626" s="3"/>
      <c r="R626" s="3"/>
    </row>
    <row r="627" spans="4:18" ht="13.5" customHeight="1">
      <c r="D627" s="4"/>
      <c r="E627" s="3"/>
      <c r="F627" s="3"/>
      <c r="G627" s="3"/>
      <c r="H627" s="3"/>
      <c r="I627" s="3"/>
      <c r="J627" s="3"/>
      <c r="K627" s="3"/>
      <c r="L627" s="3"/>
      <c r="M627" s="3"/>
      <c r="N627" s="3"/>
      <c r="O627" s="3"/>
      <c r="P627" s="3"/>
      <c r="Q627" s="3"/>
      <c r="R627" s="3"/>
    </row>
    <row r="628" spans="4:18" ht="13.5" customHeight="1">
      <c r="D628" s="4"/>
      <c r="E628" s="3"/>
      <c r="F628" s="3"/>
      <c r="G628" s="3"/>
      <c r="H628" s="3"/>
      <c r="I628" s="3"/>
      <c r="J628" s="3"/>
      <c r="K628" s="3"/>
      <c r="L628" s="3"/>
      <c r="M628" s="3"/>
      <c r="N628" s="3"/>
      <c r="O628" s="3"/>
      <c r="P628" s="3"/>
      <c r="Q628" s="3"/>
      <c r="R628" s="3"/>
    </row>
    <row r="629" spans="4:18" ht="13.5" customHeight="1">
      <c r="D629" s="4"/>
      <c r="E629" s="3"/>
      <c r="F629" s="3"/>
      <c r="G629" s="3"/>
      <c r="H629" s="3"/>
      <c r="I629" s="3"/>
      <c r="J629" s="3"/>
      <c r="K629" s="3"/>
      <c r="L629" s="3"/>
      <c r="M629" s="3"/>
      <c r="N629" s="3"/>
      <c r="O629" s="3"/>
      <c r="P629" s="3"/>
      <c r="Q629" s="3"/>
      <c r="R629" s="3"/>
    </row>
    <row r="630" spans="4:18" ht="13.5" customHeight="1">
      <c r="D630" s="4"/>
      <c r="E630" s="3"/>
      <c r="F630" s="3"/>
      <c r="G630" s="3"/>
      <c r="H630" s="3"/>
      <c r="I630" s="3"/>
      <c r="J630" s="3"/>
      <c r="K630" s="3"/>
      <c r="L630" s="3"/>
      <c r="M630" s="3"/>
      <c r="N630" s="3"/>
      <c r="O630" s="3"/>
      <c r="P630" s="3"/>
      <c r="Q630" s="3"/>
      <c r="R630" s="3"/>
    </row>
    <row r="631" spans="4:18" ht="13.5" customHeight="1">
      <c r="D631" s="4"/>
      <c r="E631" s="3"/>
      <c r="F631" s="3"/>
      <c r="G631" s="3"/>
      <c r="H631" s="3"/>
      <c r="I631" s="3"/>
      <c r="J631" s="3"/>
      <c r="K631" s="3"/>
      <c r="L631" s="3"/>
      <c r="M631" s="3"/>
      <c r="N631" s="3"/>
      <c r="O631" s="3"/>
      <c r="P631" s="3"/>
      <c r="Q631" s="3"/>
      <c r="R631" s="3"/>
    </row>
    <row r="632" spans="4:18" ht="13.5" customHeight="1">
      <c r="D632" s="4"/>
      <c r="E632" s="3"/>
      <c r="F632" s="3"/>
      <c r="G632" s="3"/>
      <c r="H632" s="3"/>
      <c r="I632" s="3"/>
      <c r="J632" s="3"/>
      <c r="K632" s="3"/>
      <c r="L632" s="3"/>
      <c r="M632" s="3"/>
      <c r="N632" s="3"/>
      <c r="O632" s="3"/>
      <c r="P632" s="3"/>
      <c r="Q632" s="3"/>
      <c r="R632" s="3"/>
    </row>
    <row r="633" spans="4:18" ht="13.5" customHeight="1">
      <c r="D633" s="4"/>
      <c r="E633" s="3"/>
      <c r="F633" s="3"/>
      <c r="G633" s="3"/>
      <c r="H633" s="3"/>
      <c r="I633" s="3"/>
      <c r="J633" s="3"/>
      <c r="K633" s="3"/>
      <c r="L633" s="3"/>
      <c r="M633" s="3"/>
      <c r="N633" s="3"/>
      <c r="O633" s="3"/>
      <c r="P633" s="3"/>
      <c r="Q633" s="3"/>
      <c r="R633" s="3"/>
    </row>
    <row r="634" spans="4:18" ht="13.5" customHeight="1">
      <c r="D634" s="4"/>
      <c r="E634" s="3"/>
      <c r="F634" s="3"/>
      <c r="G634" s="3"/>
      <c r="H634" s="3"/>
      <c r="I634" s="3"/>
      <c r="J634" s="3"/>
      <c r="K634" s="3"/>
      <c r="L634" s="3"/>
      <c r="M634" s="3"/>
      <c r="N634" s="3"/>
      <c r="O634" s="3"/>
      <c r="P634" s="3"/>
      <c r="Q634" s="3"/>
      <c r="R634" s="3"/>
    </row>
    <row r="635" spans="4:18" ht="13.5" customHeight="1">
      <c r="D635" s="4"/>
      <c r="E635" s="3"/>
      <c r="F635" s="3"/>
      <c r="G635" s="3"/>
      <c r="H635" s="3"/>
      <c r="I635" s="3"/>
      <c r="J635" s="3"/>
      <c r="K635" s="3"/>
      <c r="L635" s="3"/>
      <c r="M635" s="3"/>
      <c r="N635" s="3"/>
      <c r="O635" s="3"/>
      <c r="P635" s="3"/>
      <c r="Q635" s="3"/>
      <c r="R635" s="3"/>
    </row>
    <row r="636" spans="4:18" ht="13.5" customHeight="1">
      <c r="D636" s="4"/>
      <c r="E636" s="3"/>
      <c r="F636" s="3"/>
      <c r="G636" s="3"/>
      <c r="H636" s="3"/>
      <c r="I636" s="3"/>
      <c r="J636" s="3"/>
      <c r="K636" s="3"/>
      <c r="L636" s="3"/>
      <c r="M636" s="3"/>
      <c r="N636" s="3"/>
      <c r="O636" s="3"/>
      <c r="P636" s="3"/>
      <c r="Q636" s="3"/>
      <c r="R636" s="3"/>
    </row>
    <row r="637" spans="4:18" ht="13.5" customHeight="1">
      <c r="D637" s="4"/>
      <c r="E637" s="3"/>
      <c r="F637" s="3"/>
      <c r="G637" s="3"/>
      <c r="H637" s="3"/>
      <c r="I637" s="3"/>
      <c r="J637" s="3"/>
      <c r="K637" s="3"/>
      <c r="L637" s="3"/>
      <c r="M637" s="3"/>
      <c r="N637" s="3"/>
      <c r="O637" s="3"/>
      <c r="P637" s="3"/>
      <c r="Q637" s="3"/>
      <c r="R637" s="3"/>
    </row>
    <row r="638" spans="4:18" ht="13.5" customHeight="1">
      <c r="D638" s="4"/>
      <c r="E638" s="3"/>
      <c r="F638" s="3"/>
      <c r="G638" s="3"/>
      <c r="H638" s="3"/>
      <c r="I638" s="3"/>
      <c r="J638" s="3"/>
      <c r="K638" s="3"/>
      <c r="L638" s="3"/>
      <c r="M638" s="3"/>
      <c r="N638" s="3"/>
      <c r="O638" s="3"/>
      <c r="P638" s="3"/>
      <c r="Q638" s="3"/>
      <c r="R638" s="3"/>
    </row>
    <row r="639" spans="4:18" ht="13.5" customHeight="1">
      <c r="D639" s="4"/>
      <c r="E639" s="3"/>
      <c r="F639" s="3"/>
      <c r="G639" s="3"/>
      <c r="H639" s="3"/>
      <c r="I639" s="3"/>
      <c r="J639" s="3"/>
      <c r="K639" s="3"/>
      <c r="L639" s="3"/>
      <c r="M639" s="3"/>
      <c r="N639" s="3"/>
      <c r="O639" s="3"/>
      <c r="P639" s="3"/>
      <c r="Q639" s="3"/>
      <c r="R639" s="3"/>
    </row>
    <row r="640" spans="4:18" ht="13.5" customHeight="1">
      <c r="D640" s="4"/>
      <c r="E640" s="3"/>
      <c r="F640" s="3"/>
      <c r="G640" s="3"/>
      <c r="H640" s="3"/>
      <c r="I640" s="3"/>
      <c r="J640" s="3"/>
      <c r="K640" s="3"/>
      <c r="L640" s="3"/>
      <c r="M640" s="3"/>
      <c r="N640" s="3"/>
      <c r="O640" s="3"/>
      <c r="P640" s="3"/>
      <c r="Q640" s="3"/>
      <c r="R640" s="3"/>
    </row>
    <row r="641" spans="4:18" ht="13.5" customHeight="1">
      <c r="D641" s="4"/>
      <c r="E641" s="3"/>
      <c r="F641" s="3"/>
      <c r="G641" s="3"/>
      <c r="H641" s="3"/>
      <c r="I641" s="3"/>
      <c r="J641" s="3"/>
      <c r="K641" s="3"/>
      <c r="L641" s="3"/>
      <c r="M641" s="3"/>
      <c r="N641" s="3"/>
      <c r="O641" s="3"/>
      <c r="P641" s="3"/>
      <c r="Q641" s="3"/>
      <c r="R641" s="3"/>
    </row>
    <row r="642" spans="4:18" ht="13.5" customHeight="1">
      <c r="D642" s="4"/>
      <c r="E642" s="3"/>
      <c r="F642" s="3"/>
      <c r="G642" s="3"/>
      <c r="H642" s="3"/>
      <c r="I642" s="3"/>
      <c r="J642" s="3"/>
      <c r="K642" s="3"/>
      <c r="L642" s="3"/>
      <c r="M642" s="3"/>
      <c r="N642" s="3"/>
      <c r="O642" s="3"/>
      <c r="P642" s="3"/>
      <c r="Q642" s="3"/>
      <c r="R642" s="3"/>
    </row>
    <row r="643" spans="4:18" ht="13.5" customHeight="1">
      <c r="D643" s="4"/>
      <c r="E643" s="3"/>
      <c r="F643" s="3"/>
      <c r="G643" s="3"/>
      <c r="H643" s="3"/>
      <c r="I643" s="3"/>
      <c r="J643" s="3"/>
      <c r="K643" s="3"/>
      <c r="L643" s="3"/>
      <c r="M643" s="3"/>
      <c r="N643" s="3"/>
      <c r="O643" s="3"/>
      <c r="P643" s="3"/>
      <c r="Q643" s="3"/>
      <c r="R643" s="3"/>
    </row>
    <row r="644" spans="4:18" ht="13.5" customHeight="1">
      <c r="D644" s="4"/>
      <c r="E644" s="3"/>
      <c r="F644" s="3"/>
      <c r="G644" s="3"/>
      <c r="H644" s="3"/>
      <c r="I644" s="3"/>
      <c r="J644" s="3"/>
      <c r="K644" s="3"/>
      <c r="L644" s="3"/>
      <c r="M644" s="3"/>
      <c r="N644" s="3"/>
      <c r="O644" s="3"/>
      <c r="P644" s="3"/>
      <c r="Q644" s="3"/>
      <c r="R644" s="3"/>
    </row>
    <row r="645" spans="4:18" ht="13.5" customHeight="1">
      <c r="D645" s="4"/>
      <c r="E645" s="3"/>
      <c r="F645" s="3"/>
      <c r="G645" s="3"/>
      <c r="H645" s="3"/>
      <c r="I645" s="3"/>
      <c r="J645" s="3"/>
      <c r="K645" s="3"/>
      <c r="L645" s="3"/>
      <c r="M645" s="3"/>
      <c r="N645" s="3"/>
      <c r="O645" s="3"/>
      <c r="P645" s="3"/>
      <c r="Q645" s="3"/>
      <c r="R645" s="3"/>
    </row>
    <row r="646" spans="4:18" ht="13.5" customHeight="1">
      <c r="D646" s="4"/>
      <c r="E646" s="3"/>
      <c r="F646" s="3"/>
      <c r="G646" s="3"/>
      <c r="H646" s="3"/>
      <c r="I646" s="3"/>
      <c r="J646" s="3"/>
      <c r="K646" s="3"/>
      <c r="L646" s="3"/>
      <c r="M646" s="3"/>
      <c r="N646" s="3"/>
      <c r="O646" s="3"/>
      <c r="P646" s="3"/>
      <c r="Q646" s="3"/>
      <c r="R646" s="3"/>
    </row>
    <row r="647" spans="4:18" ht="13.5" customHeight="1">
      <c r="D647" s="4"/>
      <c r="E647" s="3"/>
      <c r="F647" s="3"/>
      <c r="G647" s="3"/>
      <c r="H647" s="3"/>
      <c r="I647" s="3"/>
      <c r="J647" s="3"/>
      <c r="K647" s="3"/>
      <c r="L647" s="3"/>
      <c r="M647" s="3"/>
      <c r="N647" s="3"/>
      <c r="O647" s="3"/>
      <c r="P647" s="3"/>
      <c r="Q647" s="3"/>
      <c r="R647" s="3"/>
    </row>
    <row r="648" spans="4:18" ht="13.5" customHeight="1">
      <c r="D648" s="4"/>
      <c r="E648" s="3"/>
      <c r="F648" s="3"/>
      <c r="G648" s="3"/>
      <c r="H648" s="3"/>
      <c r="I648" s="3"/>
      <c r="J648" s="3"/>
      <c r="K648" s="3"/>
      <c r="L648" s="3"/>
      <c r="M648" s="3"/>
      <c r="N648" s="3"/>
      <c r="O648" s="3"/>
      <c r="P648" s="3"/>
      <c r="Q648" s="3"/>
      <c r="R648" s="3"/>
    </row>
    <row r="649" spans="4:18" ht="13.5" customHeight="1">
      <c r="D649" s="4"/>
      <c r="E649" s="3"/>
      <c r="F649" s="3"/>
      <c r="G649" s="3"/>
      <c r="H649" s="3"/>
      <c r="I649" s="3"/>
      <c r="J649" s="3"/>
      <c r="K649" s="3"/>
      <c r="L649" s="3"/>
      <c r="M649" s="3"/>
      <c r="N649" s="3"/>
      <c r="O649" s="3"/>
      <c r="P649" s="3"/>
      <c r="Q649" s="3"/>
      <c r="R649" s="3"/>
    </row>
    <row r="650" spans="4:18" ht="13.5" customHeight="1">
      <c r="D650" s="4"/>
      <c r="E650" s="3"/>
      <c r="F650" s="3"/>
      <c r="G650" s="3"/>
      <c r="H650" s="3"/>
      <c r="I650" s="3"/>
      <c r="J650" s="3"/>
      <c r="K650" s="3"/>
      <c r="L650" s="3"/>
      <c r="M650" s="3"/>
      <c r="N650" s="3"/>
      <c r="O650" s="3"/>
      <c r="P650" s="3"/>
      <c r="Q650" s="3"/>
      <c r="R650" s="3"/>
    </row>
    <row r="651" spans="4:18" ht="13.5" customHeight="1">
      <c r="D651" s="4"/>
      <c r="E651" s="3"/>
      <c r="F651" s="3"/>
      <c r="G651" s="3"/>
      <c r="H651" s="3"/>
      <c r="I651" s="3"/>
      <c r="J651" s="3"/>
      <c r="K651" s="3"/>
      <c r="L651" s="3"/>
      <c r="M651" s="3"/>
      <c r="N651" s="3"/>
      <c r="O651" s="3"/>
      <c r="P651" s="3"/>
      <c r="Q651" s="3"/>
      <c r="R651" s="3"/>
    </row>
    <row r="652" spans="4:18" ht="13.5" customHeight="1">
      <c r="D652" s="4"/>
      <c r="E652" s="3"/>
      <c r="F652" s="3"/>
      <c r="G652" s="3"/>
      <c r="H652" s="3"/>
      <c r="I652" s="3"/>
      <c r="J652" s="3"/>
      <c r="K652" s="3"/>
      <c r="L652" s="3"/>
      <c r="M652" s="3"/>
      <c r="N652" s="3"/>
      <c r="O652" s="3"/>
      <c r="P652" s="3"/>
      <c r="Q652" s="3"/>
      <c r="R652" s="3"/>
    </row>
    <row r="653" spans="4:18" ht="13.5" customHeight="1">
      <c r="D653" s="4"/>
      <c r="E653" s="3"/>
      <c r="F653" s="3"/>
      <c r="G653" s="3"/>
      <c r="H653" s="3"/>
      <c r="I653" s="3"/>
      <c r="J653" s="3"/>
      <c r="K653" s="3"/>
      <c r="L653" s="3"/>
      <c r="M653" s="3"/>
      <c r="N653" s="3"/>
      <c r="O653" s="3"/>
      <c r="P653" s="3"/>
      <c r="Q653" s="3"/>
      <c r="R653" s="3"/>
    </row>
    <row r="654" spans="4:18" ht="13.5" customHeight="1">
      <c r="D654" s="4"/>
      <c r="E654" s="3"/>
      <c r="F654" s="3"/>
      <c r="G654" s="3"/>
      <c r="H654" s="3"/>
      <c r="I654" s="3"/>
      <c r="J654" s="3"/>
      <c r="K654" s="3"/>
      <c r="L654" s="3"/>
      <c r="M654" s="3"/>
      <c r="N654" s="3"/>
      <c r="O654" s="3"/>
      <c r="P654" s="3"/>
      <c r="Q654" s="3"/>
      <c r="R654" s="3"/>
    </row>
    <row r="655" spans="4:18" ht="13.5" customHeight="1">
      <c r="D655" s="4"/>
      <c r="E655" s="3"/>
      <c r="F655" s="3"/>
      <c r="G655" s="3"/>
      <c r="H655" s="3"/>
      <c r="I655" s="3"/>
      <c r="J655" s="3"/>
      <c r="K655" s="3"/>
      <c r="L655" s="3"/>
      <c r="M655" s="3"/>
      <c r="N655" s="3"/>
      <c r="O655" s="3"/>
      <c r="P655" s="3"/>
      <c r="Q655" s="3"/>
      <c r="R655" s="3"/>
    </row>
    <row r="656" spans="4:18" ht="13.5" customHeight="1">
      <c r="D656" s="4"/>
      <c r="E656" s="3"/>
      <c r="F656" s="3"/>
      <c r="G656" s="3"/>
      <c r="H656" s="3"/>
      <c r="I656" s="3"/>
      <c r="J656" s="3"/>
      <c r="K656" s="3"/>
      <c r="L656" s="3"/>
      <c r="M656" s="3"/>
      <c r="N656" s="3"/>
      <c r="O656" s="3"/>
      <c r="P656" s="3"/>
      <c r="Q656" s="3"/>
      <c r="R656" s="3"/>
    </row>
    <row r="657" spans="4:18" ht="13.5" customHeight="1">
      <c r="D657" s="4"/>
      <c r="E657" s="3"/>
      <c r="F657" s="3"/>
      <c r="G657" s="3"/>
      <c r="H657" s="3"/>
      <c r="I657" s="3"/>
      <c r="J657" s="3"/>
      <c r="K657" s="3"/>
      <c r="L657" s="3"/>
      <c r="M657" s="3"/>
      <c r="N657" s="3"/>
      <c r="O657" s="3"/>
      <c r="P657" s="3"/>
      <c r="Q657" s="3"/>
      <c r="R657" s="3"/>
    </row>
    <row r="658" spans="4:18" ht="13.5" customHeight="1">
      <c r="D658" s="4"/>
      <c r="E658" s="3"/>
      <c r="F658" s="3"/>
      <c r="G658" s="3"/>
      <c r="H658" s="3"/>
      <c r="I658" s="3"/>
      <c r="J658" s="3"/>
      <c r="K658" s="3"/>
      <c r="L658" s="3"/>
      <c r="M658" s="3"/>
      <c r="N658" s="3"/>
      <c r="O658" s="3"/>
      <c r="P658" s="3"/>
      <c r="Q658" s="3"/>
      <c r="R658" s="3"/>
    </row>
    <row r="659" spans="4:18" ht="13.5" customHeight="1">
      <c r="D659" s="4"/>
      <c r="E659" s="3"/>
      <c r="F659" s="3"/>
      <c r="G659" s="3"/>
      <c r="H659" s="3"/>
      <c r="I659" s="3"/>
      <c r="J659" s="3"/>
      <c r="K659" s="3"/>
      <c r="L659" s="3"/>
      <c r="M659" s="3"/>
      <c r="N659" s="3"/>
      <c r="O659" s="3"/>
      <c r="P659" s="3"/>
      <c r="Q659" s="3"/>
      <c r="R659" s="3"/>
    </row>
    <row r="660" spans="4:18" ht="13.5" customHeight="1">
      <c r="D660" s="4"/>
      <c r="E660" s="3"/>
      <c r="F660" s="3"/>
      <c r="G660" s="3"/>
      <c r="H660" s="3"/>
      <c r="I660" s="3"/>
      <c r="J660" s="3"/>
      <c r="K660" s="3"/>
      <c r="L660" s="3"/>
      <c r="M660" s="3"/>
      <c r="N660" s="3"/>
      <c r="O660" s="3"/>
      <c r="P660" s="3"/>
      <c r="Q660" s="3"/>
      <c r="R660" s="3"/>
    </row>
    <row r="661" spans="4:18" ht="13.5" customHeight="1">
      <c r="D661" s="4"/>
      <c r="E661" s="3"/>
      <c r="F661" s="3"/>
      <c r="G661" s="3"/>
      <c r="H661" s="3"/>
      <c r="I661" s="3"/>
      <c r="J661" s="3"/>
      <c r="K661" s="3"/>
      <c r="L661" s="3"/>
      <c r="M661" s="3"/>
      <c r="N661" s="3"/>
      <c r="O661" s="3"/>
      <c r="P661" s="3"/>
      <c r="Q661" s="3"/>
      <c r="R661" s="3"/>
    </row>
    <row r="662" spans="4:18" ht="13.5" customHeight="1">
      <c r="D662" s="4"/>
      <c r="E662" s="3"/>
      <c r="F662" s="3"/>
      <c r="G662" s="3"/>
      <c r="H662" s="3"/>
      <c r="I662" s="3"/>
      <c r="J662" s="3"/>
      <c r="K662" s="3"/>
      <c r="L662" s="3"/>
      <c r="M662" s="3"/>
      <c r="N662" s="3"/>
      <c r="O662" s="3"/>
      <c r="P662" s="3"/>
      <c r="Q662" s="3"/>
      <c r="R662" s="3"/>
    </row>
    <row r="663" spans="4:18" ht="13.5" customHeight="1">
      <c r="D663" s="4"/>
      <c r="E663" s="3"/>
      <c r="F663" s="3"/>
      <c r="G663" s="3"/>
      <c r="H663" s="3"/>
      <c r="I663" s="3"/>
      <c r="J663" s="3"/>
      <c r="K663" s="3"/>
      <c r="L663" s="3"/>
      <c r="M663" s="3"/>
      <c r="N663" s="3"/>
      <c r="O663" s="3"/>
      <c r="P663" s="3"/>
      <c r="Q663" s="3"/>
      <c r="R663" s="3"/>
    </row>
    <row r="664" spans="4:18" ht="13.5" customHeight="1">
      <c r="D664" s="4"/>
      <c r="E664" s="3"/>
      <c r="F664" s="3"/>
      <c r="G664" s="3"/>
      <c r="H664" s="3"/>
      <c r="I664" s="3"/>
      <c r="J664" s="3"/>
      <c r="K664" s="3"/>
      <c r="L664" s="3"/>
      <c r="M664" s="3"/>
      <c r="N664" s="3"/>
      <c r="O664" s="3"/>
      <c r="P664" s="3"/>
      <c r="Q664" s="3"/>
      <c r="R664" s="3"/>
    </row>
    <row r="665" spans="4:18" ht="13.5" customHeight="1">
      <c r="D665" s="4"/>
      <c r="E665" s="3"/>
      <c r="F665" s="3"/>
      <c r="G665" s="3"/>
      <c r="H665" s="3"/>
      <c r="I665" s="3"/>
      <c r="J665" s="3"/>
      <c r="K665" s="3"/>
      <c r="L665" s="3"/>
      <c r="M665" s="3"/>
      <c r="N665" s="3"/>
      <c r="O665" s="3"/>
      <c r="P665" s="3"/>
      <c r="Q665" s="3"/>
      <c r="R665" s="3"/>
    </row>
    <row r="666" spans="4:18" ht="13.5" customHeight="1">
      <c r="D666" s="4"/>
      <c r="E666" s="3"/>
      <c r="F666" s="3"/>
      <c r="G666" s="3"/>
      <c r="H666" s="3"/>
      <c r="I666" s="3"/>
      <c r="J666" s="3"/>
      <c r="K666" s="3"/>
      <c r="L666" s="3"/>
      <c r="M666" s="3"/>
      <c r="N666" s="3"/>
      <c r="O666" s="3"/>
      <c r="P666" s="3"/>
      <c r="Q666" s="3"/>
      <c r="R666" s="3"/>
    </row>
    <row r="667" spans="4:18" ht="13.5" customHeight="1">
      <c r="D667" s="4"/>
      <c r="E667" s="3"/>
      <c r="F667" s="3"/>
      <c r="G667" s="3"/>
      <c r="H667" s="3"/>
      <c r="I667" s="3"/>
      <c r="J667" s="3"/>
      <c r="K667" s="3"/>
      <c r="L667" s="3"/>
      <c r="M667" s="3"/>
      <c r="N667" s="3"/>
      <c r="O667" s="3"/>
      <c r="P667" s="3"/>
      <c r="Q667" s="3"/>
      <c r="R667" s="3"/>
    </row>
    <row r="668" spans="4:18" ht="13.5" customHeight="1">
      <c r="D668" s="4"/>
      <c r="E668" s="3"/>
      <c r="F668" s="3"/>
      <c r="G668" s="3"/>
      <c r="H668" s="3"/>
      <c r="I668" s="3"/>
      <c r="J668" s="3"/>
      <c r="K668" s="3"/>
      <c r="L668" s="3"/>
      <c r="M668" s="3"/>
      <c r="N668" s="3"/>
      <c r="O668" s="3"/>
      <c r="P668" s="3"/>
      <c r="Q668" s="3"/>
      <c r="R668" s="3"/>
    </row>
    <row r="669" spans="4:18" ht="13.5" customHeight="1">
      <c r="D669" s="4"/>
      <c r="E669" s="3"/>
      <c r="F669" s="3"/>
      <c r="G669" s="3"/>
      <c r="H669" s="3"/>
      <c r="I669" s="3"/>
      <c r="J669" s="3"/>
      <c r="K669" s="3"/>
      <c r="L669" s="3"/>
      <c r="M669" s="3"/>
      <c r="N669" s="3"/>
      <c r="O669" s="3"/>
      <c r="P669" s="3"/>
      <c r="Q669" s="3"/>
      <c r="R669" s="3"/>
    </row>
    <row r="670" spans="4:18" ht="13.5" customHeight="1">
      <c r="D670" s="4"/>
      <c r="E670" s="3"/>
      <c r="F670" s="3"/>
      <c r="G670" s="3"/>
      <c r="H670" s="3"/>
      <c r="I670" s="3"/>
      <c r="J670" s="3"/>
      <c r="K670" s="3"/>
      <c r="L670" s="3"/>
      <c r="M670" s="3"/>
      <c r="N670" s="3"/>
      <c r="O670" s="3"/>
      <c r="P670" s="3"/>
      <c r="Q670" s="3"/>
      <c r="R670" s="3"/>
    </row>
    <row r="671" spans="4:18" ht="13.5" customHeight="1">
      <c r="D671" s="4"/>
      <c r="E671" s="3"/>
      <c r="F671" s="3"/>
      <c r="G671" s="3"/>
      <c r="H671" s="3"/>
      <c r="I671" s="3"/>
      <c r="J671" s="3"/>
      <c r="K671" s="3"/>
      <c r="L671" s="3"/>
      <c r="M671" s="3"/>
      <c r="N671" s="3"/>
      <c r="O671" s="3"/>
      <c r="P671" s="3"/>
      <c r="Q671" s="3"/>
      <c r="R671" s="3"/>
    </row>
    <row r="672" spans="4:18" ht="13.5" customHeight="1">
      <c r="D672" s="4"/>
      <c r="E672" s="3"/>
      <c r="F672" s="3"/>
      <c r="G672" s="3"/>
      <c r="H672" s="3"/>
      <c r="I672" s="3"/>
      <c r="J672" s="3"/>
      <c r="K672" s="3"/>
      <c r="L672" s="3"/>
      <c r="M672" s="3"/>
      <c r="N672" s="3"/>
      <c r="O672" s="3"/>
      <c r="P672" s="3"/>
      <c r="Q672" s="3"/>
      <c r="R672" s="3"/>
    </row>
    <row r="673" spans="4:18" ht="13.5" customHeight="1">
      <c r="D673" s="4"/>
      <c r="E673" s="3"/>
      <c r="F673" s="3"/>
      <c r="G673" s="3"/>
      <c r="H673" s="3"/>
      <c r="I673" s="3"/>
      <c r="J673" s="3"/>
      <c r="K673" s="3"/>
      <c r="L673" s="3"/>
      <c r="M673" s="3"/>
      <c r="N673" s="3"/>
      <c r="O673" s="3"/>
      <c r="P673" s="3"/>
      <c r="Q673" s="3"/>
      <c r="R673" s="3"/>
    </row>
    <row r="674" spans="4:18" ht="13.5" customHeight="1">
      <c r="D674" s="4"/>
      <c r="E674" s="3"/>
      <c r="F674" s="3"/>
      <c r="G674" s="3"/>
      <c r="H674" s="3"/>
      <c r="I674" s="3"/>
      <c r="J674" s="3"/>
      <c r="K674" s="3"/>
      <c r="L674" s="3"/>
      <c r="M674" s="3"/>
      <c r="N674" s="3"/>
      <c r="O674" s="3"/>
      <c r="P674" s="3"/>
      <c r="Q674" s="3"/>
      <c r="R674" s="3"/>
    </row>
    <row r="675" spans="4:18" ht="13.5" customHeight="1">
      <c r="D675" s="4"/>
      <c r="E675" s="3"/>
      <c r="F675" s="3"/>
      <c r="G675" s="3"/>
      <c r="H675" s="3"/>
      <c r="I675" s="3"/>
      <c r="J675" s="3"/>
      <c r="K675" s="3"/>
      <c r="L675" s="3"/>
      <c r="M675" s="3"/>
      <c r="N675" s="3"/>
      <c r="O675" s="3"/>
      <c r="P675" s="3"/>
      <c r="Q675" s="3"/>
      <c r="R675" s="3"/>
    </row>
    <row r="676" spans="4:18" ht="13.5" customHeight="1">
      <c r="D676" s="4"/>
      <c r="E676" s="3"/>
      <c r="F676" s="3"/>
      <c r="G676" s="3"/>
      <c r="H676" s="3"/>
      <c r="I676" s="3"/>
      <c r="J676" s="3"/>
      <c r="K676" s="3"/>
      <c r="L676" s="3"/>
      <c r="M676" s="3"/>
      <c r="N676" s="3"/>
      <c r="O676" s="3"/>
      <c r="P676" s="3"/>
      <c r="Q676" s="3"/>
      <c r="R676" s="3"/>
    </row>
    <row r="677" spans="4:18" ht="13.5" customHeight="1">
      <c r="D677" s="4"/>
      <c r="E677" s="3"/>
      <c r="F677" s="3"/>
      <c r="G677" s="3"/>
      <c r="H677" s="3"/>
      <c r="I677" s="3"/>
      <c r="J677" s="3"/>
      <c r="K677" s="3"/>
      <c r="L677" s="3"/>
      <c r="M677" s="3"/>
      <c r="N677" s="3"/>
      <c r="O677" s="3"/>
      <c r="P677" s="3"/>
      <c r="Q677" s="3"/>
      <c r="R677" s="3"/>
    </row>
    <row r="678" spans="4:18" ht="13.5" customHeight="1">
      <c r="D678" s="4"/>
      <c r="E678" s="3"/>
      <c r="F678" s="3"/>
      <c r="G678" s="3"/>
      <c r="H678" s="3"/>
      <c r="I678" s="3"/>
      <c r="J678" s="3"/>
      <c r="K678" s="3"/>
      <c r="L678" s="3"/>
      <c r="M678" s="3"/>
      <c r="N678" s="3"/>
      <c r="O678" s="3"/>
      <c r="P678" s="3"/>
      <c r="Q678" s="3"/>
      <c r="R678" s="3"/>
    </row>
    <row r="679" spans="4:18" ht="13.5" customHeight="1">
      <c r="D679" s="4"/>
      <c r="E679" s="3"/>
      <c r="F679" s="3"/>
      <c r="G679" s="3"/>
      <c r="H679" s="3"/>
      <c r="I679" s="3"/>
      <c r="J679" s="3"/>
      <c r="K679" s="3"/>
      <c r="L679" s="3"/>
      <c r="M679" s="3"/>
      <c r="N679" s="3"/>
      <c r="O679" s="3"/>
      <c r="P679" s="3"/>
      <c r="Q679" s="3"/>
      <c r="R679" s="3"/>
    </row>
    <row r="680" spans="4:18" ht="13.5" customHeight="1">
      <c r="D680" s="4"/>
      <c r="E680" s="3"/>
      <c r="F680" s="3"/>
      <c r="G680" s="3"/>
      <c r="H680" s="3"/>
      <c r="I680" s="3"/>
      <c r="J680" s="3"/>
      <c r="K680" s="3"/>
      <c r="L680" s="3"/>
      <c r="M680" s="3"/>
      <c r="N680" s="3"/>
      <c r="O680" s="3"/>
      <c r="P680" s="3"/>
      <c r="Q680" s="3"/>
      <c r="R680" s="3"/>
    </row>
    <row r="681" spans="4:18" ht="13.5" customHeight="1">
      <c r="D681" s="4"/>
      <c r="E681" s="3"/>
      <c r="F681" s="3"/>
      <c r="G681" s="3"/>
      <c r="H681" s="3"/>
      <c r="I681" s="3"/>
      <c r="J681" s="3"/>
      <c r="K681" s="3"/>
      <c r="L681" s="3"/>
      <c r="M681" s="3"/>
      <c r="N681" s="3"/>
      <c r="O681" s="3"/>
      <c r="P681" s="3"/>
      <c r="Q681" s="3"/>
      <c r="R681" s="3"/>
    </row>
    <row r="682" spans="4:18" ht="13.5" customHeight="1">
      <c r="D682" s="4"/>
      <c r="E682" s="3"/>
      <c r="F682" s="3"/>
      <c r="G682" s="3"/>
      <c r="H682" s="3"/>
      <c r="I682" s="3"/>
      <c r="J682" s="3"/>
      <c r="K682" s="3"/>
      <c r="L682" s="3"/>
      <c r="M682" s="3"/>
      <c r="N682" s="3"/>
      <c r="O682" s="3"/>
      <c r="P682" s="3"/>
      <c r="Q682" s="3"/>
      <c r="R682" s="3"/>
    </row>
    <row r="683" spans="4:18" ht="13.5" customHeight="1">
      <c r="D683" s="4"/>
      <c r="E683" s="3"/>
      <c r="F683" s="3"/>
      <c r="G683" s="3"/>
      <c r="H683" s="3"/>
      <c r="I683" s="3"/>
      <c r="J683" s="3"/>
      <c r="K683" s="3"/>
      <c r="L683" s="3"/>
      <c r="M683" s="3"/>
      <c r="N683" s="3"/>
      <c r="O683" s="3"/>
      <c r="P683" s="3"/>
      <c r="Q683" s="3"/>
      <c r="R683" s="3"/>
    </row>
    <row r="684" spans="4:18" ht="13.5" customHeight="1">
      <c r="D684" s="4"/>
      <c r="E684" s="3"/>
      <c r="F684" s="3"/>
      <c r="G684" s="3"/>
      <c r="H684" s="3"/>
      <c r="I684" s="3"/>
      <c r="J684" s="3"/>
      <c r="K684" s="3"/>
      <c r="L684" s="3"/>
      <c r="M684" s="3"/>
      <c r="N684" s="3"/>
      <c r="O684" s="3"/>
      <c r="P684" s="3"/>
      <c r="Q684" s="3"/>
      <c r="R684" s="3"/>
    </row>
    <row r="685" spans="4:18" ht="13.5" customHeight="1">
      <c r="D685" s="4"/>
      <c r="E685" s="3"/>
      <c r="F685" s="3"/>
      <c r="G685" s="3"/>
      <c r="H685" s="3"/>
      <c r="I685" s="3"/>
      <c r="J685" s="3"/>
      <c r="K685" s="3"/>
      <c r="L685" s="3"/>
      <c r="M685" s="3"/>
      <c r="N685" s="3"/>
      <c r="O685" s="3"/>
      <c r="P685" s="3"/>
      <c r="Q685" s="3"/>
      <c r="R685" s="3"/>
    </row>
    <row r="686" spans="4:18" ht="13.5" customHeight="1">
      <c r="D686" s="4"/>
      <c r="E686" s="3"/>
      <c r="F686" s="3"/>
      <c r="G686" s="3"/>
      <c r="H686" s="3"/>
      <c r="I686" s="3"/>
      <c r="J686" s="3"/>
      <c r="K686" s="3"/>
      <c r="L686" s="3"/>
      <c r="M686" s="3"/>
      <c r="N686" s="3"/>
      <c r="O686" s="3"/>
      <c r="P686" s="3"/>
      <c r="Q686" s="3"/>
      <c r="R686" s="3"/>
    </row>
    <row r="687" spans="4:18" ht="13.5" customHeight="1">
      <c r="D687" s="4"/>
      <c r="E687" s="3"/>
      <c r="F687" s="3"/>
      <c r="G687" s="3"/>
      <c r="H687" s="3"/>
      <c r="I687" s="3"/>
      <c r="J687" s="3"/>
      <c r="K687" s="3"/>
      <c r="L687" s="3"/>
      <c r="M687" s="3"/>
      <c r="N687" s="3"/>
      <c r="O687" s="3"/>
      <c r="P687" s="3"/>
      <c r="Q687" s="3"/>
      <c r="R687" s="3"/>
    </row>
    <row r="688" spans="4:18" ht="13.5" customHeight="1">
      <c r="D688" s="4"/>
      <c r="E688" s="3"/>
      <c r="F688" s="3"/>
      <c r="G688" s="3"/>
      <c r="H688" s="3"/>
      <c r="I688" s="3"/>
      <c r="J688" s="3"/>
      <c r="K688" s="3"/>
      <c r="L688" s="3"/>
      <c r="M688" s="3"/>
      <c r="N688" s="3"/>
      <c r="O688" s="3"/>
      <c r="P688" s="3"/>
      <c r="Q688" s="3"/>
      <c r="R688" s="3"/>
    </row>
    <row r="689" spans="4:18" ht="13.5" customHeight="1">
      <c r="D689" s="4"/>
      <c r="E689" s="3"/>
      <c r="F689" s="3"/>
      <c r="G689" s="3"/>
      <c r="H689" s="3"/>
      <c r="I689" s="3"/>
      <c r="J689" s="3"/>
      <c r="K689" s="3"/>
      <c r="L689" s="3"/>
      <c r="M689" s="3"/>
      <c r="N689" s="3"/>
      <c r="O689" s="3"/>
      <c r="P689" s="3"/>
      <c r="Q689" s="3"/>
      <c r="R689" s="3"/>
    </row>
    <row r="690" spans="4:18" ht="13.5" customHeight="1">
      <c r="D690" s="4"/>
      <c r="E690" s="3"/>
      <c r="F690" s="3"/>
      <c r="G690" s="3"/>
      <c r="H690" s="3"/>
      <c r="I690" s="3"/>
      <c r="J690" s="3"/>
      <c r="K690" s="3"/>
      <c r="L690" s="3"/>
      <c r="M690" s="3"/>
      <c r="N690" s="3"/>
      <c r="O690" s="3"/>
      <c r="P690" s="3"/>
      <c r="Q690" s="3"/>
      <c r="R690" s="3"/>
    </row>
    <row r="691" spans="4:18" ht="13.5" customHeight="1">
      <c r="D691" s="4"/>
      <c r="E691" s="3"/>
      <c r="F691" s="3"/>
      <c r="G691" s="3"/>
      <c r="H691" s="3"/>
      <c r="I691" s="3"/>
      <c r="J691" s="3"/>
      <c r="K691" s="3"/>
      <c r="L691" s="3"/>
      <c r="M691" s="3"/>
      <c r="N691" s="3"/>
      <c r="O691" s="3"/>
      <c r="P691" s="3"/>
      <c r="Q691" s="3"/>
      <c r="R691" s="3"/>
    </row>
    <row r="692" spans="4:18" ht="13.5" customHeight="1">
      <c r="D692" s="4"/>
      <c r="E692" s="3"/>
      <c r="F692" s="3"/>
      <c r="G692" s="3"/>
      <c r="H692" s="3"/>
      <c r="I692" s="3"/>
      <c r="J692" s="3"/>
      <c r="K692" s="3"/>
      <c r="L692" s="3"/>
      <c r="M692" s="3"/>
      <c r="N692" s="3"/>
      <c r="O692" s="3"/>
      <c r="P692" s="3"/>
      <c r="Q692" s="3"/>
      <c r="R692" s="3"/>
    </row>
    <row r="693" spans="4:18" ht="13.5" customHeight="1">
      <c r="D693" s="4"/>
      <c r="E693" s="3"/>
      <c r="F693" s="3"/>
      <c r="G693" s="3"/>
      <c r="H693" s="3"/>
      <c r="I693" s="3"/>
      <c r="J693" s="3"/>
      <c r="K693" s="3"/>
      <c r="L693" s="3"/>
      <c r="M693" s="3"/>
      <c r="N693" s="3"/>
      <c r="O693" s="3"/>
      <c r="P693" s="3"/>
      <c r="Q693" s="3"/>
      <c r="R693" s="3"/>
    </row>
    <row r="694" spans="4:18" ht="13.5" customHeight="1">
      <c r="D694" s="4"/>
      <c r="E694" s="3"/>
      <c r="F694" s="3"/>
      <c r="G694" s="3"/>
      <c r="H694" s="3"/>
      <c r="I694" s="3"/>
      <c r="J694" s="3"/>
      <c r="K694" s="3"/>
      <c r="L694" s="3"/>
      <c r="M694" s="3"/>
      <c r="N694" s="3"/>
      <c r="O694" s="3"/>
      <c r="P694" s="3"/>
      <c r="Q694" s="3"/>
      <c r="R694" s="3"/>
    </row>
    <row r="695" spans="4:18" ht="13.5" customHeight="1">
      <c r="D695" s="4"/>
      <c r="E695" s="3"/>
      <c r="F695" s="3"/>
      <c r="G695" s="3"/>
      <c r="H695" s="3"/>
      <c r="I695" s="3"/>
      <c r="J695" s="3"/>
      <c r="K695" s="3"/>
      <c r="L695" s="3"/>
      <c r="M695" s="3"/>
      <c r="N695" s="3"/>
      <c r="O695" s="3"/>
      <c r="P695" s="3"/>
      <c r="Q695" s="3"/>
      <c r="R695" s="3"/>
    </row>
    <row r="696" spans="4:18" ht="13.5" customHeight="1">
      <c r="D696" s="4"/>
      <c r="E696" s="3"/>
      <c r="F696" s="3"/>
      <c r="G696" s="3"/>
      <c r="H696" s="3"/>
      <c r="I696" s="3"/>
      <c r="J696" s="3"/>
      <c r="K696" s="3"/>
      <c r="L696" s="3"/>
      <c r="M696" s="3"/>
      <c r="N696" s="3"/>
      <c r="O696" s="3"/>
      <c r="P696" s="3"/>
      <c r="Q696" s="3"/>
      <c r="R696" s="3"/>
    </row>
    <row r="697" spans="4:18" ht="13.5" customHeight="1">
      <c r="D697" s="4"/>
      <c r="E697" s="3"/>
      <c r="F697" s="3"/>
      <c r="G697" s="3"/>
      <c r="H697" s="3"/>
      <c r="I697" s="3"/>
      <c r="J697" s="3"/>
      <c r="K697" s="3"/>
      <c r="L697" s="3"/>
      <c r="M697" s="3"/>
      <c r="N697" s="3"/>
      <c r="O697" s="3"/>
      <c r="P697" s="3"/>
      <c r="Q697" s="3"/>
      <c r="R697" s="3"/>
    </row>
    <row r="698" spans="4:18" ht="13.5" customHeight="1">
      <c r="D698" s="4"/>
      <c r="E698" s="3"/>
      <c r="F698" s="3"/>
      <c r="G698" s="3"/>
      <c r="H698" s="3"/>
      <c r="I698" s="3"/>
      <c r="J698" s="3"/>
      <c r="K698" s="3"/>
      <c r="L698" s="3"/>
      <c r="M698" s="3"/>
      <c r="N698" s="3"/>
      <c r="O698" s="3"/>
      <c r="P698" s="3"/>
      <c r="Q698" s="3"/>
      <c r="R698" s="3"/>
    </row>
    <row r="699" spans="4:18" ht="13.5" customHeight="1">
      <c r="D699" s="4"/>
      <c r="E699" s="3"/>
      <c r="F699" s="3"/>
      <c r="G699" s="3"/>
      <c r="H699" s="3"/>
      <c r="I699" s="3"/>
      <c r="J699" s="3"/>
      <c r="K699" s="3"/>
      <c r="L699" s="3"/>
      <c r="M699" s="3"/>
      <c r="N699" s="3"/>
      <c r="O699" s="3"/>
      <c r="P699" s="3"/>
      <c r="Q699" s="3"/>
      <c r="R699" s="3"/>
    </row>
    <row r="700" spans="4:18" ht="13.5" customHeight="1">
      <c r="D700" s="4"/>
      <c r="E700" s="3"/>
      <c r="F700" s="3"/>
      <c r="G700" s="3"/>
      <c r="H700" s="3"/>
      <c r="I700" s="3"/>
      <c r="J700" s="3"/>
      <c r="K700" s="3"/>
      <c r="L700" s="3"/>
      <c r="M700" s="3"/>
      <c r="N700" s="3"/>
      <c r="O700" s="3"/>
      <c r="P700" s="3"/>
      <c r="Q700" s="3"/>
      <c r="R700" s="3"/>
    </row>
    <row r="701" spans="4:18" ht="13.5" customHeight="1">
      <c r="D701" s="4"/>
      <c r="E701" s="3"/>
      <c r="F701" s="3"/>
      <c r="G701" s="3"/>
      <c r="H701" s="3"/>
      <c r="I701" s="3"/>
      <c r="J701" s="3"/>
      <c r="K701" s="3"/>
      <c r="L701" s="3"/>
      <c r="M701" s="3"/>
      <c r="N701" s="3"/>
      <c r="O701" s="3"/>
      <c r="P701" s="3"/>
      <c r="Q701" s="3"/>
      <c r="R701" s="3"/>
    </row>
    <row r="702" spans="4:18" ht="13.5" customHeight="1">
      <c r="D702" s="4"/>
      <c r="E702" s="3"/>
      <c r="F702" s="3"/>
      <c r="G702" s="3"/>
      <c r="H702" s="3"/>
      <c r="I702" s="3"/>
      <c r="J702" s="3"/>
      <c r="K702" s="3"/>
      <c r="L702" s="3"/>
      <c r="M702" s="3"/>
      <c r="N702" s="3"/>
      <c r="O702" s="3"/>
      <c r="P702" s="3"/>
      <c r="Q702" s="3"/>
      <c r="R702" s="3"/>
    </row>
    <row r="703" spans="4:18" ht="13.5" customHeight="1">
      <c r="D703" s="4"/>
      <c r="E703" s="3"/>
      <c r="F703" s="3"/>
      <c r="G703" s="3"/>
      <c r="H703" s="3"/>
      <c r="I703" s="3"/>
      <c r="J703" s="3"/>
      <c r="K703" s="3"/>
      <c r="L703" s="3"/>
      <c r="M703" s="3"/>
      <c r="N703" s="3"/>
      <c r="O703" s="3"/>
      <c r="P703" s="3"/>
      <c r="Q703" s="3"/>
      <c r="R703" s="3"/>
    </row>
    <row r="704" spans="4:18" ht="13.5" customHeight="1">
      <c r="D704" s="4"/>
      <c r="E704" s="3"/>
      <c r="F704" s="3"/>
      <c r="G704" s="3"/>
      <c r="H704" s="3"/>
      <c r="I704" s="3"/>
      <c r="J704" s="3"/>
      <c r="K704" s="3"/>
      <c r="L704" s="3"/>
      <c r="M704" s="3"/>
      <c r="N704" s="3"/>
      <c r="O704" s="3"/>
      <c r="P704" s="3"/>
      <c r="Q704" s="3"/>
      <c r="R704" s="3"/>
    </row>
    <row r="705" spans="4:18" ht="13.5" customHeight="1">
      <c r="D705" s="4"/>
      <c r="E705" s="3"/>
      <c r="F705" s="3"/>
      <c r="G705" s="3"/>
      <c r="H705" s="3"/>
      <c r="I705" s="3"/>
      <c r="J705" s="3"/>
      <c r="K705" s="3"/>
      <c r="L705" s="3"/>
      <c r="M705" s="3"/>
      <c r="N705" s="3"/>
      <c r="O705" s="3"/>
      <c r="P705" s="3"/>
      <c r="Q705" s="3"/>
      <c r="R705" s="3"/>
    </row>
    <row r="706" spans="4:18" ht="13.5" customHeight="1">
      <c r="D706" s="4"/>
      <c r="E706" s="3"/>
      <c r="F706" s="3"/>
      <c r="G706" s="3"/>
      <c r="H706" s="3"/>
      <c r="I706" s="3"/>
      <c r="J706" s="3"/>
      <c r="K706" s="3"/>
      <c r="L706" s="3"/>
      <c r="M706" s="3"/>
      <c r="N706" s="3"/>
      <c r="O706" s="3"/>
      <c r="P706" s="3"/>
      <c r="Q706" s="3"/>
      <c r="R706" s="3"/>
    </row>
    <row r="707" spans="4:18" ht="13.5" customHeight="1">
      <c r="D707" s="4"/>
      <c r="E707" s="3"/>
      <c r="F707" s="3"/>
      <c r="G707" s="3"/>
      <c r="H707" s="3"/>
      <c r="I707" s="3"/>
      <c r="J707" s="3"/>
      <c r="K707" s="3"/>
      <c r="L707" s="3"/>
      <c r="M707" s="3"/>
      <c r="N707" s="3"/>
      <c r="O707" s="3"/>
      <c r="P707" s="3"/>
      <c r="Q707" s="3"/>
      <c r="R707" s="3"/>
    </row>
    <row r="708" spans="4:18" ht="13.5" customHeight="1">
      <c r="D708" s="4"/>
      <c r="E708" s="3"/>
      <c r="F708" s="3"/>
      <c r="G708" s="3"/>
      <c r="H708" s="3"/>
      <c r="I708" s="3"/>
      <c r="J708" s="3"/>
      <c r="K708" s="3"/>
      <c r="L708" s="3"/>
      <c r="M708" s="3"/>
      <c r="N708" s="3"/>
      <c r="O708" s="3"/>
      <c r="P708" s="3"/>
      <c r="Q708" s="3"/>
      <c r="R708" s="3"/>
    </row>
    <row r="709" spans="4:18" ht="13.5" customHeight="1">
      <c r="D709" s="4"/>
      <c r="E709" s="3"/>
      <c r="F709" s="3"/>
      <c r="G709" s="3"/>
      <c r="H709" s="3"/>
      <c r="I709" s="3"/>
      <c r="J709" s="3"/>
      <c r="K709" s="3"/>
      <c r="L709" s="3"/>
      <c r="M709" s="3"/>
      <c r="N709" s="3"/>
      <c r="O709" s="3"/>
      <c r="P709" s="3"/>
      <c r="Q709" s="3"/>
      <c r="R709" s="3"/>
    </row>
    <row r="710" spans="4:18" ht="13.5" customHeight="1">
      <c r="D710" s="4"/>
      <c r="E710" s="3"/>
      <c r="F710" s="3"/>
      <c r="G710" s="3"/>
      <c r="H710" s="3"/>
      <c r="I710" s="3"/>
      <c r="J710" s="3"/>
      <c r="K710" s="3"/>
      <c r="L710" s="3"/>
      <c r="M710" s="3"/>
      <c r="N710" s="3"/>
      <c r="O710" s="3"/>
      <c r="P710" s="3"/>
      <c r="Q710" s="3"/>
      <c r="R710" s="3"/>
    </row>
    <row r="711" spans="4:18" ht="13.5" customHeight="1">
      <c r="D711" s="4"/>
      <c r="E711" s="3"/>
      <c r="F711" s="3"/>
      <c r="G711" s="3"/>
      <c r="H711" s="3"/>
      <c r="I711" s="3"/>
      <c r="J711" s="3"/>
      <c r="K711" s="3"/>
      <c r="L711" s="3"/>
      <c r="M711" s="3"/>
      <c r="N711" s="3"/>
      <c r="O711" s="3"/>
      <c r="P711" s="3"/>
      <c r="Q711" s="3"/>
      <c r="R711" s="3"/>
    </row>
    <row r="712" spans="4:18" ht="13.5" customHeight="1">
      <c r="D712" s="4"/>
      <c r="E712" s="3"/>
      <c r="F712" s="3"/>
      <c r="G712" s="3"/>
      <c r="H712" s="3"/>
      <c r="I712" s="3"/>
      <c r="J712" s="3"/>
      <c r="K712" s="3"/>
      <c r="L712" s="3"/>
      <c r="M712" s="3"/>
      <c r="N712" s="3"/>
      <c r="O712" s="3"/>
      <c r="P712" s="3"/>
      <c r="Q712" s="3"/>
      <c r="R712" s="3"/>
    </row>
    <row r="713" spans="4:18" ht="13.5" customHeight="1">
      <c r="D713" s="4"/>
      <c r="E713" s="3"/>
      <c r="F713" s="3"/>
      <c r="G713" s="3"/>
      <c r="H713" s="3"/>
      <c r="I713" s="3"/>
      <c r="J713" s="3"/>
      <c r="K713" s="3"/>
      <c r="L713" s="3"/>
      <c r="M713" s="3"/>
      <c r="N713" s="3"/>
      <c r="O713" s="3"/>
      <c r="P713" s="3"/>
      <c r="Q713" s="3"/>
      <c r="R713" s="3"/>
    </row>
    <row r="714" spans="4:18" ht="13.5" customHeight="1">
      <c r="D714" s="4"/>
      <c r="E714" s="3"/>
      <c r="F714" s="3"/>
      <c r="G714" s="3"/>
      <c r="H714" s="3"/>
      <c r="I714" s="3"/>
      <c r="J714" s="3"/>
      <c r="K714" s="3"/>
      <c r="L714" s="3"/>
      <c r="M714" s="3"/>
      <c r="N714" s="3"/>
      <c r="O714" s="3"/>
      <c r="P714" s="3"/>
      <c r="Q714" s="3"/>
      <c r="R714" s="3"/>
    </row>
    <row r="715" spans="4:18" ht="13.5" customHeight="1">
      <c r="D715" s="4"/>
      <c r="E715" s="3"/>
      <c r="F715" s="3"/>
      <c r="G715" s="3"/>
      <c r="H715" s="3"/>
      <c r="I715" s="3"/>
      <c r="J715" s="3"/>
      <c r="K715" s="3"/>
      <c r="L715" s="3"/>
      <c r="M715" s="3"/>
      <c r="N715" s="3"/>
      <c r="O715" s="3"/>
      <c r="P715" s="3"/>
      <c r="Q715" s="3"/>
      <c r="R715" s="3"/>
    </row>
    <row r="716" spans="4:18" ht="13.5" customHeight="1">
      <c r="D716" s="4"/>
      <c r="E716" s="3"/>
      <c r="F716" s="3"/>
      <c r="G716" s="3"/>
      <c r="H716" s="3"/>
      <c r="I716" s="3"/>
      <c r="J716" s="3"/>
      <c r="K716" s="3"/>
      <c r="L716" s="3"/>
      <c r="M716" s="3"/>
      <c r="N716" s="3"/>
      <c r="O716" s="3"/>
      <c r="P716" s="3"/>
      <c r="Q716" s="3"/>
      <c r="R716" s="3"/>
    </row>
    <row r="717" spans="4:18" ht="13.5" customHeight="1">
      <c r="D717" s="4"/>
      <c r="E717" s="3"/>
      <c r="F717" s="3"/>
      <c r="G717" s="3"/>
      <c r="H717" s="3"/>
      <c r="I717" s="3"/>
      <c r="J717" s="3"/>
      <c r="K717" s="3"/>
      <c r="L717" s="3"/>
      <c r="M717" s="3"/>
      <c r="N717" s="3"/>
      <c r="O717" s="3"/>
      <c r="P717" s="3"/>
      <c r="Q717" s="3"/>
      <c r="R717" s="3"/>
    </row>
    <row r="718" spans="4:18" ht="13.5" customHeight="1">
      <c r="D718" s="4"/>
      <c r="E718" s="3"/>
      <c r="F718" s="3"/>
      <c r="G718" s="3"/>
      <c r="H718" s="3"/>
      <c r="I718" s="3"/>
      <c r="J718" s="3"/>
      <c r="K718" s="3"/>
      <c r="L718" s="3"/>
      <c r="M718" s="3"/>
      <c r="N718" s="3"/>
      <c r="O718" s="3"/>
      <c r="P718" s="3"/>
      <c r="Q718" s="3"/>
      <c r="R718" s="3"/>
    </row>
    <row r="719" spans="4:18" ht="13.5" customHeight="1">
      <c r="D719" s="4"/>
      <c r="E719" s="3"/>
      <c r="F719" s="3"/>
      <c r="G719" s="3"/>
      <c r="H719" s="3"/>
      <c r="I719" s="3"/>
      <c r="J719" s="3"/>
      <c r="K719" s="3"/>
      <c r="L719" s="3"/>
      <c r="M719" s="3"/>
      <c r="N719" s="3"/>
      <c r="O719" s="3"/>
      <c r="P719" s="3"/>
      <c r="Q719" s="3"/>
      <c r="R719" s="3"/>
    </row>
    <row r="720" spans="4:18" ht="13.5" customHeight="1">
      <c r="D720" s="4"/>
      <c r="E720" s="3"/>
      <c r="F720" s="3"/>
      <c r="G720" s="3"/>
      <c r="H720" s="3"/>
      <c r="I720" s="3"/>
      <c r="J720" s="3"/>
      <c r="K720" s="3"/>
      <c r="L720" s="3"/>
      <c r="M720" s="3"/>
      <c r="N720" s="3"/>
      <c r="O720" s="3"/>
      <c r="P720" s="3"/>
      <c r="Q720" s="3"/>
      <c r="R720" s="3"/>
    </row>
    <row r="721" spans="4:18" ht="13.5" customHeight="1">
      <c r="D721" s="4"/>
      <c r="E721" s="3"/>
      <c r="F721" s="3"/>
      <c r="G721" s="3"/>
      <c r="H721" s="3"/>
      <c r="I721" s="3"/>
      <c r="J721" s="3"/>
      <c r="K721" s="3"/>
      <c r="L721" s="3"/>
      <c r="M721" s="3"/>
      <c r="N721" s="3"/>
      <c r="O721" s="3"/>
      <c r="P721" s="3"/>
      <c r="Q721" s="3"/>
      <c r="R721" s="3"/>
    </row>
    <row r="722" spans="4:18" ht="13.5" customHeight="1">
      <c r="D722" s="4"/>
      <c r="E722" s="3"/>
      <c r="F722" s="3"/>
      <c r="G722" s="3"/>
      <c r="H722" s="3"/>
      <c r="I722" s="3"/>
      <c r="J722" s="3"/>
      <c r="K722" s="3"/>
      <c r="L722" s="3"/>
      <c r="M722" s="3"/>
      <c r="N722" s="3"/>
      <c r="O722" s="3"/>
      <c r="P722" s="3"/>
      <c r="Q722" s="3"/>
      <c r="R722" s="3"/>
    </row>
    <row r="723" spans="4:18" ht="13.5" customHeight="1">
      <c r="D723" s="4"/>
      <c r="E723" s="3"/>
      <c r="F723" s="3"/>
      <c r="G723" s="3"/>
      <c r="H723" s="3"/>
      <c r="I723" s="3"/>
      <c r="J723" s="3"/>
      <c r="K723" s="3"/>
      <c r="L723" s="3"/>
      <c r="M723" s="3"/>
      <c r="N723" s="3"/>
      <c r="O723" s="3"/>
      <c r="P723" s="3"/>
      <c r="Q723" s="3"/>
      <c r="R723" s="3"/>
    </row>
    <row r="724" spans="4:18" ht="13.5" customHeight="1">
      <c r="D724" s="4"/>
      <c r="E724" s="3"/>
      <c r="F724" s="3"/>
      <c r="G724" s="3"/>
      <c r="H724" s="3"/>
      <c r="I724" s="3"/>
      <c r="J724" s="3"/>
      <c r="K724" s="3"/>
      <c r="L724" s="3"/>
      <c r="M724" s="3"/>
      <c r="N724" s="3"/>
      <c r="O724" s="3"/>
      <c r="P724" s="3"/>
      <c r="Q724" s="3"/>
      <c r="R724" s="3"/>
    </row>
    <row r="725" spans="4:18" ht="13.5" customHeight="1">
      <c r="D725" s="4"/>
      <c r="E725" s="3"/>
      <c r="F725" s="3"/>
      <c r="G725" s="3"/>
      <c r="H725" s="3"/>
      <c r="I725" s="3"/>
      <c r="J725" s="3"/>
      <c r="K725" s="3"/>
      <c r="L725" s="3"/>
      <c r="M725" s="3"/>
      <c r="N725" s="3"/>
      <c r="O725" s="3"/>
      <c r="P725" s="3"/>
      <c r="Q725" s="3"/>
      <c r="R725" s="3"/>
    </row>
    <row r="726" spans="4:18" ht="13.5" customHeight="1">
      <c r="D726" s="4"/>
      <c r="E726" s="3"/>
      <c r="F726" s="3"/>
      <c r="G726" s="3"/>
      <c r="H726" s="3"/>
      <c r="I726" s="3"/>
      <c r="J726" s="3"/>
      <c r="K726" s="3"/>
      <c r="L726" s="3"/>
      <c r="M726" s="3"/>
      <c r="N726" s="3"/>
      <c r="O726" s="3"/>
      <c r="P726" s="3"/>
      <c r="Q726" s="3"/>
      <c r="R726" s="3"/>
    </row>
    <row r="727" spans="4:18" ht="13.5" customHeight="1">
      <c r="D727" s="4"/>
      <c r="E727" s="3"/>
      <c r="F727" s="3"/>
      <c r="G727" s="3"/>
      <c r="H727" s="3"/>
      <c r="I727" s="3"/>
      <c r="J727" s="3"/>
      <c r="K727" s="3"/>
      <c r="L727" s="3"/>
      <c r="M727" s="3"/>
      <c r="N727" s="3"/>
      <c r="O727" s="3"/>
      <c r="P727" s="3"/>
      <c r="Q727" s="3"/>
      <c r="R727" s="3"/>
    </row>
    <row r="728" spans="4:18" ht="13.5" customHeight="1">
      <c r="D728" s="4"/>
      <c r="E728" s="3"/>
      <c r="F728" s="3"/>
      <c r="G728" s="3"/>
      <c r="H728" s="3"/>
      <c r="I728" s="3"/>
      <c r="J728" s="3"/>
      <c r="K728" s="3"/>
      <c r="L728" s="3"/>
      <c r="M728" s="3"/>
      <c r="N728" s="3"/>
      <c r="O728" s="3"/>
      <c r="P728" s="3"/>
      <c r="Q728" s="3"/>
      <c r="R728" s="3"/>
    </row>
    <row r="729" spans="4:18" ht="13.5" customHeight="1">
      <c r="D729" s="4"/>
      <c r="E729" s="3"/>
      <c r="F729" s="3"/>
      <c r="G729" s="3"/>
      <c r="H729" s="3"/>
      <c r="I729" s="3"/>
      <c r="J729" s="3"/>
      <c r="K729" s="3"/>
      <c r="L729" s="3"/>
      <c r="M729" s="3"/>
      <c r="N729" s="3"/>
      <c r="O729" s="3"/>
      <c r="P729" s="3"/>
      <c r="Q729" s="3"/>
      <c r="R729" s="3"/>
    </row>
    <row r="730" spans="4:18" ht="13.5" customHeight="1">
      <c r="D730" s="4"/>
      <c r="E730" s="3"/>
      <c r="F730" s="3"/>
      <c r="G730" s="3"/>
      <c r="H730" s="3"/>
      <c r="I730" s="3"/>
      <c r="J730" s="3"/>
      <c r="K730" s="3"/>
      <c r="L730" s="3"/>
      <c r="M730" s="3"/>
      <c r="N730" s="3"/>
      <c r="O730" s="3"/>
      <c r="P730" s="3"/>
      <c r="Q730" s="3"/>
      <c r="R730" s="3"/>
    </row>
    <row r="731" spans="4:18" ht="13.5" customHeight="1">
      <c r="D731" s="4"/>
      <c r="E731" s="3"/>
      <c r="F731" s="3"/>
      <c r="G731" s="3"/>
      <c r="H731" s="3"/>
      <c r="I731" s="3"/>
      <c r="J731" s="3"/>
      <c r="K731" s="3"/>
      <c r="L731" s="3"/>
      <c r="M731" s="3"/>
      <c r="N731" s="3"/>
      <c r="O731" s="3"/>
      <c r="P731" s="3"/>
      <c r="Q731" s="3"/>
      <c r="R731" s="3"/>
    </row>
    <row r="732" spans="4:18" ht="13.5" customHeight="1">
      <c r="D732" s="4"/>
      <c r="E732" s="3"/>
      <c r="F732" s="3"/>
      <c r="G732" s="3"/>
      <c r="H732" s="3"/>
      <c r="I732" s="3"/>
      <c r="J732" s="3"/>
      <c r="K732" s="3"/>
      <c r="L732" s="3"/>
      <c r="M732" s="3"/>
      <c r="N732" s="3"/>
      <c r="O732" s="3"/>
      <c r="P732" s="3"/>
      <c r="Q732" s="3"/>
      <c r="R732" s="3"/>
    </row>
    <row r="733" spans="4:18" ht="13.5" customHeight="1">
      <c r="D733" s="4"/>
      <c r="E733" s="3"/>
      <c r="F733" s="3"/>
      <c r="G733" s="3"/>
      <c r="H733" s="3"/>
      <c r="I733" s="3"/>
      <c r="J733" s="3"/>
      <c r="K733" s="3"/>
      <c r="L733" s="3"/>
      <c r="M733" s="3"/>
      <c r="N733" s="3"/>
      <c r="O733" s="3"/>
      <c r="P733" s="3"/>
      <c r="Q733" s="3"/>
      <c r="R733" s="3"/>
    </row>
    <row r="734" spans="4:18" ht="13.5" customHeight="1">
      <c r="D734" s="4"/>
      <c r="E734" s="3"/>
      <c r="F734" s="3"/>
      <c r="G734" s="3"/>
      <c r="H734" s="3"/>
      <c r="I734" s="3"/>
      <c r="J734" s="3"/>
      <c r="K734" s="3"/>
      <c r="L734" s="3"/>
      <c r="M734" s="3"/>
      <c r="N734" s="3"/>
      <c r="O734" s="3"/>
      <c r="P734" s="3"/>
      <c r="Q734" s="3"/>
      <c r="R734" s="3"/>
    </row>
    <row r="735" spans="4:18" ht="13.5" customHeight="1">
      <c r="D735" s="4"/>
      <c r="E735" s="3"/>
      <c r="F735" s="3"/>
      <c r="G735" s="3"/>
      <c r="H735" s="3"/>
      <c r="I735" s="3"/>
      <c r="J735" s="3"/>
      <c r="K735" s="3"/>
      <c r="L735" s="3"/>
      <c r="M735" s="3"/>
      <c r="N735" s="3"/>
      <c r="O735" s="3"/>
      <c r="P735" s="3"/>
      <c r="Q735" s="3"/>
      <c r="R735" s="3"/>
    </row>
    <row r="736" spans="4:18" ht="13.5" customHeight="1">
      <c r="D736" s="4"/>
      <c r="E736" s="3"/>
      <c r="F736" s="3"/>
      <c r="G736" s="3"/>
      <c r="H736" s="3"/>
      <c r="I736" s="3"/>
      <c r="J736" s="3"/>
      <c r="K736" s="3"/>
      <c r="L736" s="3"/>
      <c r="M736" s="3"/>
      <c r="N736" s="3"/>
      <c r="O736" s="3"/>
      <c r="P736" s="3"/>
      <c r="Q736" s="3"/>
      <c r="R736" s="3"/>
    </row>
    <row r="737" spans="4:18" ht="13.5" customHeight="1">
      <c r="D737" s="4"/>
      <c r="E737" s="3"/>
      <c r="F737" s="3"/>
      <c r="G737" s="3"/>
      <c r="H737" s="3"/>
      <c r="I737" s="3"/>
      <c r="J737" s="3"/>
      <c r="K737" s="3"/>
      <c r="L737" s="3"/>
      <c r="M737" s="3"/>
      <c r="N737" s="3"/>
      <c r="O737" s="3"/>
      <c r="P737" s="3"/>
      <c r="Q737" s="3"/>
      <c r="R737" s="3"/>
    </row>
    <row r="738" spans="4:18" ht="13.5" customHeight="1">
      <c r="D738" s="4"/>
      <c r="E738" s="3"/>
      <c r="F738" s="3"/>
      <c r="G738" s="3"/>
      <c r="H738" s="3"/>
      <c r="I738" s="3"/>
      <c r="J738" s="3"/>
      <c r="K738" s="3"/>
      <c r="L738" s="3"/>
      <c r="M738" s="3"/>
      <c r="N738" s="3"/>
      <c r="O738" s="3"/>
      <c r="P738" s="3"/>
      <c r="Q738" s="3"/>
      <c r="R738" s="3"/>
    </row>
    <row r="739" spans="4:18" ht="13.5" customHeight="1">
      <c r="D739" s="4"/>
      <c r="E739" s="3"/>
      <c r="F739" s="3"/>
      <c r="G739" s="3"/>
      <c r="H739" s="3"/>
      <c r="I739" s="3"/>
      <c r="J739" s="3"/>
      <c r="K739" s="3"/>
      <c r="L739" s="3"/>
      <c r="M739" s="3"/>
      <c r="N739" s="3"/>
      <c r="O739" s="3"/>
      <c r="P739" s="3"/>
      <c r="Q739" s="3"/>
      <c r="R739" s="3"/>
    </row>
    <row r="740" spans="4:18" ht="13.5" customHeight="1">
      <c r="D740" s="4"/>
      <c r="E740" s="3"/>
      <c r="F740" s="3"/>
      <c r="G740" s="3"/>
      <c r="H740" s="3"/>
      <c r="I740" s="3"/>
      <c r="J740" s="3"/>
      <c r="K740" s="3"/>
      <c r="L740" s="3"/>
      <c r="M740" s="3"/>
      <c r="N740" s="3"/>
      <c r="O740" s="3"/>
      <c r="P740" s="3"/>
      <c r="Q740" s="3"/>
      <c r="R740" s="3"/>
    </row>
    <row r="741" spans="4:18" ht="13.5" customHeight="1">
      <c r="D741" s="4"/>
      <c r="E741" s="3"/>
      <c r="F741" s="3"/>
      <c r="G741" s="3"/>
      <c r="H741" s="3"/>
      <c r="I741" s="3"/>
      <c r="J741" s="3"/>
      <c r="K741" s="3"/>
      <c r="L741" s="3"/>
      <c r="M741" s="3"/>
      <c r="N741" s="3"/>
      <c r="O741" s="3"/>
      <c r="P741" s="3"/>
      <c r="Q741" s="3"/>
      <c r="R741" s="3"/>
    </row>
    <row r="742" spans="4:18" ht="13.5" customHeight="1">
      <c r="D742" s="4"/>
      <c r="E742" s="3"/>
      <c r="F742" s="3"/>
      <c r="G742" s="3"/>
      <c r="H742" s="3"/>
      <c r="I742" s="3"/>
      <c r="J742" s="3"/>
      <c r="K742" s="3"/>
      <c r="L742" s="3"/>
      <c r="M742" s="3"/>
      <c r="N742" s="3"/>
      <c r="O742" s="3"/>
      <c r="P742" s="3"/>
      <c r="Q742" s="3"/>
      <c r="R742" s="3"/>
    </row>
    <row r="743" spans="4:18" ht="13.5" customHeight="1">
      <c r="D743" s="4"/>
      <c r="E743" s="3"/>
      <c r="F743" s="3"/>
      <c r="G743" s="3"/>
      <c r="H743" s="3"/>
      <c r="I743" s="3"/>
      <c r="J743" s="3"/>
      <c r="K743" s="3"/>
      <c r="L743" s="3"/>
      <c r="M743" s="3"/>
      <c r="N743" s="3"/>
      <c r="O743" s="3"/>
      <c r="P743" s="3"/>
      <c r="Q743" s="3"/>
      <c r="R743" s="3"/>
    </row>
    <row r="744" spans="4:18" ht="13.5" customHeight="1">
      <c r="D744" s="4"/>
      <c r="E744" s="3"/>
      <c r="F744" s="3"/>
      <c r="G744" s="3"/>
      <c r="H744" s="3"/>
      <c r="I744" s="3"/>
      <c r="J744" s="3"/>
      <c r="K744" s="3"/>
      <c r="L744" s="3"/>
      <c r="M744" s="3"/>
      <c r="N744" s="3"/>
      <c r="O744" s="3"/>
      <c r="P744" s="3"/>
      <c r="Q744" s="3"/>
      <c r="R744" s="3"/>
    </row>
    <row r="745" spans="4:18" ht="13.5" customHeight="1">
      <c r="D745" s="4"/>
      <c r="E745" s="3"/>
      <c r="F745" s="3"/>
      <c r="G745" s="3"/>
      <c r="H745" s="3"/>
      <c r="I745" s="3"/>
      <c r="J745" s="3"/>
      <c r="K745" s="3"/>
      <c r="L745" s="3"/>
      <c r="M745" s="3"/>
      <c r="N745" s="3"/>
      <c r="O745" s="3"/>
      <c r="P745" s="3"/>
      <c r="Q745" s="3"/>
      <c r="R745" s="3"/>
    </row>
    <row r="746" spans="4:18" ht="13.5" customHeight="1">
      <c r="D746" s="4"/>
      <c r="E746" s="3"/>
      <c r="F746" s="3"/>
      <c r="G746" s="3"/>
      <c r="H746" s="3"/>
      <c r="I746" s="3"/>
      <c r="J746" s="3"/>
      <c r="K746" s="3"/>
      <c r="L746" s="3"/>
      <c r="M746" s="3"/>
      <c r="N746" s="3"/>
      <c r="O746" s="3"/>
      <c r="P746" s="3"/>
      <c r="Q746" s="3"/>
      <c r="R746" s="3"/>
    </row>
    <row r="747" spans="4:18" ht="13.5" customHeight="1">
      <c r="D747" s="4"/>
      <c r="E747" s="3"/>
      <c r="F747" s="3"/>
      <c r="G747" s="3"/>
      <c r="H747" s="3"/>
      <c r="I747" s="3"/>
      <c r="J747" s="3"/>
      <c r="K747" s="3"/>
      <c r="L747" s="3"/>
      <c r="M747" s="3"/>
      <c r="N747" s="3"/>
      <c r="O747" s="3"/>
      <c r="P747" s="3"/>
      <c r="Q747" s="3"/>
      <c r="R747" s="3"/>
    </row>
    <row r="748" spans="4:18" ht="13.5" customHeight="1">
      <c r="D748" s="4"/>
      <c r="E748" s="3"/>
      <c r="F748" s="3"/>
      <c r="G748" s="3"/>
      <c r="H748" s="3"/>
      <c r="I748" s="3"/>
      <c r="J748" s="3"/>
      <c r="K748" s="3"/>
      <c r="L748" s="3"/>
      <c r="M748" s="3"/>
      <c r="N748" s="3"/>
      <c r="O748" s="3"/>
      <c r="P748" s="3"/>
      <c r="Q748" s="3"/>
      <c r="R748" s="3"/>
    </row>
    <row r="749" spans="4:18" ht="13.5" customHeight="1">
      <c r="D749" s="4"/>
      <c r="E749" s="3"/>
      <c r="F749" s="3"/>
      <c r="G749" s="3"/>
      <c r="H749" s="3"/>
      <c r="I749" s="3"/>
      <c r="J749" s="3"/>
      <c r="K749" s="3"/>
      <c r="L749" s="3"/>
      <c r="M749" s="3"/>
      <c r="N749" s="3"/>
      <c r="O749" s="3"/>
      <c r="P749" s="3"/>
      <c r="Q749" s="3"/>
      <c r="R749" s="3"/>
    </row>
    <row r="750" spans="4:18" ht="13.5" customHeight="1">
      <c r="D750" s="4"/>
      <c r="E750" s="3"/>
      <c r="F750" s="3"/>
      <c r="G750" s="3"/>
      <c r="H750" s="3"/>
      <c r="I750" s="3"/>
      <c r="J750" s="3"/>
      <c r="K750" s="3"/>
      <c r="L750" s="3"/>
      <c r="M750" s="3"/>
      <c r="N750" s="3"/>
      <c r="O750" s="3"/>
      <c r="P750" s="3"/>
      <c r="Q750" s="3"/>
      <c r="R750" s="3"/>
    </row>
    <row r="751" spans="4:18" ht="13.5" customHeight="1">
      <c r="D751" s="4"/>
      <c r="E751" s="3"/>
      <c r="F751" s="3"/>
      <c r="G751" s="3"/>
      <c r="H751" s="3"/>
      <c r="I751" s="3"/>
      <c r="J751" s="3"/>
      <c r="K751" s="3"/>
      <c r="L751" s="3"/>
      <c r="M751" s="3"/>
      <c r="N751" s="3"/>
      <c r="O751" s="3"/>
      <c r="P751" s="3"/>
      <c r="Q751" s="3"/>
      <c r="R751" s="3"/>
    </row>
    <row r="752" spans="4:18" ht="13.5" customHeight="1">
      <c r="D752" s="4"/>
      <c r="E752" s="3"/>
      <c r="F752" s="3"/>
      <c r="G752" s="3"/>
      <c r="H752" s="3"/>
      <c r="I752" s="3"/>
      <c r="J752" s="3"/>
      <c r="K752" s="3"/>
      <c r="L752" s="3"/>
      <c r="M752" s="3"/>
      <c r="N752" s="3"/>
      <c r="O752" s="3"/>
      <c r="P752" s="3"/>
      <c r="Q752" s="3"/>
      <c r="R752" s="3"/>
    </row>
    <row r="753" spans="4:18" ht="13.5" customHeight="1">
      <c r="D753" s="4"/>
      <c r="E753" s="3"/>
      <c r="F753" s="3"/>
      <c r="G753" s="3"/>
      <c r="H753" s="3"/>
      <c r="I753" s="3"/>
      <c r="J753" s="3"/>
      <c r="K753" s="3"/>
      <c r="L753" s="3"/>
      <c r="M753" s="3"/>
      <c r="N753" s="3"/>
      <c r="O753" s="3"/>
      <c r="P753" s="3"/>
      <c r="Q753" s="3"/>
      <c r="R753" s="3"/>
    </row>
    <row r="754" spans="4:18" ht="13.5" customHeight="1">
      <c r="D754" s="4"/>
      <c r="E754" s="3"/>
      <c r="F754" s="3"/>
      <c r="G754" s="3"/>
      <c r="H754" s="3"/>
      <c r="I754" s="3"/>
      <c r="J754" s="3"/>
      <c r="K754" s="3"/>
      <c r="L754" s="3"/>
      <c r="M754" s="3"/>
      <c r="N754" s="3"/>
      <c r="O754" s="3"/>
      <c r="P754" s="3"/>
      <c r="Q754" s="3"/>
      <c r="R754" s="3"/>
    </row>
    <row r="755" spans="4:18" ht="13.5" customHeight="1">
      <c r="D755" s="4"/>
      <c r="E755" s="3"/>
      <c r="F755" s="3"/>
      <c r="G755" s="3"/>
      <c r="H755" s="3"/>
      <c r="I755" s="3"/>
      <c r="J755" s="3"/>
      <c r="K755" s="3"/>
      <c r="L755" s="3"/>
      <c r="M755" s="3"/>
      <c r="N755" s="3"/>
      <c r="O755" s="3"/>
      <c r="P755" s="3"/>
      <c r="Q755" s="3"/>
      <c r="R755" s="3"/>
    </row>
    <row r="756" spans="4:18" ht="13.5" customHeight="1">
      <c r="D756" s="4"/>
      <c r="E756" s="3"/>
      <c r="F756" s="3"/>
      <c r="G756" s="3"/>
      <c r="H756" s="3"/>
      <c r="I756" s="3"/>
      <c r="J756" s="3"/>
      <c r="K756" s="3"/>
      <c r="L756" s="3"/>
      <c r="M756" s="3"/>
      <c r="N756" s="3"/>
      <c r="O756" s="3"/>
      <c r="P756" s="3"/>
      <c r="Q756" s="3"/>
      <c r="R756" s="3"/>
    </row>
    <row r="757" spans="4:18" ht="13.5" customHeight="1">
      <c r="D757" s="4"/>
      <c r="E757" s="3"/>
      <c r="F757" s="3"/>
      <c r="G757" s="3"/>
      <c r="H757" s="3"/>
      <c r="I757" s="3"/>
      <c r="J757" s="3"/>
      <c r="K757" s="3"/>
      <c r="L757" s="3"/>
      <c r="M757" s="3"/>
      <c r="N757" s="3"/>
      <c r="O757" s="3"/>
      <c r="P757" s="3"/>
      <c r="Q757" s="3"/>
      <c r="R757" s="3"/>
    </row>
    <row r="758" spans="4:18" ht="13.5" customHeight="1">
      <c r="D758" s="4"/>
      <c r="E758" s="3"/>
      <c r="F758" s="3"/>
      <c r="G758" s="3"/>
      <c r="H758" s="3"/>
      <c r="I758" s="3"/>
      <c r="J758" s="3"/>
      <c r="K758" s="3"/>
      <c r="L758" s="3"/>
      <c r="M758" s="3"/>
      <c r="N758" s="3"/>
      <c r="O758" s="3"/>
      <c r="P758" s="3"/>
      <c r="Q758" s="3"/>
      <c r="R758" s="3"/>
    </row>
    <row r="759" spans="4:18" ht="13.5" customHeight="1">
      <c r="D759" s="4"/>
      <c r="E759" s="3"/>
      <c r="F759" s="3"/>
      <c r="G759" s="3"/>
      <c r="H759" s="3"/>
      <c r="I759" s="3"/>
      <c r="J759" s="3"/>
      <c r="K759" s="3"/>
      <c r="L759" s="3"/>
      <c r="M759" s="3"/>
      <c r="N759" s="3"/>
      <c r="O759" s="3"/>
      <c r="P759" s="3"/>
      <c r="Q759" s="3"/>
      <c r="R759" s="3"/>
    </row>
    <row r="760" spans="4:18" ht="13.5" customHeight="1">
      <c r="D760" s="4"/>
      <c r="E760" s="3"/>
      <c r="F760" s="3"/>
      <c r="G760" s="3"/>
      <c r="H760" s="3"/>
      <c r="I760" s="3"/>
      <c r="J760" s="3"/>
      <c r="K760" s="3"/>
      <c r="L760" s="3"/>
      <c r="M760" s="3"/>
      <c r="N760" s="3"/>
      <c r="O760" s="3"/>
      <c r="P760" s="3"/>
      <c r="Q760" s="3"/>
      <c r="R760" s="3"/>
    </row>
    <row r="761" spans="4:18" ht="13.5" customHeight="1">
      <c r="D761" s="4"/>
      <c r="E761" s="3"/>
      <c r="F761" s="3"/>
      <c r="G761" s="3"/>
      <c r="H761" s="3"/>
      <c r="I761" s="3"/>
      <c r="J761" s="3"/>
      <c r="K761" s="3"/>
      <c r="L761" s="3"/>
      <c r="M761" s="3"/>
      <c r="N761" s="3"/>
      <c r="O761" s="3"/>
      <c r="P761" s="3"/>
      <c r="Q761" s="3"/>
      <c r="R761" s="3"/>
    </row>
    <row r="762" spans="4:18" ht="13.5" customHeight="1">
      <c r="D762" s="4"/>
      <c r="E762" s="3"/>
      <c r="F762" s="3"/>
      <c r="G762" s="3"/>
      <c r="H762" s="3"/>
      <c r="I762" s="3"/>
      <c r="J762" s="3"/>
      <c r="K762" s="3"/>
      <c r="L762" s="3"/>
      <c r="M762" s="3"/>
      <c r="N762" s="3"/>
      <c r="O762" s="3"/>
      <c r="P762" s="3"/>
      <c r="Q762" s="3"/>
      <c r="R762" s="3"/>
    </row>
    <row r="763" spans="4:18" ht="13.5" customHeight="1">
      <c r="D763" s="4"/>
      <c r="E763" s="3"/>
      <c r="F763" s="3"/>
      <c r="G763" s="3"/>
      <c r="H763" s="3"/>
      <c r="I763" s="3"/>
      <c r="J763" s="3"/>
      <c r="K763" s="3"/>
      <c r="L763" s="3"/>
      <c r="M763" s="3"/>
      <c r="N763" s="3"/>
      <c r="O763" s="3"/>
      <c r="P763" s="3"/>
      <c r="Q763" s="3"/>
      <c r="R763" s="3"/>
    </row>
    <row r="764" spans="4:18" ht="13.5" customHeight="1">
      <c r="D764" s="4"/>
      <c r="E764" s="3"/>
      <c r="F764" s="3"/>
      <c r="G764" s="3"/>
      <c r="H764" s="3"/>
      <c r="I764" s="3"/>
      <c r="J764" s="3"/>
      <c r="K764" s="3"/>
      <c r="L764" s="3"/>
      <c r="M764" s="3"/>
      <c r="N764" s="3"/>
      <c r="O764" s="3"/>
      <c r="P764" s="3"/>
      <c r="Q764" s="3"/>
      <c r="R764" s="3"/>
    </row>
    <row r="765" spans="4:18" ht="13.5" customHeight="1">
      <c r="D765" s="4"/>
      <c r="E765" s="3"/>
      <c r="F765" s="3"/>
      <c r="G765" s="3"/>
      <c r="H765" s="3"/>
      <c r="I765" s="3"/>
      <c r="J765" s="3"/>
      <c r="K765" s="3"/>
      <c r="L765" s="3"/>
      <c r="M765" s="3"/>
      <c r="N765" s="3"/>
      <c r="O765" s="3"/>
      <c r="P765" s="3"/>
      <c r="Q765" s="3"/>
      <c r="R765" s="3"/>
    </row>
    <row r="766" spans="4:18" ht="13.5" customHeight="1">
      <c r="D766" s="4"/>
      <c r="E766" s="3"/>
      <c r="F766" s="3"/>
      <c r="G766" s="3"/>
      <c r="H766" s="3"/>
      <c r="I766" s="3"/>
      <c r="J766" s="3"/>
      <c r="K766" s="3"/>
      <c r="L766" s="3"/>
      <c r="M766" s="3"/>
      <c r="N766" s="3"/>
      <c r="O766" s="3"/>
      <c r="P766" s="3"/>
      <c r="Q766" s="3"/>
      <c r="R766" s="3"/>
    </row>
    <row r="767" spans="4:18" ht="13.5" customHeight="1">
      <c r="D767" s="4"/>
      <c r="E767" s="3"/>
      <c r="F767" s="3"/>
      <c r="G767" s="3"/>
      <c r="H767" s="3"/>
      <c r="I767" s="3"/>
      <c r="J767" s="3"/>
      <c r="K767" s="3"/>
      <c r="L767" s="3"/>
      <c r="M767" s="3"/>
      <c r="N767" s="3"/>
      <c r="O767" s="3"/>
      <c r="P767" s="3"/>
      <c r="Q767" s="3"/>
      <c r="R767" s="3"/>
    </row>
    <row r="768" spans="4:18" ht="13.5" customHeight="1">
      <c r="D768" s="4"/>
      <c r="E768" s="3"/>
      <c r="F768" s="3"/>
      <c r="G768" s="3"/>
      <c r="H768" s="3"/>
      <c r="I768" s="3"/>
      <c r="J768" s="3"/>
      <c r="K768" s="3"/>
      <c r="L768" s="3"/>
      <c r="M768" s="3"/>
      <c r="N768" s="3"/>
      <c r="O768" s="3"/>
      <c r="P768" s="3"/>
      <c r="Q768" s="3"/>
      <c r="R768" s="3"/>
    </row>
    <row r="769" spans="4:18" ht="13.5" customHeight="1">
      <c r="D769" s="4"/>
      <c r="E769" s="3"/>
      <c r="F769" s="3"/>
      <c r="G769" s="3"/>
      <c r="H769" s="3"/>
      <c r="I769" s="3"/>
      <c r="J769" s="3"/>
      <c r="K769" s="3"/>
      <c r="L769" s="3"/>
      <c r="M769" s="3"/>
      <c r="N769" s="3"/>
      <c r="O769" s="3"/>
      <c r="P769" s="3"/>
      <c r="Q769" s="3"/>
      <c r="R769" s="3"/>
    </row>
    <row r="770" spans="4:18" ht="13.5" customHeight="1">
      <c r="D770" s="4"/>
      <c r="E770" s="3"/>
      <c r="F770" s="3"/>
      <c r="G770" s="3"/>
      <c r="H770" s="3"/>
      <c r="I770" s="3"/>
      <c r="J770" s="3"/>
      <c r="K770" s="3"/>
      <c r="L770" s="3"/>
      <c r="M770" s="3"/>
      <c r="N770" s="3"/>
      <c r="O770" s="3"/>
      <c r="P770" s="3"/>
      <c r="Q770" s="3"/>
      <c r="R770" s="3"/>
    </row>
    <row r="771" spans="4:18" ht="13.5" customHeight="1">
      <c r="D771" s="4"/>
      <c r="E771" s="3"/>
      <c r="F771" s="3"/>
      <c r="G771" s="3"/>
      <c r="H771" s="3"/>
      <c r="I771" s="3"/>
      <c r="J771" s="3"/>
      <c r="K771" s="3"/>
      <c r="L771" s="3"/>
      <c r="M771" s="3"/>
      <c r="N771" s="3"/>
      <c r="O771" s="3"/>
      <c r="P771" s="3"/>
      <c r="Q771" s="3"/>
      <c r="R771" s="3"/>
    </row>
    <row r="772" spans="4:18" ht="13.5" customHeight="1">
      <c r="D772" s="4"/>
      <c r="E772" s="3"/>
      <c r="F772" s="3"/>
      <c r="G772" s="3"/>
      <c r="H772" s="3"/>
      <c r="I772" s="3"/>
      <c r="J772" s="3"/>
      <c r="K772" s="3"/>
      <c r="L772" s="3"/>
      <c r="M772" s="3"/>
      <c r="N772" s="3"/>
      <c r="O772" s="3"/>
      <c r="P772" s="3"/>
      <c r="Q772" s="3"/>
      <c r="R772" s="3"/>
    </row>
    <row r="773" spans="4:18" ht="13.5" customHeight="1">
      <c r="D773" s="4"/>
      <c r="E773" s="3"/>
      <c r="F773" s="3"/>
      <c r="G773" s="3"/>
      <c r="H773" s="3"/>
      <c r="I773" s="3"/>
      <c r="J773" s="3"/>
      <c r="K773" s="3"/>
      <c r="L773" s="3"/>
      <c r="M773" s="3"/>
      <c r="N773" s="3"/>
      <c r="O773" s="3"/>
      <c r="P773" s="3"/>
      <c r="Q773" s="3"/>
      <c r="R773" s="3"/>
    </row>
    <row r="774" spans="4:18" ht="13.5" customHeight="1">
      <c r="D774" s="4"/>
      <c r="E774" s="3"/>
      <c r="F774" s="3"/>
      <c r="G774" s="3"/>
      <c r="H774" s="3"/>
      <c r="I774" s="3"/>
      <c r="J774" s="3"/>
      <c r="K774" s="3"/>
      <c r="L774" s="3"/>
      <c r="M774" s="3"/>
      <c r="N774" s="3"/>
      <c r="O774" s="3"/>
      <c r="P774" s="3"/>
      <c r="Q774" s="3"/>
      <c r="R774" s="3"/>
    </row>
    <row r="775" spans="4:18" ht="13.5" customHeight="1">
      <c r="D775" s="4"/>
      <c r="E775" s="3"/>
      <c r="F775" s="3"/>
      <c r="G775" s="3"/>
      <c r="H775" s="3"/>
      <c r="I775" s="3"/>
      <c r="J775" s="3"/>
      <c r="K775" s="3"/>
      <c r="L775" s="3"/>
      <c r="M775" s="3"/>
      <c r="N775" s="3"/>
      <c r="O775" s="3"/>
      <c r="P775" s="3"/>
      <c r="Q775" s="3"/>
      <c r="R775" s="3"/>
    </row>
    <row r="776" spans="4:18" ht="13.5" customHeight="1">
      <c r="D776" s="4"/>
      <c r="E776" s="3"/>
      <c r="F776" s="3"/>
      <c r="G776" s="3"/>
      <c r="H776" s="3"/>
      <c r="I776" s="3"/>
      <c r="J776" s="3"/>
      <c r="K776" s="3"/>
      <c r="L776" s="3"/>
      <c r="M776" s="3"/>
      <c r="N776" s="3"/>
      <c r="O776" s="3"/>
      <c r="P776" s="3"/>
      <c r="Q776" s="3"/>
      <c r="R776" s="3"/>
    </row>
    <row r="777" spans="4:18" ht="13.5" customHeight="1">
      <c r="D777" s="4"/>
      <c r="E777" s="3"/>
      <c r="F777" s="3"/>
      <c r="G777" s="3"/>
      <c r="H777" s="3"/>
      <c r="I777" s="3"/>
      <c r="J777" s="3"/>
      <c r="K777" s="3"/>
      <c r="L777" s="3"/>
      <c r="M777" s="3"/>
      <c r="N777" s="3"/>
      <c r="O777" s="3"/>
      <c r="P777" s="3"/>
      <c r="Q777" s="3"/>
      <c r="R777" s="3"/>
    </row>
    <row r="778" spans="4:18" ht="13.5" customHeight="1">
      <c r="D778" s="4"/>
      <c r="E778" s="3"/>
      <c r="F778" s="3"/>
      <c r="G778" s="3"/>
      <c r="H778" s="3"/>
      <c r="I778" s="3"/>
      <c r="J778" s="3"/>
      <c r="K778" s="3"/>
      <c r="L778" s="3"/>
      <c r="M778" s="3"/>
      <c r="N778" s="3"/>
      <c r="O778" s="3"/>
      <c r="P778" s="3"/>
      <c r="Q778" s="3"/>
      <c r="R778" s="3"/>
    </row>
    <row r="779" spans="4:18" ht="13.5" customHeight="1">
      <c r="D779" s="4"/>
      <c r="E779" s="3"/>
      <c r="F779" s="3"/>
      <c r="G779" s="3"/>
      <c r="H779" s="3"/>
      <c r="I779" s="3"/>
      <c r="J779" s="3"/>
      <c r="K779" s="3"/>
      <c r="L779" s="3"/>
      <c r="M779" s="3"/>
      <c r="N779" s="3"/>
      <c r="O779" s="3"/>
      <c r="P779" s="3"/>
      <c r="Q779" s="3"/>
      <c r="R779" s="3"/>
    </row>
    <row r="780" spans="4:18" ht="13.5" customHeight="1">
      <c r="D780" s="4"/>
      <c r="E780" s="3"/>
      <c r="F780" s="3"/>
      <c r="G780" s="3"/>
      <c r="H780" s="3"/>
      <c r="I780" s="3"/>
      <c r="J780" s="3"/>
      <c r="K780" s="3"/>
      <c r="L780" s="3"/>
      <c r="M780" s="3"/>
      <c r="N780" s="3"/>
      <c r="O780" s="3"/>
      <c r="P780" s="3"/>
      <c r="Q780" s="3"/>
      <c r="R780" s="3"/>
    </row>
    <row r="781" spans="4:18" ht="13.5" customHeight="1">
      <c r="D781" s="4"/>
      <c r="E781" s="3"/>
      <c r="F781" s="3"/>
      <c r="G781" s="3"/>
      <c r="H781" s="3"/>
      <c r="I781" s="3"/>
      <c r="J781" s="3"/>
      <c r="K781" s="3"/>
      <c r="L781" s="3"/>
      <c r="M781" s="3"/>
      <c r="N781" s="3"/>
      <c r="O781" s="3"/>
      <c r="P781" s="3"/>
      <c r="Q781" s="3"/>
      <c r="R781" s="3"/>
    </row>
    <row r="782" spans="4:18" ht="13.5" customHeight="1">
      <c r="D782" s="4"/>
      <c r="E782" s="3"/>
      <c r="F782" s="3"/>
      <c r="G782" s="3"/>
      <c r="H782" s="3"/>
      <c r="I782" s="3"/>
      <c r="J782" s="3"/>
      <c r="K782" s="3"/>
      <c r="L782" s="3"/>
      <c r="M782" s="3"/>
      <c r="N782" s="3"/>
      <c r="O782" s="3"/>
      <c r="P782" s="3"/>
      <c r="Q782" s="3"/>
      <c r="R782" s="3"/>
    </row>
    <row r="783" spans="4:18" ht="13.5" customHeight="1">
      <c r="D783" s="4"/>
      <c r="E783" s="3"/>
      <c r="F783" s="3"/>
      <c r="G783" s="3"/>
      <c r="H783" s="3"/>
      <c r="I783" s="3"/>
      <c r="J783" s="3"/>
      <c r="K783" s="3"/>
      <c r="L783" s="3"/>
      <c r="M783" s="3"/>
      <c r="N783" s="3"/>
      <c r="O783" s="3"/>
      <c r="P783" s="3"/>
      <c r="Q783" s="3"/>
      <c r="R783" s="3"/>
    </row>
    <row r="784" spans="4:18" ht="13.5" customHeight="1">
      <c r="D784" s="4"/>
      <c r="E784" s="3"/>
      <c r="F784" s="3"/>
      <c r="G784" s="3"/>
      <c r="H784" s="3"/>
      <c r="I784" s="3"/>
      <c r="J784" s="3"/>
      <c r="K784" s="3"/>
      <c r="L784" s="3"/>
      <c r="M784" s="3"/>
      <c r="N784" s="3"/>
      <c r="O784" s="3"/>
      <c r="P784" s="3"/>
      <c r="Q784" s="3"/>
      <c r="R784" s="3"/>
    </row>
    <row r="785" spans="4:18" ht="13.5" customHeight="1">
      <c r="D785" s="4"/>
      <c r="E785" s="3"/>
      <c r="F785" s="3"/>
      <c r="G785" s="3"/>
      <c r="H785" s="3"/>
      <c r="I785" s="3"/>
      <c r="J785" s="3"/>
      <c r="K785" s="3"/>
      <c r="L785" s="3"/>
      <c r="M785" s="3"/>
      <c r="N785" s="3"/>
      <c r="O785" s="3"/>
      <c r="P785" s="3"/>
      <c r="Q785" s="3"/>
      <c r="R785" s="3"/>
    </row>
    <row r="786" spans="4:18" ht="13.5" customHeight="1">
      <c r="D786" s="4"/>
      <c r="E786" s="3"/>
      <c r="F786" s="3"/>
      <c r="G786" s="3"/>
      <c r="H786" s="3"/>
      <c r="I786" s="3"/>
      <c r="J786" s="3"/>
      <c r="K786" s="3"/>
      <c r="L786" s="3"/>
      <c r="M786" s="3"/>
      <c r="N786" s="3"/>
      <c r="O786" s="3"/>
      <c r="P786" s="3"/>
      <c r="Q786" s="3"/>
      <c r="R786" s="3"/>
    </row>
    <row r="787" spans="4:18" ht="13.5" customHeight="1">
      <c r="D787" s="4"/>
      <c r="E787" s="3"/>
      <c r="F787" s="3"/>
      <c r="G787" s="3"/>
      <c r="H787" s="3"/>
      <c r="I787" s="3"/>
      <c r="J787" s="3"/>
      <c r="K787" s="3"/>
      <c r="L787" s="3"/>
      <c r="M787" s="3"/>
      <c r="N787" s="3"/>
      <c r="O787" s="3"/>
      <c r="P787" s="3"/>
      <c r="Q787" s="3"/>
      <c r="R787" s="3"/>
    </row>
    <row r="788" spans="4:18" ht="13.5" customHeight="1">
      <c r="D788" s="4"/>
      <c r="E788" s="3"/>
      <c r="F788" s="3"/>
      <c r="G788" s="3"/>
      <c r="H788" s="3"/>
      <c r="I788" s="3"/>
      <c r="J788" s="3"/>
      <c r="K788" s="3"/>
      <c r="L788" s="3"/>
      <c r="M788" s="3"/>
      <c r="N788" s="3"/>
      <c r="O788" s="3"/>
      <c r="P788" s="3"/>
      <c r="Q788" s="3"/>
      <c r="R788" s="3"/>
    </row>
    <row r="789" spans="4:18" ht="13.5" customHeight="1">
      <c r="D789" s="4"/>
      <c r="E789" s="3"/>
      <c r="F789" s="3"/>
      <c r="G789" s="3"/>
      <c r="H789" s="3"/>
      <c r="I789" s="3"/>
      <c r="J789" s="3"/>
      <c r="K789" s="3"/>
      <c r="L789" s="3"/>
      <c r="M789" s="3"/>
      <c r="N789" s="3"/>
      <c r="O789" s="3"/>
      <c r="P789" s="3"/>
      <c r="Q789" s="3"/>
      <c r="R789" s="3"/>
    </row>
    <row r="790" spans="4:18" ht="13.5" customHeight="1">
      <c r="D790" s="4"/>
      <c r="E790" s="3"/>
      <c r="F790" s="3"/>
      <c r="G790" s="3"/>
      <c r="H790" s="3"/>
      <c r="I790" s="3"/>
      <c r="J790" s="3"/>
      <c r="K790" s="3"/>
      <c r="L790" s="3"/>
      <c r="M790" s="3"/>
      <c r="N790" s="3"/>
      <c r="O790" s="3"/>
      <c r="P790" s="3"/>
      <c r="Q790" s="3"/>
      <c r="R790" s="3"/>
    </row>
    <row r="791" spans="4:18" ht="13.5" customHeight="1">
      <c r="D791" s="4"/>
      <c r="E791" s="3"/>
      <c r="F791" s="3"/>
      <c r="G791" s="3"/>
      <c r="H791" s="3"/>
      <c r="I791" s="3"/>
      <c r="J791" s="3"/>
      <c r="K791" s="3"/>
      <c r="L791" s="3"/>
      <c r="M791" s="3"/>
      <c r="N791" s="3"/>
      <c r="O791" s="3"/>
      <c r="P791" s="3"/>
      <c r="Q791" s="3"/>
      <c r="R791" s="3"/>
    </row>
    <row r="792" spans="4:18" ht="13.5" customHeight="1">
      <c r="D792" s="4"/>
      <c r="E792" s="3"/>
      <c r="F792" s="3"/>
      <c r="G792" s="3"/>
      <c r="H792" s="3"/>
      <c r="I792" s="3"/>
      <c r="J792" s="3"/>
      <c r="K792" s="3"/>
      <c r="L792" s="3"/>
      <c r="M792" s="3"/>
      <c r="N792" s="3"/>
      <c r="O792" s="3"/>
      <c r="P792" s="3"/>
      <c r="Q792" s="3"/>
      <c r="R792" s="3"/>
    </row>
    <row r="793" spans="4:18" ht="13.5" customHeight="1">
      <c r="D793" s="4"/>
      <c r="E793" s="3"/>
      <c r="F793" s="3"/>
      <c r="G793" s="3"/>
      <c r="H793" s="3"/>
      <c r="I793" s="3"/>
      <c r="J793" s="3"/>
      <c r="K793" s="3"/>
      <c r="L793" s="3"/>
      <c r="M793" s="3"/>
      <c r="N793" s="3"/>
      <c r="O793" s="3"/>
      <c r="P793" s="3"/>
      <c r="Q793" s="3"/>
      <c r="R793" s="3"/>
    </row>
    <row r="794" spans="4:18" ht="13.5" customHeight="1">
      <c r="D794" s="4"/>
      <c r="E794" s="3"/>
      <c r="F794" s="3"/>
      <c r="G794" s="3"/>
      <c r="H794" s="3"/>
      <c r="I794" s="3"/>
      <c r="J794" s="3"/>
      <c r="K794" s="3"/>
      <c r="L794" s="3"/>
      <c r="M794" s="3"/>
      <c r="N794" s="3"/>
      <c r="O794" s="3"/>
      <c r="P794" s="3"/>
      <c r="Q794" s="3"/>
      <c r="R794" s="3"/>
    </row>
    <row r="795" spans="4:18" ht="13.5" customHeight="1">
      <c r="D795" s="4"/>
      <c r="E795" s="3"/>
      <c r="F795" s="3"/>
      <c r="G795" s="3"/>
      <c r="H795" s="3"/>
      <c r="I795" s="3"/>
      <c r="J795" s="3"/>
      <c r="K795" s="3"/>
      <c r="L795" s="3"/>
      <c r="M795" s="3"/>
      <c r="N795" s="3"/>
      <c r="O795" s="3"/>
      <c r="P795" s="3"/>
      <c r="Q795" s="3"/>
      <c r="R795" s="3"/>
    </row>
    <row r="796" spans="4:18" ht="13.5" customHeight="1">
      <c r="D796" s="4"/>
      <c r="E796" s="3"/>
      <c r="F796" s="3"/>
      <c r="G796" s="3"/>
      <c r="H796" s="3"/>
      <c r="I796" s="3"/>
      <c r="J796" s="3"/>
      <c r="K796" s="3"/>
      <c r="L796" s="3"/>
      <c r="M796" s="3"/>
      <c r="N796" s="3"/>
      <c r="O796" s="3"/>
      <c r="P796" s="3"/>
      <c r="Q796" s="3"/>
      <c r="R796" s="3"/>
    </row>
    <row r="797" spans="4:18" ht="13.5" customHeight="1">
      <c r="D797" s="4"/>
      <c r="E797" s="3"/>
      <c r="F797" s="3"/>
      <c r="G797" s="3"/>
      <c r="H797" s="3"/>
      <c r="I797" s="3"/>
      <c r="J797" s="3"/>
      <c r="K797" s="3"/>
      <c r="L797" s="3"/>
      <c r="M797" s="3"/>
      <c r="N797" s="3"/>
      <c r="O797" s="3"/>
      <c r="P797" s="3"/>
      <c r="Q797" s="3"/>
      <c r="R797" s="3"/>
    </row>
    <row r="798" spans="4:18" ht="13.5" customHeight="1">
      <c r="D798" s="4"/>
      <c r="E798" s="3"/>
      <c r="F798" s="3"/>
      <c r="G798" s="3"/>
      <c r="H798" s="3"/>
      <c r="I798" s="3"/>
      <c r="J798" s="3"/>
      <c r="K798" s="3"/>
      <c r="L798" s="3"/>
      <c r="M798" s="3"/>
      <c r="N798" s="3"/>
      <c r="O798" s="3"/>
      <c r="P798" s="3"/>
      <c r="Q798" s="3"/>
      <c r="R798" s="3"/>
    </row>
    <row r="799" spans="4:18" ht="13.5" customHeight="1">
      <c r="D799" s="4"/>
      <c r="E799" s="3"/>
      <c r="F799" s="3"/>
      <c r="G799" s="3"/>
      <c r="H799" s="3"/>
      <c r="I799" s="3"/>
      <c r="J799" s="3"/>
      <c r="K799" s="3"/>
      <c r="L799" s="3"/>
      <c r="M799" s="3"/>
      <c r="N799" s="3"/>
      <c r="O799" s="3"/>
      <c r="P799" s="3"/>
      <c r="Q799" s="3"/>
      <c r="R799" s="3"/>
    </row>
    <row r="800" spans="4:18" ht="13.5" customHeight="1">
      <c r="D800" s="4"/>
      <c r="E800" s="3"/>
      <c r="F800" s="3"/>
      <c r="G800" s="3"/>
      <c r="H800" s="3"/>
      <c r="I800" s="3"/>
      <c r="J800" s="3"/>
      <c r="K800" s="3"/>
      <c r="L800" s="3"/>
      <c r="M800" s="3"/>
      <c r="N800" s="3"/>
      <c r="O800" s="3"/>
      <c r="P800" s="3"/>
      <c r="Q800" s="3"/>
      <c r="R800" s="3"/>
    </row>
    <row r="801" spans="4:18" ht="13.5" customHeight="1">
      <c r="D801" s="4"/>
      <c r="E801" s="3"/>
      <c r="F801" s="3"/>
      <c r="G801" s="3"/>
      <c r="H801" s="3"/>
      <c r="I801" s="3"/>
      <c r="J801" s="3"/>
      <c r="K801" s="3"/>
      <c r="L801" s="3"/>
      <c r="M801" s="3"/>
      <c r="N801" s="3"/>
      <c r="O801" s="3"/>
      <c r="P801" s="3"/>
      <c r="Q801" s="3"/>
      <c r="R801" s="3"/>
    </row>
    <row r="802" spans="4:18" ht="13.5" customHeight="1">
      <c r="D802" s="4"/>
      <c r="E802" s="3"/>
      <c r="F802" s="3"/>
      <c r="G802" s="3"/>
      <c r="H802" s="3"/>
      <c r="I802" s="3"/>
      <c r="J802" s="3"/>
      <c r="K802" s="3"/>
      <c r="L802" s="3"/>
      <c r="M802" s="3"/>
      <c r="N802" s="3"/>
      <c r="O802" s="3"/>
      <c r="P802" s="3"/>
      <c r="Q802" s="3"/>
      <c r="R802" s="3"/>
    </row>
    <row r="803" spans="4:18" ht="13.5" customHeight="1">
      <c r="D803" s="4"/>
      <c r="E803" s="3"/>
      <c r="F803" s="3"/>
      <c r="G803" s="3"/>
      <c r="H803" s="3"/>
      <c r="I803" s="3"/>
      <c r="J803" s="3"/>
      <c r="K803" s="3"/>
      <c r="L803" s="3"/>
      <c r="M803" s="3"/>
      <c r="N803" s="3"/>
      <c r="O803" s="3"/>
      <c r="P803" s="3"/>
      <c r="Q803" s="3"/>
      <c r="R803" s="3"/>
    </row>
    <row r="804" spans="4:18" ht="13.5" customHeight="1">
      <c r="D804" s="4"/>
      <c r="E804" s="3"/>
      <c r="F804" s="3"/>
      <c r="G804" s="3"/>
      <c r="H804" s="3"/>
      <c r="I804" s="3"/>
      <c r="J804" s="3"/>
      <c r="K804" s="3"/>
      <c r="L804" s="3"/>
      <c r="M804" s="3"/>
      <c r="N804" s="3"/>
      <c r="O804" s="3"/>
      <c r="P804" s="3"/>
      <c r="Q804" s="3"/>
      <c r="R804" s="3"/>
    </row>
    <row r="805" spans="4:18" ht="13.5" customHeight="1">
      <c r="D805" s="4"/>
      <c r="E805" s="3"/>
      <c r="F805" s="3"/>
      <c r="G805" s="3"/>
      <c r="H805" s="3"/>
      <c r="I805" s="3"/>
      <c r="J805" s="3"/>
      <c r="K805" s="3"/>
      <c r="L805" s="3"/>
      <c r="M805" s="3"/>
      <c r="N805" s="3"/>
      <c r="O805" s="3"/>
      <c r="P805" s="3"/>
      <c r="Q805" s="3"/>
      <c r="R805" s="3"/>
    </row>
    <row r="806" spans="4:18" ht="13.5" customHeight="1">
      <c r="D806" s="4"/>
      <c r="E806" s="3"/>
      <c r="F806" s="3"/>
      <c r="G806" s="3"/>
      <c r="H806" s="3"/>
      <c r="I806" s="3"/>
      <c r="J806" s="3"/>
      <c r="K806" s="3"/>
      <c r="L806" s="3"/>
      <c r="M806" s="3"/>
      <c r="N806" s="3"/>
      <c r="O806" s="3"/>
      <c r="P806" s="3"/>
      <c r="Q806" s="3"/>
      <c r="R806" s="3"/>
    </row>
    <row r="807" spans="4:18" ht="13.5" customHeight="1">
      <c r="D807" s="4"/>
      <c r="E807" s="3"/>
      <c r="F807" s="3"/>
      <c r="G807" s="3"/>
      <c r="H807" s="3"/>
      <c r="I807" s="3"/>
      <c r="J807" s="3"/>
      <c r="K807" s="3"/>
      <c r="L807" s="3"/>
      <c r="M807" s="3"/>
      <c r="N807" s="3"/>
      <c r="O807" s="3"/>
      <c r="P807" s="3"/>
      <c r="Q807" s="3"/>
      <c r="R807" s="3"/>
    </row>
    <row r="808" spans="4:18" ht="13.5" customHeight="1">
      <c r="D808" s="4"/>
      <c r="E808" s="3"/>
      <c r="F808" s="3"/>
      <c r="G808" s="3"/>
      <c r="H808" s="3"/>
      <c r="I808" s="3"/>
      <c r="J808" s="3"/>
      <c r="K808" s="3"/>
      <c r="L808" s="3"/>
      <c r="M808" s="3"/>
      <c r="N808" s="3"/>
      <c r="O808" s="3"/>
      <c r="P808" s="3"/>
      <c r="Q808" s="3"/>
      <c r="R808" s="3"/>
    </row>
    <row r="809" spans="4:18" ht="13.5" customHeight="1">
      <c r="D809" s="4"/>
      <c r="E809" s="3"/>
      <c r="F809" s="3"/>
      <c r="G809" s="3"/>
      <c r="H809" s="3"/>
      <c r="I809" s="3"/>
      <c r="J809" s="3"/>
      <c r="K809" s="3"/>
      <c r="L809" s="3"/>
      <c r="M809" s="3"/>
      <c r="N809" s="3"/>
      <c r="O809" s="3"/>
      <c r="P809" s="3"/>
      <c r="Q809" s="3"/>
      <c r="R809" s="3"/>
    </row>
    <row r="810" spans="4:18" ht="13.5" customHeight="1">
      <c r="D810" s="4"/>
      <c r="E810" s="3"/>
      <c r="F810" s="3"/>
      <c r="G810" s="3"/>
      <c r="H810" s="3"/>
      <c r="I810" s="3"/>
      <c r="J810" s="3"/>
      <c r="K810" s="3"/>
      <c r="L810" s="3"/>
      <c r="M810" s="3"/>
      <c r="N810" s="3"/>
      <c r="O810" s="3"/>
      <c r="P810" s="3"/>
      <c r="Q810" s="3"/>
      <c r="R810" s="3"/>
    </row>
    <row r="811" spans="4:18" ht="13.5" customHeight="1">
      <c r="D811" s="4"/>
      <c r="E811" s="3"/>
      <c r="F811" s="3"/>
      <c r="G811" s="3"/>
      <c r="H811" s="3"/>
      <c r="I811" s="3"/>
      <c r="J811" s="3"/>
      <c r="K811" s="3"/>
      <c r="L811" s="3"/>
      <c r="M811" s="3"/>
      <c r="N811" s="3"/>
      <c r="O811" s="3"/>
      <c r="P811" s="3"/>
      <c r="Q811" s="3"/>
      <c r="R811" s="3"/>
    </row>
    <row r="812" spans="4:18" ht="13.5" customHeight="1">
      <c r="D812" s="4"/>
      <c r="E812" s="3"/>
      <c r="F812" s="3"/>
      <c r="G812" s="3"/>
      <c r="H812" s="3"/>
      <c r="I812" s="3"/>
      <c r="J812" s="3"/>
      <c r="K812" s="3"/>
      <c r="L812" s="3"/>
      <c r="M812" s="3"/>
      <c r="N812" s="3"/>
      <c r="O812" s="3"/>
      <c r="P812" s="3"/>
      <c r="Q812" s="3"/>
      <c r="R812" s="3"/>
    </row>
    <row r="813" spans="4:18" ht="13.5" customHeight="1">
      <c r="D813" s="4"/>
      <c r="E813" s="3"/>
      <c r="F813" s="3"/>
      <c r="G813" s="3"/>
      <c r="H813" s="3"/>
      <c r="I813" s="3"/>
      <c r="J813" s="3"/>
      <c r="K813" s="3"/>
      <c r="L813" s="3"/>
      <c r="M813" s="3"/>
      <c r="N813" s="3"/>
      <c r="O813" s="3"/>
      <c r="P813" s="3"/>
      <c r="Q813" s="3"/>
      <c r="R813" s="3"/>
    </row>
    <row r="814" spans="4:18" ht="13.5" customHeight="1">
      <c r="D814" s="4"/>
      <c r="E814" s="3"/>
      <c r="F814" s="3"/>
      <c r="G814" s="3"/>
      <c r="H814" s="3"/>
      <c r="I814" s="3"/>
      <c r="J814" s="3"/>
      <c r="K814" s="3"/>
      <c r="L814" s="3"/>
      <c r="M814" s="3"/>
      <c r="N814" s="3"/>
      <c r="O814" s="3"/>
      <c r="P814" s="3"/>
      <c r="Q814" s="3"/>
      <c r="R814" s="3"/>
    </row>
    <row r="815" spans="4:18" ht="13.5" customHeight="1">
      <c r="D815" s="4"/>
      <c r="E815" s="3"/>
      <c r="F815" s="3"/>
      <c r="G815" s="3"/>
      <c r="H815" s="3"/>
      <c r="I815" s="3"/>
      <c r="J815" s="3"/>
      <c r="K815" s="3"/>
      <c r="L815" s="3"/>
      <c r="M815" s="3"/>
      <c r="N815" s="3"/>
      <c r="O815" s="3"/>
      <c r="P815" s="3"/>
      <c r="Q815" s="3"/>
      <c r="R815" s="3"/>
    </row>
    <row r="816" spans="4:18" ht="13.5" customHeight="1">
      <c r="D816" s="4"/>
      <c r="E816" s="3"/>
      <c r="F816" s="3"/>
      <c r="G816" s="3"/>
      <c r="H816" s="3"/>
      <c r="I816" s="3"/>
      <c r="J816" s="3"/>
      <c r="K816" s="3"/>
      <c r="L816" s="3"/>
      <c r="M816" s="3"/>
      <c r="N816" s="3"/>
      <c r="O816" s="3"/>
      <c r="P816" s="3"/>
      <c r="Q816" s="3"/>
      <c r="R816" s="3"/>
    </row>
    <row r="817" spans="4:18" ht="13.5" customHeight="1">
      <c r="D817" s="4"/>
      <c r="E817" s="3"/>
      <c r="F817" s="3"/>
      <c r="G817" s="3"/>
      <c r="H817" s="3"/>
      <c r="I817" s="3"/>
      <c r="J817" s="3"/>
      <c r="K817" s="3"/>
      <c r="L817" s="3"/>
      <c r="M817" s="3"/>
      <c r="N817" s="3"/>
      <c r="O817" s="3"/>
      <c r="P817" s="3"/>
      <c r="Q817" s="3"/>
      <c r="R817" s="3"/>
    </row>
    <row r="818" spans="4:18" ht="13.5" customHeight="1">
      <c r="D818" s="4"/>
      <c r="E818" s="3"/>
      <c r="F818" s="3"/>
      <c r="G818" s="3"/>
      <c r="H818" s="3"/>
      <c r="I818" s="3"/>
      <c r="J818" s="3"/>
      <c r="K818" s="3"/>
      <c r="L818" s="3"/>
      <c r="M818" s="3"/>
      <c r="N818" s="3"/>
      <c r="O818" s="3"/>
      <c r="P818" s="3"/>
      <c r="Q818" s="3"/>
      <c r="R818" s="3"/>
    </row>
    <row r="819" spans="4:18" ht="13.5" customHeight="1">
      <c r="D819" s="4"/>
      <c r="E819" s="3"/>
      <c r="F819" s="3"/>
      <c r="G819" s="3"/>
      <c r="H819" s="3"/>
      <c r="I819" s="3"/>
      <c r="J819" s="3"/>
      <c r="K819" s="3"/>
      <c r="L819" s="3"/>
      <c r="M819" s="3"/>
      <c r="N819" s="3"/>
      <c r="O819" s="3"/>
      <c r="P819" s="3"/>
      <c r="Q819" s="3"/>
      <c r="R819" s="3"/>
    </row>
    <row r="820" spans="4:18" ht="13.5" customHeight="1">
      <c r="D820" s="4"/>
      <c r="E820" s="3"/>
      <c r="F820" s="3"/>
      <c r="G820" s="3"/>
      <c r="H820" s="3"/>
      <c r="I820" s="3"/>
      <c r="J820" s="3"/>
      <c r="K820" s="3"/>
      <c r="L820" s="3"/>
      <c r="M820" s="3"/>
      <c r="N820" s="3"/>
      <c r="O820" s="3"/>
      <c r="P820" s="3"/>
      <c r="Q820" s="3"/>
      <c r="R820" s="3"/>
    </row>
    <row r="821" spans="4:18" ht="13.5" customHeight="1">
      <c r="D821" s="4"/>
      <c r="E821" s="3"/>
      <c r="F821" s="3"/>
      <c r="G821" s="3"/>
      <c r="H821" s="3"/>
      <c r="I821" s="3"/>
      <c r="J821" s="3"/>
      <c r="K821" s="3"/>
      <c r="L821" s="3"/>
      <c r="M821" s="3"/>
      <c r="N821" s="3"/>
      <c r="O821" s="3"/>
      <c r="P821" s="3"/>
      <c r="Q821" s="3"/>
      <c r="R821" s="3"/>
    </row>
    <row r="822" spans="4:18" ht="13.5" customHeight="1">
      <c r="D822" s="4"/>
      <c r="E822" s="3"/>
      <c r="F822" s="3"/>
      <c r="G822" s="3"/>
      <c r="H822" s="3"/>
      <c r="I822" s="3"/>
      <c r="J822" s="3"/>
      <c r="K822" s="3"/>
      <c r="L822" s="3"/>
      <c r="M822" s="3"/>
      <c r="N822" s="3"/>
      <c r="O822" s="3"/>
      <c r="P822" s="3"/>
      <c r="Q822" s="3"/>
      <c r="R822" s="3"/>
    </row>
    <row r="823" spans="4:18" ht="13.5" customHeight="1">
      <c r="D823" s="4"/>
      <c r="E823" s="3"/>
      <c r="F823" s="3"/>
      <c r="G823" s="3"/>
      <c r="H823" s="3"/>
      <c r="I823" s="3"/>
      <c r="J823" s="3"/>
      <c r="K823" s="3"/>
      <c r="L823" s="3"/>
      <c r="M823" s="3"/>
      <c r="N823" s="3"/>
      <c r="O823" s="3"/>
      <c r="P823" s="3"/>
      <c r="Q823" s="3"/>
      <c r="R823" s="3"/>
    </row>
    <row r="824" spans="4:18" ht="13.5" customHeight="1">
      <c r="D824" s="4"/>
      <c r="E824" s="3"/>
      <c r="F824" s="3"/>
      <c r="G824" s="3"/>
      <c r="H824" s="3"/>
      <c r="I824" s="3"/>
      <c r="J824" s="3"/>
      <c r="K824" s="3"/>
      <c r="L824" s="3"/>
      <c r="M824" s="3"/>
      <c r="N824" s="3"/>
      <c r="O824" s="3"/>
      <c r="P824" s="3"/>
      <c r="Q824" s="3"/>
      <c r="R824" s="3"/>
    </row>
    <row r="825" spans="4:18" ht="13.5" customHeight="1">
      <c r="D825" s="4"/>
      <c r="E825" s="3"/>
      <c r="F825" s="3"/>
      <c r="G825" s="3"/>
      <c r="H825" s="3"/>
      <c r="I825" s="3"/>
      <c r="J825" s="3"/>
      <c r="K825" s="3"/>
      <c r="L825" s="3"/>
      <c r="M825" s="3"/>
      <c r="N825" s="3"/>
      <c r="O825" s="3"/>
      <c r="P825" s="3"/>
      <c r="Q825" s="3"/>
      <c r="R825" s="3"/>
    </row>
    <row r="826" spans="4:18" ht="13.5" customHeight="1">
      <c r="D826" s="4"/>
      <c r="E826" s="3"/>
      <c r="F826" s="3"/>
      <c r="G826" s="3"/>
      <c r="H826" s="3"/>
      <c r="I826" s="3"/>
      <c r="J826" s="3"/>
      <c r="K826" s="3"/>
      <c r="L826" s="3"/>
      <c r="M826" s="3"/>
      <c r="N826" s="3"/>
      <c r="O826" s="3"/>
      <c r="P826" s="3"/>
      <c r="Q826" s="3"/>
      <c r="R826" s="3"/>
    </row>
    <row r="827" spans="4:18" ht="13.5" customHeight="1">
      <c r="D827" s="4"/>
      <c r="E827" s="3"/>
      <c r="F827" s="3"/>
      <c r="G827" s="3"/>
      <c r="H827" s="3"/>
      <c r="I827" s="3"/>
      <c r="J827" s="3"/>
      <c r="K827" s="3"/>
      <c r="L827" s="3"/>
      <c r="M827" s="3"/>
      <c r="N827" s="3"/>
      <c r="O827" s="3"/>
      <c r="P827" s="3"/>
      <c r="Q827" s="3"/>
      <c r="R827" s="3"/>
    </row>
    <row r="828" spans="4:18" ht="13.5" customHeight="1">
      <c r="D828" s="4"/>
      <c r="E828" s="3"/>
      <c r="F828" s="3"/>
      <c r="G828" s="3"/>
      <c r="H828" s="3"/>
      <c r="I828" s="3"/>
      <c r="J828" s="3"/>
      <c r="K828" s="3"/>
      <c r="L828" s="3"/>
      <c r="M828" s="3"/>
      <c r="N828" s="3"/>
      <c r="O828" s="3"/>
      <c r="P828" s="3"/>
      <c r="Q828" s="3"/>
      <c r="R828" s="3"/>
    </row>
    <row r="829" spans="4:18" ht="13.5" customHeight="1">
      <c r="D829" s="4"/>
      <c r="E829" s="3"/>
      <c r="F829" s="3"/>
      <c r="G829" s="3"/>
      <c r="H829" s="3"/>
      <c r="I829" s="3"/>
      <c r="J829" s="3"/>
      <c r="K829" s="3"/>
      <c r="L829" s="3"/>
      <c r="M829" s="3"/>
      <c r="N829" s="3"/>
      <c r="O829" s="3"/>
      <c r="P829" s="3"/>
      <c r="Q829" s="3"/>
      <c r="R829" s="3"/>
    </row>
    <row r="830" spans="4:18" ht="13.5" customHeight="1">
      <c r="D830" s="4"/>
      <c r="E830" s="3"/>
      <c r="F830" s="3"/>
      <c r="G830" s="3"/>
      <c r="H830" s="3"/>
      <c r="I830" s="3"/>
      <c r="J830" s="3"/>
      <c r="K830" s="3"/>
      <c r="L830" s="3"/>
      <c r="M830" s="3"/>
      <c r="N830" s="3"/>
      <c r="O830" s="3"/>
      <c r="P830" s="3"/>
      <c r="Q830" s="3"/>
      <c r="R830" s="3"/>
    </row>
    <row r="831" spans="4:18" ht="13.5" customHeight="1">
      <c r="D831" s="4"/>
      <c r="E831" s="3"/>
      <c r="F831" s="3"/>
      <c r="G831" s="3"/>
      <c r="H831" s="3"/>
      <c r="I831" s="3"/>
      <c r="J831" s="3"/>
      <c r="K831" s="3"/>
      <c r="L831" s="3"/>
      <c r="M831" s="3"/>
      <c r="N831" s="3"/>
      <c r="O831" s="3"/>
      <c r="P831" s="3"/>
      <c r="Q831" s="3"/>
      <c r="R831" s="3"/>
    </row>
    <row r="832" spans="4:18" ht="13.5" customHeight="1">
      <c r="D832" s="4"/>
      <c r="E832" s="3"/>
      <c r="F832" s="3"/>
      <c r="G832" s="3"/>
      <c r="H832" s="3"/>
      <c r="I832" s="3"/>
      <c r="J832" s="3"/>
      <c r="K832" s="3"/>
      <c r="L832" s="3"/>
      <c r="M832" s="3"/>
      <c r="N832" s="3"/>
      <c r="O832" s="3"/>
      <c r="P832" s="3"/>
      <c r="Q832" s="3"/>
      <c r="R832" s="3"/>
    </row>
    <row r="833" spans="4:18" ht="13.5" customHeight="1">
      <c r="D833" s="4"/>
      <c r="E833" s="3"/>
      <c r="F833" s="3"/>
      <c r="G833" s="3"/>
      <c r="H833" s="3"/>
      <c r="I833" s="3"/>
      <c r="J833" s="3"/>
      <c r="K833" s="3"/>
      <c r="L833" s="3"/>
      <c r="M833" s="3"/>
      <c r="N833" s="3"/>
      <c r="O833" s="3"/>
      <c r="P833" s="3"/>
      <c r="Q833" s="3"/>
      <c r="R833" s="3"/>
    </row>
    <row r="834" spans="4:18" ht="13.5" customHeight="1">
      <c r="D834" s="4"/>
      <c r="E834" s="3"/>
      <c r="F834" s="3"/>
      <c r="G834" s="3"/>
      <c r="H834" s="3"/>
      <c r="I834" s="3"/>
      <c r="J834" s="3"/>
      <c r="K834" s="3"/>
      <c r="L834" s="3"/>
      <c r="M834" s="3"/>
      <c r="N834" s="3"/>
      <c r="O834" s="3"/>
      <c r="P834" s="3"/>
      <c r="Q834" s="3"/>
      <c r="R834" s="3"/>
    </row>
    <row r="835" spans="4:18" ht="13.5" customHeight="1">
      <c r="D835" s="4"/>
      <c r="E835" s="3"/>
      <c r="F835" s="3"/>
      <c r="G835" s="3"/>
      <c r="H835" s="3"/>
      <c r="I835" s="3"/>
      <c r="J835" s="3"/>
      <c r="K835" s="3"/>
      <c r="L835" s="3"/>
      <c r="M835" s="3"/>
      <c r="N835" s="3"/>
      <c r="O835" s="3"/>
      <c r="P835" s="3"/>
      <c r="Q835" s="3"/>
      <c r="R835" s="3"/>
    </row>
    <row r="836" spans="4:18" ht="13.5" customHeight="1">
      <c r="D836" s="4"/>
      <c r="E836" s="3"/>
      <c r="F836" s="3"/>
      <c r="G836" s="3"/>
      <c r="H836" s="3"/>
      <c r="I836" s="3"/>
      <c r="J836" s="3"/>
      <c r="K836" s="3"/>
      <c r="L836" s="3"/>
      <c r="M836" s="3"/>
      <c r="N836" s="3"/>
      <c r="O836" s="3"/>
      <c r="P836" s="3"/>
      <c r="Q836" s="3"/>
      <c r="R836" s="3"/>
    </row>
    <row r="837" spans="4:18" ht="13.5" customHeight="1">
      <c r="D837" s="4"/>
      <c r="E837" s="3"/>
      <c r="F837" s="3"/>
      <c r="G837" s="3"/>
      <c r="H837" s="3"/>
      <c r="I837" s="3"/>
      <c r="J837" s="3"/>
      <c r="K837" s="3"/>
      <c r="L837" s="3"/>
      <c r="M837" s="3"/>
      <c r="N837" s="3"/>
      <c r="O837" s="3"/>
      <c r="P837" s="3"/>
      <c r="Q837" s="3"/>
      <c r="R837" s="3"/>
    </row>
    <row r="838" spans="4:18" ht="13.5" customHeight="1">
      <c r="D838" s="4"/>
      <c r="E838" s="3"/>
      <c r="F838" s="3"/>
      <c r="G838" s="3"/>
      <c r="H838" s="3"/>
      <c r="I838" s="3"/>
      <c r="J838" s="3"/>
      <c r="K838" s="3"/>
      <c r="L838" s="3"/>
      <c r="M838" s="3"/>
      <c r="N838" s="3"/>
      <c r="O838" s="3"/>
      <c r="P838" s="3"/>
      <c r="Q838" s="3"/>
      <c r="R838" s="3"/>
    </row>
    <row r="839" spans="4:18" ht="13.5" customHeight="1">
      <c r="D839" s="4"/>
      <c r="E839" s="3"/>
      <c r="F839" s="3"/>
      <c r="G839" s="3"/>
      <c r="H839" s="3"/>
      <c r="I839" s="3"/>
      <c r="J839" s="3"/>
      <c r="K839" s="3"/>
      <c r="L839" s="3"/>
      <c r="M839" s="3"/>
      <c r="N839" s="3"/>
      <c r="O839" s="3"/>
      <c r="P839" s="3"/>
      <c r="Q839" s="3"/>
      <c r="R839" s="3"/>
    </row>
    <row r="840" spans="4:18" ht="13.5" customHeight="1">
      <c r="D840" s="4"/>
      <c r="E840" s="3"/>
      <c r="F840" s="3"/>
      <c r="G840" s="3"/>
      <c r="H840" s="3"/>
      <c r="I840" s="3"/>
      <c r="J840" s="3"/>
      <c r="K840" s="3"/>
      <c r="L840" s="3"/>
      <c r="M840" s="3"/>
      <c r="N840" s="3"/>
      <c r="O840" s="3"/>
      <c r="P840" s="3"/>
      <c r="Q840" s="3"/>
      <c r="R840" s="3"/>
    </row>
    <row r="841" spans="4:18" ht="13.5" customHeight="1">
      <c r="D841" s="4"/>
      <c r="E841" s="3"/>
      <c r="F841" s="3"/>
      <c r="G841" s="3"/>
      <c r="H841" s="3"/>
      <c r="I841" s="3"/>
      <c r="J841" s="3"/>
      <c r="K841" s="3"/>
      <c r="L841" s="3"/>
      <c r="M841" s="3"/>
      <c r="N841" s="3"/>
      <c r="O841" s="3"/>
      <c r="P841" s="3"/>
      <c r="Q841" s="3"/>
      <c r="R841" s="3"/>
    </row>
    <row r="842" spans="4:18" ht="13.5" customHeight="1">
      <c r="D842" s="4"/>
      <c r="E842" s="3"/>
      <c r="F842" s="3"/>
      <c r="G842" s="3"/>
      <c r="H842" s="3"/>
      <c r="I842" s="3"/>
      <c r="J842" s="3"/>
      <c r="K842" s="3"/>
      <c r="L842" s="3"/>
      <c r="M842" s="3"/>
      <c r="N842" s="3"/>
      <c r="O842" s="3"/>
      <c r="P842" s="3"/>
      <c r="Q842" s="3"/>
      <c r="R842" s="3"/>
    </row>
    <row r="843" spans="4:18" ht="13.5" customHeight="1">
      <c r="D843" s="4"/>
      <c r="E843" s="3"/>
      <c r="F843" s="3"/>
      <c r="G843" s="3"/>
      <c r="H843" s="3"/>
      <c r="I843" s="3"/>
      <c r="J843" s="3"/>
      <c r="K843" s="3"/>
      <c r="L843" s="3"/>
      <c r="M843" s="3"/>
      <c r="N843" s="3"/>
      <c r="O843" s="3"/>
      <c r="P843" s="3"/>
      <c r="Q843" s="3"/>
      <c r="R843" s="3"/>
    </row>
    <row r="844" spans="4:18" ht="13.5" customHeight="1">
      <c r="D844" s="4"/>
      <c r="E844" s="3"/>
      <c r="F844" s="3"/>
      <c r="G844" s="3"/>
      <c r="H844" s="3"/>
      <c r="I844" s="3"/>
      <c r="J844" s="3"/>
      <c r="K844" s="3"/>
      <c r="L844" s="3"/>
      <c r="M844" s="3"/>
      <c r="N844" s="3"/>
      <c r="O844" s="3"/>
      <c r="P844" s="3"/>
      <c r="Q844" s="3"/>
      <c r="R844" s="3"/>
    </row>
    <row r="845" spans="4:18" ht="13.5" customHeight="1">
      <c r="D845" s="4"/>
      <c r="E845" s="3"/>
      <c r="F845" s="3"/>
      <c r="G845" s="3"/>
      <c r="H845" s="3"/>
      <c r="I845" s="3"/>
      <c r="J845" s="3"/>
      <c r="K845" s="3"/>
      <c r="L845" s="3"/>
      <c r="M845" s="3"/>
      <c r="N845" s="3"/>
      <c r="O845" s="3"/>
      <c r="P845" s="3"/>
      <c r="Q845" s="3"/>
      <c r="R845" s="3"/>
    </row>
    <row r="846" spans="4:18" ht="13.5" customHeight="1">
      <c r="D846" s="4"/>
      <c r="E846" s="3"/>
      <c r="F846" s="3"/>
      <c r="G846" s="3"/>
      <c r="H846" s="3"/>
      <c r="I846" s="3"/>
      <c r="J846" s="3"/>
      <c r="K846" s="3"/>
      <c r="L846" s="3"/>
      <c r="M846" s="3"/>
      <c r="N846" s="3"/>
      <c r="O846" s="3"/>
      <c r="P846" s="3"/>
      <c r="Q846" s="3"/>
      <c r="R846" s="3"/>
    </row>
    <row r="847" spans="4:18" ht="13.5" customHeight="1">
      <c r="D847" s="4"/>
      <c r="E847" s="3"/>
      <c r="F847" s="3"/>
      <c r="G847" s="3"/>
      <c r="H847" s="3"/>
      <c r="I847" s="3"/>
      <c r="J847" s="3"/>
      <c r="K847" s="3"/>
      <c r="L847" s="3"/>
      <c r="M847" s="3"/>
      <c r="N847" s="3"/>
      <c r="O847" s="3"/>
      <c r="P847" s="3"/>
      <c r="Q847" s="3"/>
      <c r="R847" s="3"/>
    </row>
    <row r="848" spans="4:18" ht="13.5" customHeight="1">
      <c r="D848" s="4"/>
      <c r="E848" s="3"/>
      <c r="F848" s="3"/>
      <c r="G848" s="3"/>
      <c r="H848" s="3"/>
      <c r="I848" s="3"/>
      <c r="J848" s="3"/>
      <c r="K848" s="3"/>
      <c r="L848" s="3"/>
      <c r="M848" s="3"/>
      <c r="N848" s="3"/>
      <c r="O848" s="3"/>
      <c r="P848" s="3"/>
      <c r="Q848" s="3"/>
      <c r="R848" s="3"/>
    </row>
    <row r="849" spans="4:18" ht="13.5" customHeight="1">
      <c r="D849" s="4"/>
      <c r="E849" s="3"/>
      <c r="F849" s="3"/>
      <c r="G849" s="3"/>
      <c r="H849" s="3"/>
      <c r="I849" s="3"/>
      <c r="J849" s="3"/>
      <c r="K849" s="3"/>
      <c r="L849" s="3"/>
      <c r="M849" s="3"/>
      <c r="N849" s="3"/>
      <c r="O849" s="3"/>
      <c r="P849" s="3"/>
      <c r="Q849" s="3"/>
      <c r="R849" s="3"/>
    </row>
    <row r="850" spans="4:18" ht="13.5" customHeight="1">
      <c r="D850" s="4"/>
      <c r="E850" s="3"/>
      <c r="F850" s="3"/>
      <c r="G850" s="3"/>
      <c r="H850" s="3"/>
      <c r="I850" s="3"/>
      <c r="J850" s="3"/>
      <c r="K850" s="3"/>
      <c r="L850" s="3"/>
      <c r="M850" s="3"/>
      <c r="N850" s="3"/>
      <c r="O850" s="3"/>
      <c r="P850" s="3"/>
      <c r="Q850" s="3"/>
      <c r="R850" s="3"/>
    </row>
    <row r="851" spans="4:18" ht="13.5" customHeight="1">
      <c r="D851" s="4"/>
      <c r="E851" s="3"/>
      <c r="F851" s="3"/>
      <c r="G851" s="3"/>
      <c r="H851" s="3"/>
      <c r="I851" s="3"/>
      <c r="J851" s="3"/>
      <c r="K851" s="3"/>
      <c r="L851" s="3"/>
      <c r="M851" s="3"/>
      <c r="N851" s="3"/>
      <c r="O851" s="3"/>
      <c r="P851" s="3"/>
      <c r="Q851" s="3"/>
      <c r="R851" s="3"/>
    </row>
    <row r="852" spans="4:18" ht="13.5" customHeight="1">
      <c r="D852" s="4"/>
      <c r="E852" s="3"/>
      <c r="F852" s="3"/>
      <c r="G852" s="3"/>
      <c r="H852" s="3"/>
      <c r="I852" s="3"/>
      <c r="J852" s="3"/>
      <c r="K852" s="3"/>
      <c r="L852" s="3"/>
      <c r="M852" s="3"/>
      <c r="N852" s="3"/>
      <c r="O852" s="3"/>
      <c r="P852" s="3"/>
      <c r="Q852" s="3"/>
      <c r="R852" s="3"/>
    </row>
    <row r="853" spans="4:18" ht="13.5" customHeight="1">
      <c r="D853" s="4"/>
      <c r="E853" s="3"/>
      <c r="F853" s="3"/>
      <c r="G853" s="3"/>
      <c r="H853" s="3"/>
      <c r="I853" s="3"/>
      <c r="J853" s="3"/>
      <c r="K853" s="3"/>
      <c r="L853" s="3"/>
      <c r="M853" s="3"/>
      <c r="N853" s="3"/>
      <c r="O853" s="3"/>
      <c r="P853" s="3"/>
      <c r="Q853" s="3"/>
      <c r="R853" s="3"/>
    </row>
    <row r="854" spans="4:18" ht="13.5" customHeight="1">
      <c r="D854" s="4"/>
      <c r="E854" s="3"/>
      <c r="F854" s="3"/>
      <c r="G854" s="3"/>
      <c r="H854" s="3"/>
      <c r="I854" s="3"/>
      <c r="J854" s="3"/>
      <c r="K854" s="3"/>
      <c r="L854" s="3"/>
      <c r="M854" s="3"/>
      <c r="N854" s="3"/>
      <c r="O854" s="3"/>
      <c r="P854" s="3"/>
      <c r="Q854" s="3"/>
      <c r="R854" s="3"/>
    </row>
    <row r="855" spans="4:18" ht="13.5" customHeight="1">
      <c r="D855" s="4"/>
      <c r="E855" s="3"/>
      <c r="F855" s="3"/>
      <c r="G855" s="3"/>
      <c r="H855" s="3"/>
      <c r="I855" s="3"/>
      <c r="J855" s="3"/>
      <c r="K855" s="3"/>
      <c r="L855" s="3"/>
      <c r="M855" s="3"/>
      <c r="N855" s="3"/>
      <c r="O855" s="3"/>
      <c r="P855" s="3"/>
      <c r="Q855" s="3"/>
      <c r="R855" s="3"/>
    </row>
    <row r="856" spans="4:18" ht="13.5" customHeight="1">
      <c r="D856" s="4"/>
      <c r="E856" s="3"/>
      <c r="F856" s="3"/>
      <c r="G856" s="3"/>
      <c r="H856" s="3"/>
      <c r="I856" s="3"/>
      <c r="J856" s="3"/>
      <c r="K856" s="3"/>
      <c r="L856" s="3"/>
      <c r="M856" s="3"/>
      <c r="N856" s="3"/>
      <c r="O856" s="3"/>
      <c r="P856" s="3"/>
      <c r="Q856" s="3"/>
      <c r="R856" s="3"/>
    </row>
    <row r="857" spans="4:18" ht="13.5" customHeight="1">
      <c r="D857" s="4"/>
      <c r="E857" s="3"/>
      <c r="F857" s="3"/>
      <c r="G857" s="3"/>
      <c r="H857" s="3"/>
      <c r="I857" s="3"/>
      <c r="J857" s="3"/>
      <c r="K857" s="3"/>
      <c r="L857" s="3"/>
      <c r="M857" s="3"/>
      <c r="N857" s="3"/>
      <c r="O857" s="3"/>
      <c r="P857" s="3"/>
      <c r="Q857" s="3"/>
      <c r="R857" s="3"/>
    </row>
    <row r="858" spans="4:18" ht="13.5" customHeight="1">
      <c r="D858" s="4"/>
      <c r="E858" s="3"/>
      <c r="F858" s="3"/>
      <c r="G858" s="3"/>
      <c r="H858" s="3"/>
      <c r="I858" s="3"/>
      <c r="J858" s="3"/>
      <c r="K858" s="3"/>
      <c r="L858" s="3"/>
      <c r="M858" s="3"/>
      <c r="N858" s="3"/>
      <c r="O858" s="3"/>
      <c r="P858" s="3"/>
      <c r="Q858" s="3"/>
      <c r="R858" s="3"/>
    </row>
    <row r="859" spans="4:18" ht="13.5" customHeight="1">
      <c r="D859" s="4"/>
      <c r="E859" s="3"/>
      <c r="F859" s="3"/>
      <c r="G859" s="3"/>
      <c r="H859" s="3"/>
      <c r="I859" s="3"/>
      <c r="J859" s="3"/>
      <c r="K859" s="3"/>
      <c r="L859" s="3"/>
      <c r="M859" s="3"/>
      <c r="N859" s="3"/>
      <c r="O859" s="3"/>
      <c r="P859" s="3"/>
      <c r="Q859" s="3"/>
      <c r="R859" s="3"/>
    </row>
    <row r="860" spans="4:18" ht="13.5" customHeight="1">
      <c r="D860" s="4"/>
      <c r="E860" s="3"/>
      <c r="F860" s="3"/>
      <c r="G860" s="3"/>
      <c r="H860" s="3"/>
      <c r="I860" s="3"/>
      <c r="J860" s="3"/>
      <c r="K860" s="3"/>
      <c r="L860" s="3"/>
      <c r="M860" s="3"/>
      <c r="N860" s="3"/>
      <c r="O860" s="3"/>
      <c r="P860" s="3"/>
      <c r="Q860" s="3"/>
      <c r="R860" s="3"/>
    </row>
    <row r="861" spans="4:18" ht="13.5" customHeight="1">
      <c r="D861" s="4"/>
      <c r="E861" s="3"/>
      <c r="F861" s="3"/>
      <c r="G861" s="3"/>
      <c r="H861" s="3"/>
      <c r="I861" s="3"/>
      <c r="J861" s="3"/>
      <c r="K861" s="3"/>
      <c r="L861" s="3"/>
      <c r="M861" s="3"/>
      <c r="N861" s="3"/>
      <c r="O861" s="3"/>
      <c r="P861" s="3"/>
      <c r="Q861" s="3"/>
      <c r="R861" s="3"/>
    </row>
    <row r="862" spans="4:18" ht="13.5" customHeight="1">
      <c r="D862" s="4"/>
      <c r="E862" s="3"/>
      <c r="F862" s="3"/>
      <c r="G862" s="3"/>
      <c r="H862" s="3"/>
      <c r="I862" s="3"/>
      <c r="J862" s="3"/>
      <c r="K862" s="3"/>
      <c r="L862" s="3"/>
      <c r="M862" s="3"/>
      <c r="N862" s="3"/>
      <c r="O862" s="3"/>
      <c r="P862" s="3"/>
      <c r="Q862" s="3"/>
      <c r="R862" s="3"/>
    </row>
    <row r="863" spans="4:18" ht="13.5" customHeight="1">
      <c r="D863" s="4"/>
      <c r="E863" s="3"/>
      <c r="F863" s="3"/>
      <c r="G863" s="3"/>
      <c r="H863" s="3"/>
      <c r="I863" s="3"/>
      <c r="J863" s="3"/>
      <c r="K863" s="3"/>
      <c r="L863" s="3"/>
      <c r="M863" s="3"/>
      <c r="N863" s="3"/>
      <c r="O863" s="3"/>
      <c r="P863" s="3"/>
      <c r="Q863" s="3"/>
      <c r="R863" s="3"/>
    </row>
    <row r="864" spans="4:18" ht="13.5" customHeight="1">
      <c r="D864" s="4"/>
      <c r="E864" s="3"/>
      <c r="F864" s="3"/>
      <c r="G864" s="3"/>
      <c r="H864" s="3"/>
      <c r="I864" s="3"/>
      <c r="J864" s="3"/>
      <c r="K864" s="3"/>
      <c r="L864" s="3"/>
      <c r="M864" s="3"/>
      <c r="N864" s="3"/>
      <c r="O864" s="3"/>
      <c r="P864" s="3"/>
      <c r="Q864" s="3"/>
      <c r="R864" s="3"/>
    </row>
    <row r="865" spans="4:18" ht="13.5" customHeight="1">
      <c r="D865" s="4"/>
      <c r="E865" s="3"/>
      <c r="F865" s="3"/>
      <c r="G865" s="3"/>
      <c r="H865" s="3"/>
      <c r="I865" s="3"/>
      <c r="J865" s="3"/>
      <c r="K865" s="3"/>
      <c r="L865" s="3"/>
      <c r="M865" s="3"/>
      <c r="N865" s="3"/>
      <c r="O865" s="3"/>
      <c r="P865" s="3"/>
      <c r="Q865" s="3"/>
      <c r="R865" s="3"/>
    </row>
    <row r="866" spans="4:18" ht="13.5" customHeight="1">
      <c r="D866" s="4"/>
      <c r="E866" s="3"/>
      <c r="F866" s="3"/>
      <c r="G866" s="3"/>
      <c r="H866" s="3"/>
      <c r="I866" s="3"/>
      <c r="J866" s="3"/>
      <c r="K866" s="3"/>
      <c r="L866" s="3"/>
      <c r="M866" s="3"/>
      <c r="N866" s="3"/>
      <c r="O866" s="3"/>
      <c r="P866" s="3"/>
      <c r="Q866" s="3"/>
      <c r="R866" s="3"/>
    </row>
    <row r="867" spans="4:18" ht="13.5" customHeight="1">
      <c r="D867" s="4"/>
      <c r="E867" s="3"/>
      <c r="F867" s="3"/>
      <c r="G867" s="3"/>
      <c r="H867" s="3"/>
      <c r="I867" s="3"/>
      <c r="J867" s="3"/>
      <c r="K867" s="3"/>
      <c r="L867" s="3"/>
      <c r="M867" s="3"/>
      <c r="N867" s="3"/>
      <c r="O867" s="3"/>
      <c r="P867" s="3"/>
      <c r="Q867" s="3"/>
      <c r="R867" s="3"/>
    </row>
    <row r="868" spans="4:18" ht="13.5" customHeight="1">
      <c r="D868" s="4"/>
      <c r="E868" s="3"/>
      <c r="F868" s="3"/>
      <c r="G868" s="3"/>
      <c r="H868" s="3"/>
      <c r="I868" s="3"/>
      <c r="J868" s="3"/>
      <c r="K868" s="3"/>
      <c r="L868" s="3"/>
      <c r="M868" s="3"/>
      <c r="N868" s="3"/>
      <c r="O868" s="3"/>
      <c r="P868" s="3"/>
      <c r="Q868" s="3"/>
      <c r="R868" s="3"/>
    </row>
    <row r="869" spans="4:18" ht="13.5" customHeight="1">
      <c r="D869" s="4"/>
      <c r="E869" s="3"/>
      <c r="F869" s="3"/>
      <c r="G869" s="3"/>
      <c r="H869" s="3"/>
      <c r="I869" s="3"/>
      <c r="J869" s="3"/>
      <c r="K869" s="3"/>
      <c r="L869" s="3"/>
      <c r="M869" s="3"/>
      <c r="N869" s="3"/>
      <c r="O869" s="3"/>
      <c r="P869" s="3"/>
      <c r="Q869" s="3"/>
      <c r="R869" s="3"/>
    </row>
    <row r="870" spans="4:18" ht="13.5" customHeight="1">
      <c r="D870" s="4"/>
      <c r="E870" s="3"/>
      <c r="F870" s="3"/>
      <c r="G870" s="3"/>
      <c r="H870" s="3"/>
      <c r="I870" s="3"/>
      <c r="J870" s="3"/>
      <c r="K870" s="3"/>
      <c r="L870" s="3"/>
      <c r="M870" s="3"/>
      <c r="N870" s="3"/>
      <c r="O870" s="3"/>
      <c r="P870" s="3"/>
      <c r="Q870" s="3"/>
      <c r="R870" s="3"/>
    </row>
    <row r="871" spans="4:18" ht="13.5" customHeight="1">
      <c r="D871" s="4"/>
      <c r="E871" s="3"/>
      <c r="F871" s="3"/>
      <c r="G871" s="3"/>
      <c r="H871" s="3"/>
      <c r="I871" s="3"/>
      <c r="J871" s="3"/>
      <c r="K871" s="3"/>
      <c r="L871" s="3"/>
      <c r="M871" s="3"/>
      <c r="N871" s="3"/>
      <c r="O871" s="3"/>
      <c r="P871" s="3"/>
      <c r="Q871" s="3"/>
      <c r="R871" s="3"/>
    </row>
    <row r="872" spans="4:18" ht="13.5" customHeight="1">
      <c r="D872" s="4"/>
      <c r="E872" s="3"/>
      <c r="F872" s="3"/>
      <c r="G872" s="3"/>
      <c r="H872" s="3"/>
      <c r="I872" s="3"/>
      <c r="J872" s="3"/>
      <c r="K872" s="3"/>
      <c r="L872" s="3"/>
      <c r="M872" s="3"/>
      <c r="N872" s="3"/>
      <c r="O872" s="3"/>
      <c r="P872" s="3"/>
      <c r="Q872" s="3"/>
      <c r="R872" s="3"/>
    </row>
    <row r="873" spans="4:18" ht="13.5" customHeight="1">
      <c r="D873" s="4"/>
      <c r="E873" s="3"/>
      <c r="F873" s="3"/>
      <c r="G873" s="3"/>
      <c r="H873" s="3"/>
      <c r="I873" s="3"/>
      <c r="J873" s="3"/>
      <c r="K873" s="3"/>
      <c r="L873" s="3"/>
      <c r="M873" s="3"/>
      <c r="N873" s="3"/>
      <c r="O873" s="3"/>
      <c r="P873" s="3"/>
      <c r="Q873" s="3"/>
      <c r="R873" s="3"/>
    </row>
    <row r="874" spans="4:18" ht="13.5" customHeight="1">
      <c r="D874" s="4"/>
      <c r="E874" s="3"/>
      <c r="F874" s="3"/>
      <c r="G874" s="3"/>
      <c r="H874" s="3"/>
      <c r="I874" s="3"/>
      <c r="J874" s="3"/>
      <c r="K874" s="3"/>
      <c r="L874" s="3"/>
      <c r="M874" s="3"/>
      <c r="N874" s="3"/>
      <c r="O874" s="3"/>
      <c r="P874" s="3"/>
      <c r="Q874" s="3"/>
      <c r="R874" s="3"/>
    </row>
    <row r="875" spans="4:18" ht="13.5" customHeight="1">
      <c r="D875" s="4"/>
      <c r="E875" s="3"/>
      <c r="F875" s="3"/>
      <c r="G875" s="3"/>
      <c r="H875" s="3"/>
      <c r="I875" s="3"/>
      <c r="J875" s="3"/>
      <c r="K875" s="3"/>
      <c r="L875" s="3"/>
      <c r="M875" s="3"/>
      <c r="N875" s="3"/>
      <c r="O875" s="3"/>
      <c r="P875" s="3"/>
      <c r="Q875" s="3"/>
      <c r="R875" s="3"/>
    </row>
    <row r="876" spans="4:18" ht="13.5" customHeight="1">
      <c r="D876" s="4"/>
      <c r="E876" s="3"/>
      <c r="F876" s="3"/>
      <c r="G876" s="3"/>
      <c r="H876" s="3"/>
      <c r="I876" s="3"/>
      <c r="J876" s="3"/>
      <c r="K876" s="3"/>
      <c r="L876" s="3"/>
      <c r="M876" s="3"/>
      <c r="N876" s="3"/>
      <c r="O876" s="3"/>
      <c r="P876" s="3"/>
      <c r="Q876" s="3"/>
      <c r="R876" s="3"/>
    </row>
    <row r="877" spans="4:18" ht="13.5" customHeight="1">
      <c r="D877" s="4"/>
      <c r="E877" s="3"/>
      <c r="F877" s="3"/>
      <c r="G877" s="3"/>
      <c r="H877" s="3"/>
      <c r="I877" s="3"/>
      <c r="J877" s="3"/>
      <c r="K877" s="3"/>
      <c r="L877" s="3"/>
      <c r="M877" s="3"/>
      <c r="N877" s="3"/>
      <c r="O877" s="3"/>
      <c r="P877" s="3"/>
      <c r="Q877" s="3"/>
      <c r="R877" s="3"/>
    </row>
    <row r="878" spans="4:18" ht="13.5" customHeight="1">
      <c r="D878" s="4"/>
      <c r="E878" s="3"/>
      <c r="F878" s="3"/>
      <c r="G878" s="3"/>
      <c r="H878" s="3"/>
      <c r="I878" s="3"/>
      <c r="J878" s="3"/>
      <c r="K878" s="3"/>
      <c r="L878" s="3"/>
      <c r="M878" s="3"/>
      <c r="N878" s="3"/>
      <c r="O878" s="3"/>
      <c r="P878" s="3"/>
      <c r="Q878" s="3"/>
      <c r="R878" s="3"/>
    </row>
    <row r="879" spans="4:18" ht="13.5" customHeight="1">
      <c r="D879" s="4"/>
      <c r="E879" s="3"/>
      <c r="F879" s="3"/>
      <c r="G879" s="3"/>
      <c r="H879" s="3"/>
      <c r="I879" s="3"/>
      <c r="J879" s="3"/>
      <c r="K879" s="3"/>
      <c r="L879" s="3"/>
      <c r="M879" s="3"/>
      <c r="N879" s="3"/>
      <c r="O879" s="3"/>
      <c r="P879" s="3"/>
      <c r="Q879" s="3"/>
      <c r="R879" s="3"/>
    </row>
    <row r="880" spans="4:18" ht="13.5" customHeight="1">
      <c r="D880" s="4"/>
      <c r="E880" s="3"/>
      <c r="F880" s="3"/>
      <c r="G880" s="3"/>
      <c r="H880" s="3"/>
      <c r="I880" s="3"/>
      <c r="J880" s="3"/>
      <c r="K880" s="3"/>
      <c r="L880" s="3"/>
      <c r="M880" s="3"/>
      <c r="N880" s="3"/>
      <c r="O880" s="3"/>
      <c r="P880" s="3"/>
      <c r="Q880" s="3"/>
      <c r="R880" s="3"/>
    </row>
    <row r="881" spans="4:18" ht="13.5" customHeight="1">
      <c r="D881" s="4"/>
      <c r="E881" s="3"/>
      <c r="F881" s="3"/>
      <c r="G881" s="3"/>
      <c r="H881" s="3"/>
      <c r="I881" s="3"/>
      <c r="J881" s="3"/>
      <c r="K881" s="3"/>
      <c r="L881" s="3"/>
      <c r="M881" s="3"/>
      <c r="N881" s="3"/>
      <c r="O881" s="3"/>
      <c r="P881" s="3"/>
      <c r="Q881" s="3"/>
      <c r="R881" s="3"/>
    </row>
    <row r="882" spans="4:18" ht="13.5" customHeight="1">
      <c r="D882" s="4"/>
      <c r="E882" s="3"/>
      <c r="F882" s="3"/>
      <c r="G882" s="3"/>
      <c r="H882" s="3"/>
      <c r="I882" s="3"/>
      <c r="J882" s="3"/>
      <c r="K882" s="3"/>
      <c r="L882" s="3"/>
      <c r="M882" s="3"/>
      <c r="N882" s="3"/>
      <c r="O882" s="3"/>
      <c r="P882" s="3"/>
      <c r="Q882" s="3"/>
      <c r="R882" s="3"/>
    </row>
    <row r="883" spans="4:18" ht="13.5" customHeight="1">
      <c r="D883" s="4"/>
      <c r="E883" s="3"/>
      <c r="F883" s="3"/>
      <c r="G883" s="3"/>
      <c r="H883" s="3"/>
      <c r="I883" s="3"/>
      <c r="J883" s="3"/>
      <c r="K883" s="3"/>
      <c r="L883" s="3"/>
      <c r="M883" s="3"/>
      <c r="N883" s="3"/>
      <c r="O883" s="3"/>
      <c r="P883" s="3"/>
      <c r="Q883" s="3"/>
      <c r="R883" s="3"/>
    </row>
    <row r="884" spans="4:18" ht="13.5" customHeight="1">
      <c r="D884" s="4"/>
      <c r="E884" s="3"/>
      <c r="F884" s="3"/>
      <c r="G884" s="3"/>
      <c r="H884" s="3"/>
      <c r="I884" s="3"/>
      <c r="J884" s="3"/>
      <c r="K884" s="3"/>
      <c r="L884" s="3"/>
      <c r="M884" s="3"/>
      <c r="N884" s="3"/>
      <c r="O884" s="3"/>
      <c r="P884" s="3"/>
      <c r="Q884" s="3"/>
      <c r="R884" s="3"/>
    </row>
    <row r="885" spans="4:18" ht="13.5" customHeight="1">
      <c r="D885" s="4"/>
      <c r="E885" s="3"/>
      <c r="F885" s="3"/>
      <c r="G885" s="3"/>
      <c r="H885" s="3"/>
      <c r="I885" s="3"/>
      <c r="J885" s="3"/>
      <c r="K885" s="3"/>
      <c r="L885" s="3"/>
      <c r="M885" s="3"/>
      <c r="N885" s="3"/>
      <c r="O885" s="3"/>
      <c r="P885" s="3"/>
      <c r="Q885" s="3"/>
      <c r="R885" s="3"/>
    </row>
    <row r="886" spans="4:18" ht="13.5" customHeight="1">
      <c r="D886" s="4"/>
      <c r="E886" s="3"/>
      <c r="F886" s="3"/>
      <c r="G886" s="3"/>
      <c r="H886" s="3"/>
      <c r="I886" s="3"/>
      <c r="J886" s="3"/>
      <c r="K886" s="3"/>
      <c r="L886" s="3"/>
      <c r="M886" s="3"/>
      <c r="N886" s="3"/>
      <c r="O886" s="3"/>
      <c r="P886" s="3"/>
      <c r="Q886" s="3"/>
      <c r="R886" s="3"/>
    </row>
    <row r="887" spans="4:18" ht="13.5" customHeight="1">
      <c r="D887" s="4"/>
      <c r="E887" s="3"/>
      <c r="F887" s="3"/>
      <c r="G887" s="3"/>
      <c r="H887" s="3"/>
      <c r="I887" s="3"/>
      <c r="J887" s="3"/>
      <c r="K887" s="3"/>
      <c r="L887" s="3"/>
      <c r="M887" s="3"/>
      <c r="N887" s="3"/>
      <c r="O887" s="3"/>
      <c r="P887" s="3"/>
      <c r="Q887" s="3"/>
      <c r="R887" s="3"/>
    </row>
    <row r="888" spans="4:18" ht="13.5" customHeight="1">
      <c r="D888" s="4"/>
      <c r="E888" s="3"/>
      <c r="F888" s="3"/>
      <c r="G888" s="3"/>
      <c r="H888" s="3"/>
      <c r="I888" s="3"/>
      <c r="J888" s="3"/>
      <c r="K888" s="3"/>
      <c r="L888" s="3"/>
      <c r="M888" s="3"/>
      <c r="N888" s="3"/>
      <c r="O888" s="3"/>
      <c r="P888" s="3"/>
      <c r="Q888" s="3"/>
      <c r="R888" s="3"/>
    </row>
    <row r="889" spans="4:18" ht="13.5" customHeight="1">
      <c r="D889" s="4"/>
      <c r="E889" s="3"/>
      <c r="F889" s="3"/>
      <c r="G889" s="3"/>
      <c r="H889" s="3"/>
      <c r="I889" s="3"/>
      <c r="J889" s="3"/>
      <c r="K889" s="3"/>
      <c r="L889" s="3"/>
      <c r="M889" s="3"/>
      <c r="N889" s="3"/>
      <c r="O889" s="3"/>
      <c r="P889" s="3"/>
      <c r="Q889" s="3"/>
      <c r="R889" s="3"/>
    </row>
    <row r="890" spans="4:18" ht="13.5" customHeight="1">
      <c r="D890" s="4"/>
      <c r="E890" s="3"/>
      <c r="F890" s="3"/>
      <c r="G890" s="3"/>
      <c r="H890" s="3"/>
      <c r="I890" s="3"/>
      <c r="J890" s="3"/>
      <c r="K890" s="3"/>
      <c r="L890" s="3"/>
      <c r="M890" s="3"/>
      <c r="N890" s="3"/>
      <c r="O890" s="3"/>
      <c r="P890" s="3"/>
      <c r="Q890" s="3"/>
      <c r="R890" s="3"/>
    </row>
    <row r="891" spans="4:18" ht="13.5" customHeight="1">
      <c r="D891" s="4"/>
      <c r="E891" s="3"/>
      <c r="F891" s="3"/>
      <c r="G891" s="3"/>
      <c r="H891" s="3"/>
      <c r="I891" s="3"/>
      <c r="J891" s="3"/>
      <c r="K891" s="3"/>
      <c r="L891" s="3"/>
      <c r="M891" s="3"/>
      <c r="N891" s="3"/>
      <c r="O891" s="3"/>
      <c r="P891" s="3"/>
      <c r="Q891" s="3"/>
      <c r="R891" s="3"/>
    </row>
    <row r="892" spans="4:18" ht="13.5" customHeight="1">
      <c r="D892" s="4"/>
      <c r="E892" s="3"/>
      <c r="F892" s="3"/>
      <c r="G892" s="3"/>
      <c r="H892" s="3"/>
      <c r="I892" s="3"/>
      <c r="J892" s="3"/>
      <c r="K892" s="3"/>
      <c r="L892" s="3"/>
      <c r="M892" s="3"/>
      <c r="N892" s="3"/>
      <c r="O892" s="3"/>
      <c r="P892" s="3"/>
      <c r="Q892" s="3"/>
      <c r="R892" s="3"/>
    </row>
    <row r="893" spans="4:18" ht="13.5" customHeight="1">
      <c r="D893" s="4"/>
      <c r="E893" s="3"/>
      <c r="F893" s="3"/>
      <c r="G893" s="3"/>
      <c r="H893" s="3"/>
      <c r="I893" s="3"/>
      <c r="J893" s="3"/>
      <c r="K893" s="3"/>
      <c r="L893" s="3"/>
      <c r="M893" s="3"/>
      <c r="N893" s="3"/>
      <c r="O893" s="3"/>
      <c r="P893" s="3"/>
      <c r="Q893" s="3"/>
      <c r="R893" s="3"/>
    </row>
    <row r="894" spans="4:18" ht="13.5" customHeight="1">
      <c r="D894" s="4"/>
      <c r="E894" s="3"/>
      <c r="F894" s="3"/>
      <c r="G894" s="3"/>
      <c r="H894" s="3"/>
      <c r="I894" s="3"/>
      <c r="J894" s="3"/>
      <c r="K894" s="3"/>
      <c r="L894" s="3"/>
      <c r="M894" s="3"/>
      <c r="N894" s="3"/>
      <c r="O894" s="3"/>
      <c r="P894" s="3"/>
      <c r="Q894" s="3"/>
      <c r="R894" s="3"/>
    </row>
    <row r="895" spans="4:18" ht="13.5" customHeight="1">
      <c r="D895" s="4"/>
      <c r="E895" s="3"/>
      <c r="F895" s="3"/>
      <c r="G895" s="3"/>
      <c r="H895" s="3"/>
      <c r="I895" s="3"/>
      <c r="J895" s="3"/>
      <c r="K895" s="3"/>
      <c r="L895" s="3"/>
      <c r="M895" s="3"/>
      <c r="N895" s="3"/>
      <c r="O895" s="3"/>
      <c r="P895" s="3"/>
      <c r="Q895" s="3"/>
      <c r="R895" s="3"/>
    </row>
    <row r="896" spans="4:18" ht="13.5" customHeight="1">
      <c r="D896" s="4"/>
      <c r="E896" s="3"/>
      <c r="F896" s="3"/>
      <c r="G896" s="3"/>
      <c r="H896" s="3"/>
      <c r="I896" s="3"/>
      <c r="J896" s="3"/>
      <c r="K896" s="3"/>
      <c r="L896" s="3"/>
      <c r="M896" s="3"/>
      <c r="N896" s="3"/>
      <c r="O896" s="3"/>
      <c r="P896" s="3"/>
      <c r="Q896" s="3"/>
      <c r="R896" s="3"/>
    </row>
    <row r="897" spans="4:18" ht="13.5" customHeight="1">
      <c r="D897" s="4"/>
      <c r="E897" s="3"/>
      <c r="F897" s="3"/>
      <c r="G897" s="3"/>
      <c r="H897" s="3"/>
      <c r="I897" s="3"/>
      <c r="J897" s="3"/>
      <c r="K897" s="3"/>
      <c r="L897" s="3"/>
      <c r="M897" s="3"/>
      <c r="N897" s="3"/>
      <c r="O897" s="3"/>
      <c r="P897" s="3"/>
      <c r="Q897" s="3"/>
      <c r="R897" s="3"/>
    </row>
    <row r="898" spans="4:18" ht="13.5" customHeight="1">
      <c r="D898" s="4"/>
      <c r="E898" s="3"/>
      <c r="F898" s="3"/>
      <c r="G898" s="3"/>
      <c r="H898" s="3"/>
      <c r="I898" s="3"/>
      <c r="J898" s="3"/>
      <c r="K898" s="3"/>
      <c r="L898" s="3"/>
      <c r="M898" s="3"/>
      <c r="N898" s="3"/>
      <c r="O898" s="3"/>
      <c r="P898" s="3"/>
      <c r="Q898" s="3"/>
      <c r="R898" s="3"/>
    </row>
    <row r="899" spans="4:18" ht="13.5" customHeight="1">
      <c r="D899" s="4"/>
      <c r="E899" s="3"/>
      <c r="F899" s="3"/>
      <c r="G899" s="3"/>
      <c r="H899" s="3"/>
      <c r="I899" s="3"/>
      <c r="J899" s="3"/>
      <c r="K899" s="3"/>
      <c r="L899" s="3"/>
      <c r="M899" s="3"/>
      <c r="N899" s="3"/>
      <c r="O899" s="3"/>
      <c r="P899" s="3"/>
      <c r="Q899" s="3"/>
      <c r="R899" s="3"/>
    </row>
    <row r="900" spans="4:18" ht="13.5" customHeight="1">
      <c r="D900" s="4"/>
      <c r="E900" s="3"/>
      <c r="F900" s="3"/>
      <c r="G900" s="3"/>
      <c r="H900" s="3"/>
      <c r="I900" s="3"/>
      <c r="J900" s="3"/>
      <c r="K900" s="3"/>
      <c r="L900" s="3"/>
      <c r="M900" s="3"/>
      <c r="N900" s="3"/>
      <c r="O900" s="3"/>
      <c r="P900" s="3"/>
      <c r="Q900" s="3"/>
      <c r="R900" s="3"/>
    </row>
    <row r="901" spans="4:18" ht="13.5" customHeight="1">
      <c r="D901" s="4"/>
      <c r="E901" s="3"/>
      <c r="F901" s="3"/>
      <c r="G901" s="3"/>
      <c r="H901" s="3"/>
      <c r="I901" s="3"/>
      <c r="J901" s="3"/>
      <c r="K901" s="3"/>
      <c r="L901" s="3"/>
      <c r="M901" s="3"/>
      <c r="N901" s="3"/>
      <c r="O901" s="3"/>
      <c r="P901" s="3"/>
      <c r="Q901" s="3"/>
      <c r="R901" s="3"/>
    </row>
    <row r="902" spans="4:18" ht="13.5" customHeight="1">
      <c r="D902" s="4"/>
      <c r="E902" s="3"/>
      <c r="F902" s="3"/>
      <c r="G902" s="3"/>
      <c r="H902" s="3"/>
      <c r="I902" s="3"/>
      <c r="J902" s="3"/>
      <c r="K902" s="3"/>
      <c r="L902" s="3"/>
      <c r="M902" s="3"/>
      <c r="N902" s="3"/>
      <c r="O902" s="3"/>
      <c r="P902" s="3"/>
      <c r="Q902" s="3"/>
      <c r="R902" s="3"/>
    </row>
    <row r="903" spans="4:18" ht="13.5" customHeight="1">
      <c r="D903" s="4"/>
      <c r="E903" s="3"/>
      <c r="F903" s="3"/>
      <c r="G903" s="3"/>
      <c r="H903" s="3"/>
      <c r="I903" s="3"/>
      <c r="J903" s="3"/>
      <c r="K903" s="3"/>
      <c r="L903" s="3"/>
      <c r="M903" s="3"/>
      <c r="N903" s="3"/>
      <c r="O903" s="3"/>
      <c r="P903" s="3"/>
      <c r="Q903" s="3"/>
      <c r="R903" s="3"/>
    </row>
    <row r="904" spans="4:18" ht="13.5" customHeight="1">
      <c r="D904" s="4"/>
      <c r="E904" s="3"/>
      <c r="F904" s="3"/>
      <c r="G904" s="3"/>
      <c r="H904" s="3"/>
      <c r="I904" s="3"/>
      <c r="J904" s="3"/>
      <c r="K904" s="3"/>
      <c r="L904" s="3"/>
      <c r="M904" s="3"/>
      <c r="N904" s="3"/>
      <c r="O904" s="3"/>
      <c r="P904" s="3"/>
      <c r="Q904" s="3"/>
      <c r="R904" s="3"/>
    </row>
    <row r="905" spans="4:18" ht="13.5" customHeight="1">
      <c r="D905" s="4"/>
      <c r="E905" s="3"/>
      <c r="F905" s="3"/>
      <c r="G905" s="3"/>
      <c r="H905" s="3"/>
      <c r="I905" s="3"/>
      <c r="J905" s="3"/>
      <c r="K905" s="3"/>
      <c r="L905" s="3"/>
      <c r="M905" s="3"/>
      <c r="N905" s="3"/>
      <c r="O905" s="3"/>
      <c r="P905" s="3"/>
      <c r="Q905" s="3"/>
      <c r="R905" s="3"/>
    </row>
    <row r="906" spans="4:18" ht="13.5" customHeight="1">
      <c r="D906" s="4"/>
      <c r="E906" s="3"/>
      <c r="F906" s="3"/>
      <c r="G906" s="3"/>
      <c r="H906" s="3"/>
      <c r="I906" s="3"/>
      <c r="J906" s="3"/>
      <c r="K906" s="3"/>
      <c r="L906" s="3"/>
      <c r="M906" s="3"/>
      <c r="N906" s="3"/>
      <c r="O906" s="3"/>
      <c r="P906" s="3"/>
      <c r="Q906" s="3"/>
      <c r="R906" s="3"/>
    </row>
    <row r="907" spans="4:18" ht="13.5" customHeight="1">
      <c r="D907" s="4"/>
      <c r="E907" s="3"/>
      <c r="F907" s="3"/>
      <c r="G907" s="3"/>
      <c r="H907" s="3"/>
      <c r="I907" s="3"/>
      <c r="J907" s="3"/>
      <c r="K907" s="3"/>
      <c r="L907" s="3"/>
      <c r="M907" s="3"/>
      <c r="N907" s="3"/>
      <c r="O907" s="3"/>
      <c r="P907" s="3"/>
      <c r="Q907" s="3"/>
      <c r="R907" s="3"/>
    </row>
    <row r="908" spans="4:18" ht="13.5" customHeight="1">
      <c r="D908" s="4"/>
      <c r="E908" s="3"/>
      <c r="F908" s="3"/>
      <c r="G908" s="3"/>
      <c r="H908" s="3"/>
      <c r="I908" s="3"/>
      <c r="J908" s="3"/>
      <c r="K908" s="3"/>
      <c r="L908" s="3"/>
      <c r="M908" s="3"/>
      <c r="N908" s="3"/>
      <c r="O908" s="3"/>
      <c r="P908" s="3"/>
      <c r="Q908" s="3"/>
      <c r="R908" s="3"/>
    </row>
    <row r="909" spans="4:18" ht="13.5" customHeight="1">
      <c r="D909" s="4"/>
      <c r="E909" s="3"/>
      <c r="F909" s="3"/>
      <c r="G909" s="3"/>
      <c r="H909" s="3"/>
      <c r="I909" s="3"/>
      <c r="J909" s="3"/>
      <c r="K909" s="3"/>
      <c r="L909" s="3"/>
      <c r="M909" s="3"/>
      <c r="N909" s="3"/>
      <c r="O909" s="3"/>
      <c r="P909" s="3"/>
      <c r="Q909" s="3"/>
      <c r="R909" s="3"/>
    </row>
    <row r="910" spans="4:18" ht="13.5" customHeight="1">
      <c r="D910" s="4"/>
      <c r="E910" s="3"/>
      <c r="F910" s="3"/>
      <c r="G910" s="3"/>
      <c r="H910" s="3"/>
      <c r="I910" s="3"/>
      <c r="J910" s="3"/>
      <c r="K910" s="3"/>
      <c r="L910" s="3"/>
      <c r="M910" s="3"/>
      <c r="N910" s="3"/>
      <c r="O910" s="3"/>
      <c r="P910" s="3"/>
      <c r="Q910" s="3"/>
      <c r="R910" s="3"/>
    </row>
    <row r="911" spans="4:18" ht="13.5" customHeight="1">
      <c r="D911" s="4"/>
      <c r="E911" s="3"/>
      <c r="F911" s="3"/>
      <c r="G911" s="3"/>
      <c r="H911" s="3"/>
      <c r="I911" s="3"/>
      <c r="J911" s="3"/>
      <c r="K911" s="3"/>
      <c r="L911" s="3"/>
      <c r="M911" s="3"/>
      <c r="N911" s="3"/>
      <c r="O911" s="3"/>
      <c r="P911" s="3"/>
      <c r="Q911" s="3"/>
      <c r="R911" s="3"/>
    </row>
    <row r="912" spans="4:18" ht="13.5" customHeight="1">
      <c r="D912" s="4"/>
      <c r="E912" s="3"/>
      <c r="F912" s="3"/>
      <c r="G912" s="3"/>
      <c r="H912" s="3"/>
      <c r="I912" s="3"/>
      <c r="J912" s="3"/>
      <c r="K912" s="3"/>
      <c r="L912" s="3"/>
      <c r="M912" s="3"/>
      <c r="N912" s="3"/>
      <c r="O912" s="3"/>
      <c r="P912" s="3"/>
      <c r="Q912" s="3"/>
      <c r="R912" s="3"/>
    </row>
    <row r="913" spans="4:18" ht="13.5" customHeight="1">
      <c r="D913" s="4"/>
      <c r="E913" s="3"/>
      <c r="F913" s="3"/>
      <c r="G913" s="3"/>
      <c r="H913" s="3"/>
      <c r="I913" s="3"/>
      <c r="J913" s="3"/>
      <c r="K913" s="3"/>
      <c r="L913" s="3"/>
      <c r="M913" s="3"/>
      <c r="N913" s="3"/>
      <c r="O913" s="3"/>
      <c r="P913" s="3"/>
      <c r="Q913" s="3"/>
      <c r="R913" s="3"/>
    </row>
    <row r="914" spans="4:18" ht="13.5" customHeight="1">
      <c r="D914" s="4"/>
      <c r="E914" s="3"/>
      <c r="F914" s="3"/>
      <c r="G914" s="3"/>
      <c r="H914" s="3"/>
      <c r="I914" s="3"/>
      <c r="J914" s="3"/>
      <c r="K914" s="3"/>
      <c r="L914" s="3"/>
      <c r="M914" s="3"/>
      <c r="N914" s="3"/>
      <c r="O914" s="3"/>
      <c r="P914" s="3"/>
      <c r="Q914" s="3"/>
      <c r="R914" s="3"/>
    </row>
    <row r="915" spans="4:18" ht="13.5" customHeight="1">
      <c r="D915" s="4"/>
      <c r="E915" s="3"/>
      <c r="F915" s="3"/>
      <c r="G915" s="3"/>
      <c r="H915" s="3"/>
      <c r="I915" s="3"/>
      <c r="J915" s="3"/>
      <c r="K915" s="3"/>
      <c r="L915" s="3"/>
      <c r="M915" s="3"/>
      <c r="N915" s="3"/>
      <c r="O915" s="3"/>
      <c r="P915" s="3"/>
      <c r="Q915" s="3"/>
      <c r="R915" s="3"/>
    </row>
    <row r="916" spans="4:18" ht="13.5" customHeight="1">
      <c r="D916" s="4"/>
      <c r="E916" s="3"/>
      <c r="F916" s="3"/>
      <c r="G916" s="3"/>
      <c r="H916" s="3"/>
      <c r="I916" s="3"/>
      <c r="J916" s="3"/>
      <c r="K916" s="3"/>
      <c r="L916" s="3"/>
      <c r="M916" s="3"/>
      <c r="N916" s="3"/>
      <c r="O916" s="3"/>
      <c r="P916" s="3"/>
      <c r="Q916" s="3"/>
      <c r="R916" s="3"/>
    </row>
    <row r="917" spans="4:18" ht="13.5" customHeight="1">
      <c r="D917" s="4"/>
      <c r="E917" s="3"/>
      <c r="F917" s="3"/>
      <c r="G917" s="3"/>
      <c r="H917" s="3"/>
      <c r="I917" s="3"/>
      <c r="J917" s="3"/>
      <c r="K917" s="3"/>
      <c r="L917" s="3"/>
      <c r="M917" s="3"/>
      <c r="N917" s="3"/>
      <c r="O917" s="3"/>
      <c r="P917" s="3"/>
      <c r="Q917" s="3"/>
      <c r="R917" s="3"/>
    </row>
    <row r="918" spans="4:18" ht="13.5" customHeight="1">
      <c r="D918" s="4"/>
      <c r="E918" s="3"/>
      <c r="F918" s="3"/>
      <c r="G918" s="3"/>
      <c r="H918" s="3"/>
      <c r="I918" s="3"/>
      <c r="J918" s="3"/>
      <c r="K918" s="3"/>
      <c r="L918" s="3"/>
      <c r="M918" s="3"/>
      <c r="N918" s="3"/>
      <c r="O918" s="3"/>
      <c r="P918" s="3"/>
      <c r="Q918" s="3"/>
      <c r="R918" s="3"/>
    </row>
    <row r="919" spans="4:18" ht="13.5" customHeight="1">
      <c r="D919" s="4"/>
      <c r="E919" s="3"/>
      <c r="F919" s="3"/>
      <c r="G919" s="3"/>
      <c r="H919" s="3"/>
      <c r="I919" s="3"/>
      <c r="J919" s="3"/>
      <c r="K919" s="3"/>
      <c r="L919" s="3"/>
      <c r="M919" s="3"/>
      <c r="N919" s="3"/>
      <c r="O919" s="3"/>
      <c r="P919" s="3"/>
      <c r="Q919" s="3"/>
      <c r="R919" s="3"/>
    </row>
    <row r="920" spans="4:18" ht="13.5" customHeight="1">
      <c r="D920" s="4"/>
      <c r="E920" s="3"/>
      <c r="F920" s="3"/>
      <c r="G920" s="3"/>
      <c r="H920" s="3"/>
      <c r="I920" s="3"/>
      <c r="J920" s="3"/>
      <c r="K920" s="3"/>
      <c r="L920" s="3"/>
      <c r="M920" s="3"/>
      <c r="N920" s="3"/>
      <c r="O920" s="3"/>
      <c r="P920" s="3"/>
      <c r="Q920" s="3"/>
      <c r="R920" s="3"/>
    </row>
    <row r="921" spans="4:18" ht="13.5" customHeight="1">
      <c r="D921" s="4"/>
      <c r="E921" s="3"/>
      <c r="F921" s="3"/>
      <c r="G921" s="3"/>
      <c r="H921" s="3"/>
      <c r="I921" s="3"/>
      <c r="J921" s="3"/>
      <c r="K921" s="3"/>
      <c r="L921" s="3"/>
      <c r="M921" s="3"/>
      <c r="N921" s="3"/>
      <c r="O921" s="3"/>
      <c r="P921" s="3"/>
      <c r="Q921" s="3"/>
      <c r="R921" s="3"/>
    </row>
    <row r="922" spans="4:18" ht="13.5" customHeight="1">
      <c r="D922" s="4"/>
      <c r="E922" s="3"/>
      <c r="F922" s="3"/>
      <c r="G922" s="3"/>
      <c r="H922" s="3"/>
      <c r="I922" s="3"/>
      <c r="J922" s="3"/>
      <c r="K922" s="3"/>
      <c r="L922" s="3"/>
      <c r="M922" s="3"/>
      <c r="N922" s="3"/>
      <c r="O922" s="3"/>
      <c r="P922" s="3"/>
      <c r="Q922" s="3"/>
      <c r="R922" s="3"/>
    </row>
    <row r="923" spans="4:18" ht="13.5" customHeight="1">
      <c r="D923" s="4"/>
      <c r="E923" s="3"/>
      <c r="F923" s="3"/>
      <c r="G923" s="3"/>
      <c r="H923" s="3"/>
      <c r="I923" s="3"/>
      <c r="J923" s="3"/>
      <c r="K923" s="3"/>
      <c r="L923" s="3"/>
      <c r="M923" s="3"/>
      <c r="N923" s="3"/>
      <c r="O923" s="3"/>
      <c r="P923" s="3"/>
      <c r="Q923" s="3"/>
      <c r="R923" s="3"/>
    </row>
    <row r="924" spans="4:18" ht="13.5" customHeight="1">
      <c r="D924" s="4"/>
      <c r="E924" s="3"/>
      <c r="F924" s="3"/>
      <c r="G924" s="3"/>
      <c r="H924" s="3"/>
      <c r="I924" s="3"/>
      <c r="J924" s="3"/>
      <c r="K924" s="3"/>
      <c r="L924" s="3"/>
      <c r="M924" s="3"/>
      <c r="N924" s="3"/>
      <c r="O924" s="3"/>
      <c r="P924" s="3"/>
      <c r="Q924" s="3"/>
      <c r="R924" s="3"/>
    </row>
    <row r="925" spans="4:18" ht="13.5" customHeight="1">
      <c r="D925" s="4"/>
      <c r="E925" s="3"/>
      <c r="F925" s="3"/>
      <c r="G925" s="3"/>
      <c r="H925" s="3"/>
      <c r="I925" s="3"/>
      <c r="J925" s="3"/>
      <c r="K925" s="3"/>
      <c r="L925" s="3"/>
      <c r="M925" s="3"/>
      <c r="N925" s="3"/>
      <c r="O925" s="3"/>
      <c r="P925" s="3"/>
      <c r="Q925" s="3"/>
      <c r="R925" s="3"/>
    </row>
    <row r="926" spans="4:18" ht="13.5" customHeight="1">
      <c r="D926" s="4"/>
      <c r="E926" s="3"/>
      <c r="F926" s="3"/>
      <c r="G926" s="3"/>
      <c r="H926" s="3"/>
      <c r="I926" s="3"/>
      <c r="J926" s="3"/>
      <c r="K926" s="3"/>
      <c r="L926" s="3"/>
      <c r="M926" s="3"/>
      <c r="N926" s="3"/>
      <c r="O926" s="3"/>
      <c r="P926" s="3"/>
      <c r="Q926" s="3"/>
      <c r="R926" s="3"/>
    </row>
    <row r="927" spans="4:18" ht="13.5" customHeight="1">
      <c r="D927" s="4"/>
      <c r="E927" s="3"/>
      <c r="F927" s="3"/>
      <c r="G927" s="3"/>
      <c r="H927" s="3"/>
      <c r="I927" s="3"/>
      <c r="J927" s="3"/>
      <c r="K927" s="3"/>
      <c r="L927" s="3"/>
      <c r="M927" s="3"/>
      <c r="N927" s="3"/>
      <c r="O927" s="3"/>
      <c r="P927" s="3"/>
      <c r="Q927" s="3"/>
      <c r="R927" s="3"/>
    </row>
    <row r="928" spans="4:18" ht="13.5" customHeight="1">
      <c r="D928" s="4"/>
      <c r="E928" s="3"/>
      <c r="F928" s="3"/>
      <c r="G928" s="3"/>
      <c r="H928" s="3"/>
      <c r="I928" s="3"/>
      <c r="J928" s="3"/>
      <c r="K928" s="3"/>
      <c r="L928" s="3"/>
      <c r="M928" s="3"/>
      <c r="N928" s="3"/>
      <c r="O928" s="3"/>
      <c r="P928" s="3"/>
      <c r="Q928" s="3"/>
      <c r="R928" s="3"/>
    </row>
    <row r="929" spans="4:18" ht="13.5" customHeight="1">
      <c r="D929" s="4"/>
      <c r="E929" s="3"/>
      <c r="F929" s="3"/>
      <c r="G929" s="3"/>
      <c r="H929" s="3"/>
      <c r="I929" s="3"/>
      <c r="J929" s="3"/>
      <c r="K929" s="3"/>
      <c r="L929" s="3"/>
      <c r="M929" s="3"/>
      <c r="N929" s="3"/>
      <c r="O929" s="3"/>
      <c r="P929" s="3"/>
      <c r="Q929" s="3"/>
      <c r="R929" s="3"/>
    </row>
    <row r="930" spans="4:18" ht="13.5" customHeight="1">
      <c r="D930" s="4"/>
      <c r="E930" s="3"/>
      <c r="F930" s="3"/>
      <c r="G930" s="3"/>
      <c r="H930" s="3"/>
      <c r="I930" s="3"/>
      <c r="J930" s="3"/>
      <c r="K930" s="3"/>
      <c r="L930" s="3"/>
      <c r="M930" s="3"/>
      <c r="N930" s="3"/>
      <c r="O930" s="3"/>
      <c r="P930" s="3"/>
      <c r="Q930" s="3"/>
      <c r="R930" s="3"/>
    </row>
    <row r="931" spans="4:18" ht="13.5" customHeight="1">
      <c r="D931" s="4"/>
      <c r="E931" s="3"/>
      <c r="F931" s="3"/>
      <c r="G931" s="3"/>
      <c r="H931" s="3"/>
      <c r="I931" s="3"/>
      <c r="J931" s="3"/>
      <c r="K931" s="3"/>
      <c r="L931" s="3"/>
      <c r="M931" s="3"/>
      <c r="N931" s="3"/>
      <c r="O931" s="3"/>
      <c r="P931" s="3"/>
      <c r="Q931" s="3"/>
      <c r="R931" s="3"/>
    </row>
    <row r="932" spans="4:18" ht="13.5" customHeight="1">
      <c r="D932" s="4"/>
      <c r="E932" s="3"/>
      <c r="F932" s="3"/>
      <c r="G932" s="3"/>
      <c r="H932" s="3"/>
      <c r="I932" s="3"/>
      <c r="J932" s="3"/>
      <c r="K932" s="3"/>
      <c r="L932" s="3"/>
      <c r="M932" s="3"/>
      <c r="N932" s="3"/>
      <c r="O932" s="3"/>
      <c r="P932" s="3"/>
      <c r="Q932" s="3"/>
      <c r="R932" s="3"/>
    </row>
    <row r="933" spans="4:18" ht="13.5" customHeight="1">
      <c r="D933" s="4"/>
      <c r="E933" s="3"/>
      <c r="F933" s="3"/>
      <c r="G933" s="3"/>
      <c r="H933" s="3"/>
      <c r="I933" s="3"/>
      <c r="J933" s="3"/>
      <c r="K933" s="3"/>
      <c r="L933" s="3"/>
      <c r="M933" s="3"/>
      <c r="N933" s="3"/>
      <c r="O933" s="3"/>
      <c r="P933" s="3"/>
      <c r="Q933" s="3"/>
      <c r="R933" s="3"/>
    </row>
    <row r="934" spans="4:18" ht="13.5" customHeight="1">
      <c r="D934" s="4"/>
      <c r="E934" s="3"/>
      <c r="F934" s="3"/>
      <c r="G934" s="3"/>
      <c r="H934" s="3"/>
      <c r="I934" s="3"/>
      <c r="J934" s="3"/>
      <c r="K934" s="3"/>
      <c r="L934" s="3"/>
      <c r="M934" s="3"/>
      <c r="N934" s="3"/>
      <c r="O934" s="3"/>
      <c r="P934" s="3"/>
      <c r="Q934" s="3"/>
      <c r="R934" s="3"/>
    </row>
    <row r="935" spans="4:18" ht="13.5" customHeight="1">
      <c r="D935" s="4"/>
      <c r="E935" s="3"/>
      <c r="F935" s="3"/>
      <c r="G935" s="3"/>
      <c r="H935" s="3"/>
      <c r="I935" s="3"/>
      <c r="J935" s="3"/>
      <c r="K935" s="3"/>
      <c r="L935" s="3"/>
      <c r="M935" s="3"/>
      <c r="N935" s="3"/>
      <c r="O935" s="3"/>
      <c r="P935" s="3"/>
      <c r="Q935" s="3"/>
      <c r="R935" s="3"/>
    </row>
    <row r="936" spans="4:18" ht="13.5" customHeight="1">
      <c r="D936" s="4"/>
      <c r="E936" s="3"/>
      <c r="F936" s="3"/>
      <c r="G936" s="3"/>
      <c r="H936" s="3"/>
      <c r="I936" s="3"/>
      <c r="J936" s="3"/>
      <c r="K936" s="3"/>
      <c r="L936" s="3"/>
      <c r="M936" s="3"/>
      <c r="N936" s="3"/>
      <c r="O936" s="3"/>
      <c r="P936" s="3"/>
      <c r="Q936" s="3"/>
      <c r="R936" s="3"/>
    </row>
    <row r="937" spans="4:18" ht="13.5" customHeight="1">
      <c r="D937" s="4"/>
      <c r="E937" s="3"/>
      <c r="F937" s="3"/>
      <c r="G937" s="3"/>
      <c r="H937" s="3"/>
      <c r="I937" s="3"/>
      <c r="J937" s="3"/>
      <c r="K937" s="3"/>
      <c r="L937" s="3"/>
      <c r="M937" s="3"/>
      <c r="N937" s="3"/>
      <c r="O937" s="3"/>
      <c r="P937" s="3"/>
      <c r="Q937" s="3"/>
      <c r="R937" s="3"/>
    </row>
    <row r="938" spans="4:18" ht="13.5" customHeight="1">
      <c r="D938" s="4"/>
      <c r="E938" s="3"/>
      <c r="F938" s="3"/>
      <c r="G938" s="3"/>
      <c r="H938" s="3"/>
      <c r="I938" s="3"/>
      <c r="J938" s="3"/>
      <c r="K938" s="3"/>
      <c r="L938" s="3"/>
      <c r="M938" s="3"/>
      <c r="N938" s="3"/>
      <c r="O938" s="3"/>
      <c r="P938" s="3"/>
      <c r="Q938" s="3"/>
      <c r="R938" s="3"/>
    </row>
    <row r="939" spans="4:18" ht="13.5" customHeight="1">
      <c r="D939" s="4"/>
      <c r="E939" s="3"/>
      <c r="F939" s="3"/>
      <c r="G939" s="3"/>
      <c r="H939" s="3"/>
      <c r="I939" s="3"/>
      <c r="J939" s="3"/>
      <c r="K939" s="3"/>
      <c r="L939" s="3"/>
      <c r="M939" s="3"/>
      <c r="N939" s="3"/>
      <c r="O939" s="3"/>
      <c r="P939" s="3"/>
      <c r="Q939" s="3"/>
      <c r="R939" s="3"/>
    </row>
    <row r="940" spans="4:18" ht="13.5" customHeight="1">
      <c r="D940" s="4"/>
      <c r="E940" s="3"/>
      <c r="F940" s="3"/>
      <c r="G940" s="3"/>
      <c r="H940" s="3"/>
      <c r="I940" s="3"/>
      <c r="J940" s="3"/>
      <c r="K940" s="3"/>
      <c r="L940" s="3"/>
      <c r="M940" s="3"/>
      <c r="N940" s="3"/>
      <c r="O940" s="3"/>
      <c r="P940" s="3"/>
      <c r="Q940" s="3"/>
      <c r="R940" s="3"/>
    </row>
    <row r="941" spans="4:18" ht="13.5" customHeight="1">
      <c r="D941" s="4"/>
      <c r="E941" s="3"/>
      <c r="F941" s="3"/>
      <c r="G941" s="3"/>
      <c r="H941" s="3"/>
      <c r="I941" s="3"/>
      <c r="J941" s="3"/>
      <c r="K941" s="3"/>
      <c r="L941" s="3"/>
      <c r="M941" s="3"/>
      <c r="N941" s="3"/>
      <c r="O941" s="3"/>
      <c r="P941" s="3"/>
      <c r="Q941" s="3"/>
      <c r="R941" s="3"/>
    </row>
    <row r="942" spans="4:18" ht="13.5" customHeight="1">
      <c r="D942" s="4"/>
      <c r="E942" s="3"/>
      <c r="F942" s="3"/>
      <c r="G942" s="3"/>
      <c r="H942" s="3"/>
      <c r="I942" s="3"/>
      <c r="J942" s="3"/>
      <c r="K942" s="3"/>
      <c r="L942" s="3"/>
      <c r="M942" s="3"/>
      <c r="N942" s="3"/>
      <c r="O942" s="3"/>
      <c r="P942" s="3"/>
      <c r="Q942" s="3"/>
      <c r="R942" s="3"/>
    </row>
    <row r="943" spans="4:18" ht="13.5" customHeight="1">
      <c r="D943" s="4"/>
      <c r="E943" s="3"/>
      <c r="F943" s="3"/>
      <c r="G943" s="3"/>
      <c r="H943" s="3"/>
      <c r="I943" s="3"/>
      <c r="J943" s="3"/>
      <c r="K943" s="3"/>
      <c r="L943" s="3"/>
      <c r="M943" s="3"/>
      <c r="N943" s="3"/>
      <c r="O943" s="3"/>
      <c r="P943" s="3"/>
      <c r="Q943" s="3"/>
      <c r="R943" s="3"/>
    </row>
    <row r="944" spans="4:18" ht="13.5" customHeight="1">
      <c r="D944" s="4"/>
      <c r="E944" s="3"/>
      <c r="F944" s="3"/>
      <c r="G944" s="3"/>
      <c r="H944" s="3"/>
      <c r="I944" s="3"/>
      <c r="J944" s="3"/>
      <c r="K944" s="3"/>
      <c r="L944" s="3"/>
      <c r="M944" s="3"/>
      <c r="N944" s="3"/>
      <c r="O944" s="3"/>
      <c r="P944" s="3"/>
      <c r="Q944" s="3"/>
      <c r="R944" s="3"/>
    </row>
    <row r="945" spans="4:18" ht="13.5" customHeight="1">
      <c r="D945" s="4"/>
      <c r="E945" s="3"/>
      <c r="F945" s="3"/>
      <c r="G945" s="3"/>
      <c r="H945" s="3"/>
      <c r="I945" s="3"/>
      <c r="J945" s="3"/>
      <c r="K945" s="3"/>
      <c r="L945" s="3"/>
      <c r="M945" s="3"/>
      <c r="N945" s="3"/>
      <c r="O945" s="3"/>
      <c r="P945" s="3"/>
      <c r="Q945" s="3"/>
      <c r="R945" s="3"/>
    </row>
    <row r="946" spans="4:18" ht="13.5" customHeight="1">
      <c r="D946" s="4"/>
      <c r="E946" s="3"/>
      <c r="F946" s="3"/>
      <c r="G946" s="3"/>
      <c r="H946" s="3"/>
      <c r="I946" s="3"/>
      <c r="J946" s="3"/>
      <c r="K946" s="3"/>
      <c r="L946" s="3"/>
      <c r="M946" s="3"/>
      <c r="N946" s="3"/>
      <c r="O946" s="3"/>
      <c r="P946" s="3"/>
      <c r="Q946" s="3"/>
      <c r="R946" s="3"/>
    </row>
    <row r="947" spans="4:18" ht="13.5" customHeight="1">
      <c r="D947" s="4"/>
      <c r="E947" s="3"/>
      <c r="F947" s="3"/>
      <c r="G947" s="3"/>
      <c r="H947" s="3"/>
      <c r="I947" s="3"/>
      <c r="J947" s="3"/>
      <c r="K947" s="3"/>
      <c r="L947" s="3"/>
      <c r="M947" s="3"/>
      <c r="N947" s="3"/>
      <c r="O947" s="3"/>
      <c r="P947" s="3"/>
      <c r="Q947" s="3"/>
      <c r="R947" s="3"/>
    </row>
    <row r="948" spans="4:18" ht="13.5" customHeight="1">
      <c r="D948" s="4"/>
      <c r="E948" s="3"/>
      <c r="F948" s="3"/>
      <c r="G948" s="3"/>
      <c r="H948" s="3"/>
      <c r="I948" s="3"/>
      <c r="J948" s="3"/>
      <c r="K948" s="3"/>
      <c r="L948" s="3"/>
      <c r="M948" s="3"/>
      <c r="N948" s="3"/>
      <c r="O948" s="3"/>
      <c r="P948" s="3"/>
      <c r="Q948" s="3"/>
      <c r="R948" s="3"/>
    </row>
    <row r="949" spans="4:18" ht="13.5" customHeight="1">
      <c r="D949" s="4"/>
      <c r="E949" s="3"/>
      <c r="F949" s="3"/>
      <c r="G949" s="3"/>
      <c r="H949" s="3"/>
      <c r="I949" s="3"/>
      <c r="J949" s="3"/>
      <c r="K949" s="3"/>
      <c r="L949" s="3"/>
      <c r="M949" s="3"/>
      <c r="N949" s="3"/>
      <c r="O949" s="3"/>
      <c r="P949" s="3"/>
      <c r="Q949" s="3"/>
      <c r="R949" s="3"/>
    </row>
    <row r="950" spans="4:18" ht="13.5" customHeight="1">
      <c r="D950" s="4"/>
      <c r="E950" s="3"/>
      <c r="F950" s="3"/>
      <c r="G950" s="3"/>
      <c r="H950" s="3"/>
      <c r="I950" s="3"/>
      <c r="J950" s="3"/>
      <c r="K950" s="3"/>
      <c r="L950" s="3"/>
      <c r="M950" s="3"/>
      <c r="N950" s="3"/>
      <c r="O950" s="3"/>
      <c r="P950" s="3"/>
      <c r="Q950" s="3"/>
      <c r="R950" s="3"/>
    </row>
    <row r="951" spans="4:18" ht="13.5" customHeight="1">
      <c r="D951" s="4"/>
      <c r="E951" s="3"/>
      <c r="F951" s="3"/>
      <c r="G951" s="3"/>
      <c r="H951" s="3"/>
      <c r="I951" s="3"/>
      <c r="J951" s="3"/>
      <c r="K951" s="3"/>
      <c r="L951" s="3"/>
      <c r="M951" s="3"/>
      <c r="N951" s="3"/>
      <c r="O951" s="3"/>
      <c r="P951" s="3"/>
      <c r="Q951" s="3"/>
      <c r="R951" s="3"/>
    </row>
    <row r="952" spans="4:18" ht="13.5" customHeight="1">
      <c r="D952" s="4"/>
      <c r="E952" s="3"/>
      <c r="F952" s="3"/>
      <c r="G952" s="3"/>
      <c r="H952" s="3"/>
      <c r="I952" s="3"/>
      <c r="J952" s="3"/>
      <c r="K952" s="3"/>
      <c r="L952" s="3"/>
      <c r="M952" s="3"/>
      <c r="N952" s="3"/>
      <c r="O952" s="3"/>
      <c r="P952" s="3"/>
      <c r="Q952" s="3"/>
      <c r="R952" s="3"/>
    </row>
    <row r="953" spans="4:18" ht="13.5" customHeight="1">
      <c r="D953" s="4"/>
      <c r="E953" s="3"/>
      <c r="F953" s="3"/>
      <c r="G953" s="3"/>
      <c r="H953" s="3"/>
      <c r="I953" s="3"/>
      <c r="J953" s="3"/>
      <c r="K953" s="3"/>
      <c r="L953" s="3"/>
      <c r="M953" s="3"/>
      <c r="N953" s="3"/>
      <c r="O953" s="3"/>
      <c r="P953" s="3"/>
      <c r="Q953" s="3"/>
      <c r="R953" s="3"/>
    </row>
    <row r="954" spans="4:18" ht="13.5" customHeight="1">
      <c r="D954" s="4"/>
      <c r="E954" s="3"/>
      <c r="F954" s="3"/>
      <c r="G954" s="3"/>
      <c r="H954" s="3"/>
      <c r="I954" s="3"/>
      <c r="J954" s="3"/>
      <c r="K954" s="3"/>
      <c r="L954" s="3"/>
      <c r="M954" s="3"/>
      <c r="N954" s="3"/>
      <c r="O954" s="3"/>
      <c r="P954" s="3"/>
      <c r="Q954" s="3"/>
      <c r="R954" s="3"/>
    </row>
    <row r="955" spans="4:18" ht="13.5" customHeight="1">
      <c r="D955" s="4"/>
      <c r="E955" s="3"/>
      <c r="F955" s="3"/>
      <c r="G955" s="3"/>
      <c r="H955" s="3"/>
      <c r="I955" s="3"/>
      <c r="J955" s="3"/>
      <c r="K955" s="3"/>
      <c r="L955" s="3"/>
      <c r="M955" s="3"/>
      <c r="N955" s="3"/>
      <c r="O955" s="3"/>
      <c r="P955" s="3"/>
      <c r="Q955" s="3"/>
      <c r="R955" s="3"/>
    </row>
    <row r="956" spans="4:18" ht="13.5" customHeight="1">
      <c r="D956" s="4"/>
      <c r="E956" s="3"/>
      <c r="F956" s="3"/>
      <c r="G956" s="3"/>
      <c r="H956" s="3"/>
      <c r="I956" s="3"/>
      <c r="J956" s="3"/>
      <c r="K956" s="3"/>
      <c r="L956" s="3"/>
      <c r="M956" s="3"/>
      <c r="N956" s="3"/>
      <c r="O956" s="3"/>
      <c r="P956" s="3"/>
      <c r="Q956" s="3"/>
      <c r="R956" s="3"/>
    </row>
    <row r="957" spans="4:18" ht="13.5" customHeight="1">
      <c r="D957" s="4"/>
      <c r="E957" s="3"/>
      <c r="F957" s="3"/>
      <c r="G957" s="3"/>
      <c r="H957" s="3"/>
      <c r="I957" s="3"/>
      <c r="J957" s="3"/>
      <c r="K957" s="3"/>
      <c r="L957" s="3"/>
      <c r="M957" s="3"/>
      <c r="N957" s="3"/>
      <c r="O957" s="3"/>
      <c r="P957" s="3"/>
      <c r="Q957" s="3"/>
      <c r="R957" s="3"/>
    </row>
    <row r="958" spans="4:18" ht="13.5" customHeight="1">
      <c r="D958" s="4"/>
      <c r="E958" s="3"/>
      <c r="F958" s="3"/>
      <c r="G958" s="3"/>
      <c r="H958" s="3"/>
      <c r="I958" s="3"/>
      <c r="J958" s="3"/>
      <c r="K958" s="3"/>
      <c r="L958" s="3"/>
      <c r="M958" s="3"/>
      <c r="N958" s="3"/>
      <c r="O958" s="3"/>
      <c r="P958" s="3"/>
      <c r="Q958" s="3"/>
      <c r="R958" s="3"/>
    </row>
    <row r="959" spans="4:18" ht="13.5" customHeight="1">
      <c r="D959" s="4"/>
      <c r="E959" s="3"/>
      <c r="F959" s="3"/>
      <c r="G959" s="3"/>
      <c r="H959" s="3"/>
      <c r="I959" s="3"/>
      <c r="J959" s="3"/>
      <c r="K959" s="3"/>
      <c r="L959" s="3"/>
      <c r="M959" s="3"/>
      <c r="N959" s="3"/>
      <c r="O959" s="3"/>
      <c r="P959" s="3"/>
      <c r="Q959" s="3"/>
      <c r="R959" s="3"/>
    </row>
    <row r="960" spans="4:18" ht="13.5" customHeight="1">
      <c r="D960" s="4"/>
      <c r="E960" s="3"/>
      <c r="F960" s="3"/>
      <c r="G960" s="3"/>
      <c r="H960" s="3"/>
      <c r="I960" s="3"/>
      <c r="J960" s="3"/>
      <c r="K960" s="3"/>
      <c r="L960" s="3"/>
      <c r="M960" s="3"/>
      <c r="N960" s="3"/>
      <c r="O960" s="3"/>
      <c r="P960" s="3"/>
      <c r="Q960" s="3"/>
      <c r="R960" s="3"/>
    </row>
    <row r="961" spans="4:18" ht="13.5" customHeight="1">
      <c r="D961" s="4"/>
      <c r="E961" s="3"/>
      <c r="F961" s="3"/>
      <c r="G961" s="3"/>
      <c r="H961" s="3"/>
      <c r="I961" s="3"/>
      <c r="J961" s="3"/>
      <c r="K961" s="3"/>
      <c r="L961" s="3"/>
      <c r="M961" s="3"/>
      <c r="N961" s="3"/>
      <c r="O961" s="3"/>
      <c r="P961" s="3"/>
      <c r="Q961" s="3"/>
      <c r="R961" s="3"/>
    </row>
    <row r="962" spans="4:18" ht="13.5" customHeight="1">
      <c r="D962" s="4"/>
      <c r="E962" s="3"/>
      <c r="F962" s="3"/>
      <c r="G962" s="3"/>
      <c r="H962" s="3"/>
      <c r="I962" s="3"/>
      <c r="J962" s="3"/>
      <c r="K962" s="3"/>
      <c r="L962" s="3"/>
      <c r="M962" s="3"/>
      <c r="N962" s="3"/>
      <c r="O962" s="3"/>
      <c r="P962" s="3"/>
      <c r="Q962" s="3"/>
      <c r="R962" s="3"/>
    </row>
    <row r="963" spans="4:18" ht="13.5" customHeight="1">
      <c r="D963" s="4"/>
      <c r="E963" s="3"/>
      <c r="F963" s="3"/>
      <c r="G963" s="3"/>
      <c r="H963" s="3"/>
      <c r="I963" s="3"/>
      <c r="J963" s="3"/>
      <c r="K963" s="3"/>
      <c r="L963" s="3"/>
      <c r="M963" s="3"/>
      <c r="N963" s="3"/>
      <c r="O963" s="3"/>
      <c r="P963" s="3"/>
      <c r="Q963" s="3"/>
      <c r="R963" s="3"/>
    </row>
    <row r="964" spans="4:18" ht="13.5" customHeight="1">
      <c r="D964" s="4"/>
      <c r="E964" s="3"/>
      <c r="F964" s="3"/>
      <c r="G964" s="3"/>
      <c r="H964" s="3"/>
      <c r="I964" s="3"/>
      <c r="J964" s="3"/>
      <c r="K964" s="3"/>
      <c r="L964" s="3"/>
      <c r="M964" s="3"/>
      <c r="N964" s="3"/>
      <c r="O964" s="3"/>
      <c r="P964" s="3"/>
      <c r="Q964" s="3"/>
      <c r="R964" s="3"/>
    </row>
    <row r="965" spans="4:18" ht="13.5" customHeight="1">
      <c r="D965" s="4"/>
      <c r="E965" s="3"/>
      <c r="F965" s="3"/>
      <c r="G965" s="3"/>
      <c r="H965" s="3"/>
      <c r="I965" s="3"/>
      <c r="J965" s="3"/>
      <c r="K965" s="3"/>
      <c r="L965" s="3"/>
      <c r="M965" s="3"/>
      <c r="N965" s="3"/>
      <c r="O965" s="3"/>
      <c r="P965" s="3"/>
      <c r="Q965" s="3"/>
      <c r="R965" s="3"/>
    </row>
    <row r="966" spans="4:18" ht="13.5" customHeight="1">
      <c r="D966" s="4"/>
      <c r="E966" s="3"/>
      <c r="F966" s="3"/>
      <c r="G966" s="3"/>
      <c r="H966" s="3"/>
      <c r="I966" s="3"/>
      <c r="J966" s="3"/>
      <c r="K966" s="3"/>
      <c r="L966" s="3"/>
      <c r="M966" s="3"/>
      <c r="N966" s="3"/>
      <c r="O966" s="3"/>
      <c r="P966" s="3"/>
      <c r="Q966" s="3"/>
      <c r="R966" s="3"/>
    </row>
    <row r="967" spans="4:18" ht="13.5" customHeight="1">
      <c r="D967" s="4"/>
      <c r="E967" s="3"/>
      <c r="F967" s="3"/>
      <c r="G967" s="3"/>
      <c r="H967" s="3"/>
      <c r="I967" s="3"/>
      <c r="J967" s="3"/>
      <c r="K967" s="3"/>
      <c r="L967" s="3"/>
      <c r="M967" s="3"/>
      <c r="N967" s="3"/>
      <c r="O967" s="3"/>
      <c r="P967" s="3"/>
      <c r="Q967" s="3"/>
      <c r="R967" s="3"/>
    </row>
    <row r="968" spans="4:18" ht="13.5" customHeight="1">
      <c r="D968" s="4"/>
      <c r="E968" s="3"/>
      <c r="F968" s="3"/>
      <c r="G968" s="3"/>
      <c r="H968" s="3"/>
      <c r="I968" s="3"/>
      <c r="J968" s="3"/>
      <c r="K968" s="3"/>
      <c r="L968" s="3"/>
      <c r="M968" s="3"/>
      <c r="N968" s="3"/>
      <c r="O968" s="3"/>
      <c r="P968" s="3"/>
      <c r="Q968" s="3"/>
      <c r="R968" s="3"/>
    </row>
    <row r="969" spans="4:18" ht="13.5" customHeight="1">
      <c r="D969" s="4"/>
      <c r="E969" s="3"/>
      <c r="F969" s="3"/>
      <c r="G969" s="3"/>
      <c r="H969" s="3"/>
      <c r="I969" s="3"/>
      <c r="J969" s="3"/>
      <c r="K969" s="3"/>
      <c r="L969" s="3"/>
      <c r="M969" s="3"/>
      <c r="N969" s="3"/>
      <c r="O969" s="3"/>
      <c r="P969" s="3"/>
      <c r="Q969" s="3"/>
      <c r="R969" s="3"/>
    </row>
    <row r="970" spans="4:18" ht="13.5" customHeight="1">
      <c r="D970" s="4"/>
      <c r="E970" s="3"/>
      <c r="F970" s="3"/>
      <c r="G970" s="3"/>
      <c r="H970" s="3"/>
      <c r="I970" s="3"/>
      <c r="J970" s="3"/>
      <c r="K970" s="3"/>
      <c r="L970" s="3"/>
      <c r="M970" s="3"/>
      <c r="N970" s="3"/>
      <c r="O970" s="3"/>
      <c r="P970" s="3"/>
      <c r="Q970" s="3"/>
      <c r="R970" s="3"/>
    </row>
    <row r="971" spans="4:18" ht="13.5" customHeight="1">
      <c r="D971" s="4"/>
      <c r="E971" s="3"/>
      <c r="F971" s="3"/>
      <c r="G971" s="3"/>
      <c r="H971" s="3"/>
      <c r="I971" s="3"/>
      <c r="J971" s="3"/>
      <c r="K971" s="3"/>
      <c r="L971" s="3"/>
      <c r="M971" s="3"/>
      <c r="N971" s="3"/>
      <c r="O971" s="3"/>
      <c r="P971" s="3"/>
      <c r="Q971" s="3"/>
      <c r="R971" s="3"/>
    </row>
    <row r="972" spans="4:18" ht="13.5" customHeight="1">
      <c r="D972" s="4"/>
      <c r="E972" s="3"/>
      <c r="F972" s="3"/>
      <c r="G972" s="3"/>
      <c r="H972" s="3"/>
      <c r="I972" s="3"/>
      <c r="J972" s="3"/>
      <c r="K972" s="3"/>
      <c r="L972" s="3"/>
      <c r="M972" s="3"/>
      <c r="N972" s="3"/>
      <c r="O972" s="3"/>
      <c r="P972" s="3"/>
      <c r="Q972" s="3"/>
      <c r="R972" s="3"/>
    </row>
    <row r="973" spans="4:18" ht="13.5" customHeight="1">
      <c r="D973" s="4"/>
      <c r="E973" s="3"/>
      <c r="F973" s="3"/>
      <c r="G973" s="3"/>
      <c r="H973" s="3"/>
      <c r="I973" s="3"/>
      <c r="J973" s="3"/>
      <c r="K973" s="3"/>
      <c r="L973" s="3"/>
      <c r="M973" s="3"/>
      <c r="N973" s="3"/>
      <c r="O973" s="3"/>
      <c r="P973" s="3"/>
      <c r="Q973" s="3"/>
      <c r="R973" s="3"/>
    </row>
    <row r="974" spans="4:18" ht="13.5" customHeight="1">
      <c r="D974" s="4"/>
      <c r="E974" s="3"/>
      <c r="F974" s="3"/>
      <c r="G974" s="3"/>
      <c r="H974" s="3"/>
      <c r="I974" s="3"/>
      <c r="J974" s="3"/>
      <c r="K974" s="3"/>
      <c r="L974" s="3"/>
      <c r="M974" s="3"/>
      <c r="N974" s="3"/>
      <c r="O974" s="3"/>
      <c r="P974" s="3"/>
      <c r="Q974" s="3"/>
      <c r="R974" s="3"/>
    </row>
    <row r="975" spans="4:18" ht="13.5" customHeight="1">
      <c r="D975" s="4"/>
      <c r="E975" s="3"/>
      <c r="F975" s="3"/>
      <c r="G975" s="3"/>
      <c r="H975" s="3"/>
      <c r="I975" s="3"/>
      <c r="J975" s="3"/>
      <c r="K975" s="3"/>
      <c r="L975" s="3"/>
      <c r="M975" s="3"/>
      <c r="N975" s="3"/>
      <c r="O975" s="3"/>
      <c r="P975" s="3"/>
      <c r="Q975" s="3"/>
      <c r="R975" s="3"/>
    </row>
    <row r="976" spans="4:18" ht="13.5" customHeight="1">
      <c r="D976" s="4"/>
      <c r="E976" s="3"/>
      <c r="F976" s="3"/>
      <c r="G976" s="3"/>
      <c r="H976" s="3"/>
      <c r="I976" s="3"/>
      <c r="J976" s="3"/>
      <c r="K976" s="3"/>
      <c r="L976" s="3"/>
      <c r="M976" s="3"/>
      <c r="N976" s="3"/>
      <c r="O976" s="3"/>
      <c r="P976" s="3"/>
      <c r="Q976" s="3"/>
      <c r="R976" s="3"/>
    </row>
    <row r="977" spans="4:18" ht="13.5" customHeight="1">
      <c r="D977" s="4"/>
      <c r="E977" s="3"/>
      <c r="F977" s="3"/>
      <c r="G977" s="3"/>
      <c r="H977" s="3"/>
      <c r="I977" s="3"/>
      <c r="J977" s="3"/>
      <c r="K977" s="3"/>
      <c r="L977" s="3"/>
      <c r="M977" s="3"/>
      <c r="N977" s="3"/>
      <c r="O977" s="3"/>
      <c r="P977" s="3"/>
      <c r="Q977" s="3"/>
      <c r="R977" s="3"/>
    </row>
    <row r="978" spans="4:18" ht="13.5" customHeight="1">
      <c r="D978" s="4"/>
      <c r="E978" s="3"/>
      <c r="F978" s="3"/>
      <c r="G978" s="3"/>
      <c r="H978" s="3"/>
      <c r="I978" s="3"/>
      <c r="J978" s="3"/>
      <c r="K978" s="3"/>
      <c r="L978" s="3"/>
      <c r="M978" s="3"/>
      <c r="N978" s="3"/>
      <c r="O978" s="3"/>
      <c r="P978" s="3"/>
      <c r="Q978" s="3"/>
      <c r="R978" s="3"/>
    </row>
    <row r="979" spans="4:18" ht="13.5" customHeight="1">
      <c r="D979" s="4"/>
      <c r="E979" s="3"/>
      <c r="F979" s="3"/>
      <c r="G979" s="3"/>
      <c r="H979" s="3"/>
      <c r="I979" s="3"/>
      <c r="J979" s="3"/>
      <c r="K979" s="3"/>
      <c r="L979" s="3"/>
      <c r="M979" s="3"/>
      <c r="N979" s="3"/>
      <c r="O979" s="3"/>
      <c r="P979" s="3"/>
      <c r="Q979" s="3"/>
      <c r="R979" s="3"/>
    </row>
    <row r="980" spans="4:18" ht="13.5" customHeight="1">
      <c r="D980" s="4"/>
      <c r="E980" s="3"/>
      <c r="F980" s="3"/>
      <c r="G980" s="3"/>
      <c r="H980" s="3"/>
      <c r="I980" s="3"/>
      <c r="J980" s="3"/>
      <c r="K980" s="3"/>
      <c r="L980" s="3"/>
      <c r="M980" s="3"/>
      <c r="N980" s="3"/>
      <c r="O980" s="3"/>
      <c r="P980" s="3"/>
      <c r="Q980" s="3"/>
      <c r="R980" s="3"/>
    </row>
    <row r="981" spans="4:18" ht="13.5" customHeight="1">
      <c r="D981" s="4"/>
      <c r="E981" s="3"/>
      <c r="F981" s="3"/>
      <c r="G981" s="3"/>
      <c r="H981" s="3"/>
      <c r="I981" s="3"/>
      <c r="J981" s="3"/>
      <c r="K981" s="3"/>
      <c r="L981" s="3"/>
      <c r="M981" s="3"/>
      <c r="N981" s="3"/>
      <c r="O981" s="3"/>
      <c r="P981" s="3"/>
      <c r="Q981" s="3"/>
      <c r="R981" s="3"/>
    </row>
    <row r="982" spans="4:18" ht="13.5" customHeight="1">
      <c r="D982" s="4"/>
      <c r="E982" s="3"/>
      <c r="F982" s="3"/>
      <c r="G982" s="3"/>
      <c r="H982" s="3"/>
      <c r="I982" s="3"/>
      <c r="J982" s="3"/>
      <c r="K982" s="3"/>
      <c r="L982" s="3"/>
      <c r="M982" s="3"/>
      <c r="N982" s="3"/>
      <c r="O982" s="3"/>
      <c r="P982" s="3"/>
      <c r="Q982" s="3"/>
      <c r="R982" s="3"/>
    </row>
    <row r="983" spans="4:18" ht="13.5" customHeight="1">
      <c r="D983" s="4"/>
      <c r="E983" s="3"/>
      <c r="F983" s="3"/>
      <c r="G983" s="3"/>
      <c r="H983" s="3"/>
      <c r="I983" s="3"/>
      <c r="J983" s="3"/>
      <c r="K983" s="3"/>
      <c r="L983" s="3"/>
      <c r="M983" s="3"/>
      <c r="N983" s="3"/>
      <c r="O983" s="3"/>
      <c r="P983" s="3"/>
      <c r="Q983" s="3"/>
      <c r="R983" s="3"/>
    </row>
    <row r="984" spans="4:18" ht="13.5" customHeight="1">
      <c r="D984" s="4"/>
      <c r="E984" s="3"/>
      <c r="F984" s="3"/>
      <c r="G984" s="3"/>
      <c r="H984" s="3"/>
      <c r="I984" s="3"/>
      <c r="J984" s="3"/>
      <c r="K984" s="3"/>
      <c r="L984" s="3"/>
      <c r="M984" s="3"/>
      <c r="N984" s="3"/>
      <c r="O984" s="3"/>
      <c r="P984" s="3"/>
      <c r="Q984" s="3"/>
      <c r="R984" s="3"/>
    </row>
    <row r="985" spans="4:18" ht="13.5" customHeight="1">
      <c r="D985" s="4"/>
      <c r="E985" s="3"/>
      <c r="F985" s="3"/>
      <c r="G985" s="3"/>
      <c r="H985" s="3"/>
      <c r="I985" s="3"/>
      <c r="J985" s="3"/>
      <c r="K985" s="3"/>
      <c r="L985" s="3"/>
      <c r="M985" s="3"/>
      <c r="N985" s="3"/>
      <c r="O985" s="3"/>
      <c r="P985" s="3"/>
      <c r="Q985" s="3"/>
      <c r="R985" s="3"/>
    </row>
    <row r="986" spans="4:18" ht="13.5" customHeight="1">
      <c r="D986" s="4"/>
      <c r="E986" s="3"/>
      <c r="F986" s="3"/>
      <c r="G986" s="3"/>
      <c r="H986" s="3"/>
      <c r="I986" s="3"/>
      <c r="J986" s="3"/>
      <c r="K986" s="3"/>
      <c r="L986" s="3"/>
      <c r="M986" s="3"/>
      <c r="N986" s="3"/>
      <c r="O986" s="3"/>
      <c r="P986" s="3"/>
      <c r="Q986" s="3"/>
      <c r="R986" s="3"/>
    </row>
    <row r="987" spans="4:18" ht="13.5" customHeight="1">
      <c r="D987" s="4"/>
      <c r="E987" s="3"/>
      <c r="F987" s="3"/>
      <c r="G987" s="3"/>
      <c r="H987" s="3"/>
      <c r="I987" s="3"/>
      <c r="J987" s="3"/>
      <c r="K987" s="3"/>
      <c r="L987" s="3"/>
      <c r="M987" s="3"/>
      <c r="N987" s="3"/>
      <c r="O987" s="3"/>
      <c r="P987" s="3"/>
      <c r="Q987" s="3"/>
      <c r="R987" s="3"/>
    </row>
    <row r="988" spans="4:18" ht="13.5" customHeight="1">
      <c r="D988" s="4"/>
      <c r="E988" s="3"/>
      <c r="F988" s="3"/>
      <c r="G988" s="3"/>
      <c r="H988" s="3"/>
      <c r="I988" s="3"/>
      <c r="J988" s="3"/>
      <c r="K988" s="3"/>
      <c r="L988" s="3"/>
      <c r="M988" s="3"/>
      <c r="N988" s="3"/>
      <c r="O988" s="3"/>
      <c r="P988" s="3"/>
      <c r="Q988" s="3"/>
      <c r="R988" s="3"/>
    </row>
    <row r="989" spans="4:18" ht="13.5" customHeight="1">
      <c r="D989" s="4"/>
      <c r="E989" s="3"/>
      <c r="F989" s="3"/>
      <c r="G989" s="3"/>
      <c r="H989" s="3"/>
      <c r="I989" s="3"/>
      <c r="J989" s="3"/>
      <c r="K989" s="3"/>
      <c r="L989" s="3"/>
      <c r="M989" s="3"/>
      <c r="N989" s="3"/>
      <c r="O989" s="3"/>
      <c r="P989" s="3"/>
      <c r="Q989" s="3"/>
      <c r="R989" s="3"/>
    </row>
    <row r="990" spans="4:18" ht="13.5" customHeight="1">
      <c r="D990" s="4"/>
      <c r="E990" s="3"/>
      <c r="F990" s="3"/>
      <c r="G990" s="3"/>
      <c r="H990" s="3"/>
      <c r="I990" s="3"/>
      <c r="J990" s="3"/>
      <c r="K990" s="3"/>
      <c r="L990" s="3"/>
      <c r="M990" s="3"/>
      <c r="N990" s="3"/>
      <c r="O990" s="3"/>
      <c r="P990" s="3"/>
      <c r="Q990" s="3"/>
      <c r="R990" s="3"/>
    </row>
    <row r="991" spans="4:18" ht="13.5" customHeight="1">
      <c r="D991" s="4"/>
      <c r="E991" s="3"/>
      <c r="F991" s="3"/>
      <c r="G991" s="3"/>
      <c r="H991" s="3"/>
      <c r="I991" s="3"/>
      <c r="J991" s="3"/>
      <c r="K991" s="3"/>
      <c r="L991" s="3"/>
      <c r="M991" s="3"/>
      <c r="N991" s="3"/>
      <c r="O991" s="3"/>
      <c r="P991" s="3"/>
      <c r="Q991" s="3"/>
      <c r="R991" s="3"/>
    </row>
    <row r="992" spans="4:18" ht="13.5" customHeight="1">
      <c r="D992" s="4"/>
      <c r="E992" s="3"/>
      <c r="F992" s="3"/>
      <c r="G992" s="3"/>
      <c r="H992" s="3"/>
      <c r="I992" s="3"/>
      <c r="J992" s="3"/>
      <c r="K992" s="3"/>
      <c r="L992" s="3"/>
      <c r="M992" s="3"/>
      <c r="N992" s="3"/>
      <c r="O992" s="3"/>
      <c r="P992" s="3"/>
      <c r="Q992" s="3"/>
      <c r="R992" s="3"/>
    </row>
    <row r="993" spans="4:18" ht="13.5" customHeight="1">
      <c r="D993" s="4"/>
      <c r="E993" s="3"/>
      <c r="F993" s="3"/>
      <c r="G993" s="3"/>
      <c r="H993" s="3"/>
      <c r="I993" s="3"/>
      <c r="J993" s="3"/>
      <c r="K993" s="3"/>
      <c r="L993" s="3"/>
      <c r="M993" s="3"/>
      <c r="N993" s="3"/>
      <c r="O993" s="3"/>
      <c r="P993" s="3"/>
      <c r="Q993" s="3"/>
      <c r="R993" s="3"/>
    </row>
    <row r="994" spans="4:18" ht="13.5" customHeight="1">
      <c r="D994" s="4"/>
      <c r="E994" s="3"/>
      <c r="F994" s="3"/>
      <c r="G994" s="3"/>
      <c r="H994" s="3"/>
      <c r="I994" s="3"/>
      <c r="J994" s="3"/>
      <c r="K994" s="3"/>
      <c r="L994" s="3"/>
      <c r="M994" s="3"/>
      <c r="N994" s="3"/>
      <c r="O994" s="3"/>
      <c r="P994" s="3"/>
      <c r="Q994" s="3"/>
      <c r="R994" s="3"/>
    </row>
    <row r="995" spans="4:18" ht="13.5" customHeight="1">
      <c r="D995" s="4"/>
      <c r="E995" s="3"/>
      <c r="F995" s="3"/>
      <c r="G995" s="3"/>
      <c r="H995" s="3"/>
      <c r="I995" s="3"/>
      <c r="J995" s="3"/>
      <c r="K995" s="3"/>
      <c r="L995" s="3"/>
      <c r="M995" s="3"/>
      <c r="N995" s="3"/>
      <c r="O995" s="3"/>
      <c r="P995" s="3"/>
      <c r="Q995" s="3"/>
      <c r="R995" s="3"/>
    </row>
    <row r="996" spans="4:18" ht="13.5" customHeight="1">
      <c r="D996" s="4"/>
      <c r="E996" s="3"/>
      <c r="F996" s="3"/>
      <c r="G996" s="3"/>
      <c r="H996" s="3"/>
      <c r="I996" s="3"/>
      <c r="J996" s="3"/>
      <c r="K996" s="3"/>
      <c r="L996" s="3"/>
      <c r="M996" s="3"/>
      <c r="N996" s="3"/>
      <c r="O996" s="3"/>
      <c r="P996" s="3"/>
      <c r="Q996" s="3"/>
      <c r="R996" s="3"/>
    </row>
    <row r="997" spans="4:18" ht="13.5" customHeight="1">
      <c r="D997" s="4"/>
      <c r="E997" s="3"/>
      <c r="F997" s="3"/>
      <c r="G997" s="3"/>
      <c r="H997" s="3"/>
      <c r="I997" s="3"/>
      <c r="J997" s="3"/>
      <c r="K997" s="3"/>
      <c r="L997" s="3"/>
      <c r="M997" s="3"/>
      <c r="N997" s="3"/>
      <c r="O997" s="3"/>
      <c r="P997" s="3"/>
      <c r="Q997" s="3"/>
      <c r="R997" s="3"/>
    </row>
    <row r="998" spans="4:18" ht="13.5" customHeight="1">
      <c r="D998" s="4"/>
      <c r="E998" s="3"/>
      <c r="F998" s="3"/>
      <c r="G998" s="3"/>
      <c r="H998" s="3"/>
      <c r="I998" s="3"/>
      <c r="J998" s="3"/>
      <c r="K998" s="3"/>
      <c r="L998" s="3"/>
      <c r="M998" s="3"/>
      <c r="N998" s="3"/>
      <c r="O998" s="3"/>
      <c r="P998" s="3"/>
      <c r="Q998" s="3"/>
      <c r="R998" s="3"/>
    </row>
    <row r="999" spans="4:18" ht="13.5" customHeight="1">
      <c r="D999" s="4"/>
      <c r="E999" s="3"/>
      <c r="F999" s="3"/>
      <c r="G999" s="3"/>
      <c r="H999" s="3"/>
      <c r="I999" s="3"/>
      <c r="J999" s="3"/>
      <c r="K999" s="3"/>
      <c r="L999" s="3"/>
      <c r="M999" s="3"/>
      <c r="N999" s="3"/>
      <c r="O999" s="3"/>
      <c r="P999" s="3"/>
      <c r="Q999" s="3"/>
      <c r="R999" s="3"/>
    </row>
    <row r="1000" spans="4:18" ht="13.5" customHeight="1">
      <c r="D1000" s="4"/>
      <c r="E1000" s="3"/>
      <c r="F1000" s="3"/>
      <c r="G1000" s="3"/>
      <c r="H1000" s="3"/>
      <c r="I1000" s="3"/>
      <c r="J1000" s="3"/>
      <c r="K1000" s="3"/>
      <c r="L1000" s="3"/>
      <c r="M1000" s="3"/>
      <c r="N1000" s="3"/>
      <c r="O1000" s="3"/>
      <c r="P1000" s="3"/>
      <c r="Q1000" s="3"/>
      <c r="R1000" s="3"/>
    </row>
    <row r="1001" spans="4:18" ht="13.5" customHeight="1">
      <c r="D1001" s="4"/>
      <c r="E1001" s="3"/>
      <c r="F1001" s="3"/>
      <c r="G1001" s="3"/>
      <c r="H1001" s="3"/>
      <c r="I1001" s="3"/>
      <c r="J1001" s="3"/>
      <c r="K1001" s="3"/>
      <c r="L1001" s="3"/>
      <c r="M1001" s="3"/>
      <c r="N1001" s="3"/>
      <c r="O1001" s="3"/>
      <c r="P1001" s="3"/>
      <c r="Q1001" s="3"/>
      <c r="R1001" s="3"/>
    </row>
    <row r="1002" spans="4:18" ht="13.5" customHeight="1">
      <c r="D1002" s="4"/>
      <c r="E1002" s="3"/>
      <c r="F1002" s="3"/>
      <c r="G1002" s="3"/>
      <c r="H1002" s="3"/>
      <c r="I1002" s="3"/>
      <c r="J1002" s="3"/>
      <c r="K1002" s="3"/>
      <c r="L1002" s="3"/>
      <c r="M1002" s="3"/>
      <c r="N1002" s="3"/>
      <c r="O1002" s="3"/>
      <c r="P1002" s="3"/>
      <c r="Q1002" s="3"/>
      <c r="R1002" s="3"/>
    </row>
    <row r="1003" spans="4:18" ht="13.5" customHeight="1">
      <c r="D1003" s="4"/>
      <c r="E1003" s="3"/>
      <c r="F1003" s="3"/>
      <c r="G1003" s="3"/>
      <c r="H1003" s="3"/>
      <c r="I1003" s="3"/>
      <c r="J1003" s="3"/>
      <c r="K1003" s="3"/>
      <c r="L1003" s="3"/>
      <c r="M1003" s="3"/>
      <c r="N1003" s="3"/>
      <c r="O1003" s="3"/>
      <c r="P1003" s="3"/>
      <c r="Q1003" s="3"/>
      <c r="R1003" s="3"/>
    </row>
  </sheetData>
  <mergeCells count="43">
    <mergeCell ref="C19:C26"/>
    <mergeCell ref="D19:D26"/>
    <mergeCell ref="C27:C31"/>
    <mergeCell ref="D27:D31"/>
    <mergeCell ref="K2:L2"/>
    <mergeCell ref="P71:P72"/>
    <mergeCell ref="F2:F3"/>
    <mergeCell ref="G2:G3"/>
    <mergeCell ref="H2:H3"/>
    <mergeCell ref="P57:P61"/>
    <mergeCell ref="P62:P63"/>
    <mergeCell ref="P64:P70"/>
    <mergeCell ref="P49:P50"/>
    <mergeCell ref="P51:P52"/>
    <mergeCell ref="P53:P56"/>
    <mergeCell ref="P4:P42"/>
    <mergeCell ref="P43:P45"/>
    <mergeCell ref="P46:P48"/>
    <mergeCell ref="I2:I3"/>
    <mergeCell ref="J2:J3"/>
    <mergeCell ref="B71:B72"/>
    <mergeCell ref="B57:B61"/>
    <mergeCell ref="B62:B63"/>
    <mergeCell ref="B64:B70"/>
    <mergeCell ref="B49:B50"/>
    <mergeCell ref="B51:B52"/>
    <mergeCell ref="B53:B56"/>
    <mergeCell ref="B4:B42"/>
    <mergeCell ref="B43:B45"/>
    <mergeCell ref="B46:B48"/>
    <mergeCell ref="B2:B3"/>
    <mergeCell ref="E2:E3"/>
    <mergeCell ref="C4:C6"/>
    <mergeCell ref="D4:D6"/>
    <mergeCell ref="C7:C8"/>
    <mergeCell ref="D7:D8"/>
    <mergeCell ref="C16:C18"/>
    <mergeCell ref="C9:C15"/>
    <mergeCell ref="D16:D18"/>
    <mergeCell ref="D32:D38"/>
    <mergeCell ref="C32:C38"/>
    <mergeCell ref="D2:D3"/>
    <mergeCell ref="D9:D15"/>
  </mergeCells>
  <phoneticPr fontId="1" type="noConversion"/>
  <pageMargins left="0.7" right="0.7" top="0.75" bottom="0.75" header="0" footer="0"/>
  <pageSetup paperSize="8"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0BE3E-CB18-43FC-8B80-8987EAA7FD84}">
  <sheetPr>
    <tabColor rgb="FFFF0000"/>
    <pageSetUpPr fitToPage="1"/>
  </sheetPr>
  <dimension ref="A1:T1086"/>
  <sheetViews>
    <sheetView tabSelected="1" topLeftCell="A33" zoomScale="85" zoomScaleNormal="85" workbookViewId="0">
      <pane xSplit="15195" ySplit="975" topLeftCell="A68" activePane="bottomLeft"/>
      <selection activeCell="J77" sqref="J77"/>
      <selection pane="topRight" activeCell="P1" sqref="P1:P1048576"/>
      <selection pane="bottomLeft" activeCell="A4" sqref="A4:XFD4"/>
      <selection pane="bottomRight" activeCell="I72" sqref="A52:I147"/>
    </sheetView>
  </sheetViews>
  <sheetFormatPr defaultColWidth="12.625" defaultRowHeight="15" customHeight="1"/>
  <cols>
    <col min="1" max="1" width="2.5" style="51" customWidth="1"/>
    <col min="2" max="2" width="11.75" style="51" customWidth="1"/>
    <col min="3" max="3" width="12" style="119" customWidth="1"/>
    <col min="4" max="4" width="17.875" style="119" customWidth="1"/>
    <col min="5" max="5" width="20.625" style="119" customWidth="1"/>
    <col min="6" max="6" width="69.875" style="52" customWidth="1"/>
    <col min="7" max="7" width="15" style="51" customWidth="1"/>
    <col min="8" max="8" width="32" style="51" customWidth="1"/>
    <col min="9" max="9" width="46.125" style="51" customWidth="1"/>
    <col min="10" max="10" width="77.625" style="195" customWidth="1"/>
    <col min="11" max="11" width="16.5" style="51" customWidth="1"/>
    <col min="12" max="12" width="41.625" style="51" customWidth="1"/>
    <col min="13" max="13" width="9.375" style="51" customWidth="1"/>
    <col min="14" max="14" width="30.75" style="51" customWidth="1"/>
    <col min="15" max="15" width="16.125" style="51" customWidth="1"/>
    <col min="16" max="16" width="15" style="51" customWidth="1"/>
    <col min="17" max="17" width="22.375" style="51" customWidth="1"/>
    <col min="18" max="18" width="8.875" style="51" customWidth="1"/>
    <col min="19" max="38" width="8" style="51" customWidth="1"/>
    <col min="39" max="16384" width="12.625" style="51"/>
  </cols>
  <sheetData>
    <row r="1" spans="1:19" ht="13.5" customHeight="1">
      <c r="C1" s="55"/>
      <c r="D1" s="55"/>
      <c r="E1" s="55"/>
      <c r="F1" s="53"/>
      <c r="G1" s="55"/>
      <c r="H1" s="55"/>
      <c r="I1" s="55"/>
      <c r="J1" s="163"/>
      <c r="K1" s="55"/>
      <c r="L1" s="55"/>
      <c r="M1" s="55"/>
      <c r="N1" s="55"/>
      <c r="O1" s="55"/>
      <c r="P1" s="55"/>
      <c r="Q1" s="55"/>
      <c r="R1" s="55"/>
      <c r="S1" s="55"/>
    </row>
    <row r="2" spans="1:19" ht="13.5" customHeight="1">
      <c r="A2" s="136"/>
      <c r="B2" s="196" t="s">
        <v>0</v>
      </c>
      <c r="C2" s="222" t="s">
        <v>1</v>
      </c>
      <c r="D2" s="224" t="s">
        <v>2</v>
      </c>
      <c r="E2" s="224" t="s">
        <v>3</v>
      </c>
      <c r="F2" s="226" t="s">
        <v>415</v>
      </c>
      <c r="G2" s="224" t="s">
        <v>4</v>
      </c>
      <c r="H2" s="224" t="s">
        <v>5</v>
      </c>
      <c r="I2" s="224" t="s">
        <v>787</v>
      </c>
      <c r="J2" s="224" t="s">
        <v>788</v>
      </c>
      <c r="K2" s="220" t="s">
        <v>398</v>
      </c>
      <c r="L2" s="221" t="s">
        <v>399</v>
      </c>
      <c r="M2" s="221" t="s">
        <v>400</v>
      </c>
      <c r="N2" s="221"/>
      <c r="O2" s="197" t="s">
        <v>401</v>
      </c>
      <c r="P2" s="198" t="s">
        <v>402</v>
      </c>
      <c r="Q2" s="220" t="s">
        <v>403</v>
      </c>
      <c r="R2" s="137"/>
      <c r="S2" s="55"/>
    </row>
    <row r="3" spans="1:19" ht="13.5" customHeight="1">
      <c r="A3" s="136"/>
      <c r="B3" s="196" t="s">
        <v>6</v>
      </c>
      <c r="C3" s="223"/>
      <c r="D3" s="225"/>
      <c r="E3" s="224"/>
      <c r="F3" s="226"/>
      <c r="G3" s="224"/>
      <c r="H3" s="224"/>
      <c r="I3" s="224"/>
      <c r="J3" s="224"/>
      <c r="K3" s="220"/>
      <c r="L3" s="221"/>
      <c r="M3" s="198" t="s">
        <v>404</v>
      </c>
      <c r="N3" s="197" t="s">
        <v>405</v>
      </c>
      <c r="O3" s="197"/>
      <c r="P3" s="198"/>
      <c r="Q3" s="220"/>
      <c r="R3" s="137"/>
      <c r="S3" s="55"/>
    </row>
    <row r="4" spans="1:19" ht="75" customHeight="1">
      <c r="A4" s="136"/>
      <c r="B4" s="217" t="s">
        <v>7</v>
      </c>
      <c r="C4" s="217" t="s">
        <v>8</v>
      </c>
      <c r="D4" s="217" t="s">
        <v>9</v>
      </c>
      <c r="E4" s="229" t="s">
        <v>10</v>
      </c>
      <c r="F4" s="227" t="s">
        <v>789</v>
      </c>
      <c r="G4" s="134" t="s">
        <v>11</v>
      </c>
      <c r="H4" s="164" t="s">
        <v>12</v>
      </c>
      <c r="I4" s="164" t="s">
        <v>790</v>
      </c>
      <c r="J4" s="141" t="s">
        <v>791</v>
      </c>
      <c r="K4" s="134"/>
      <c r="L4" s="139" t="s">
        <v>792</v>
      </c>
      <c r="M4" s="91"/>
      <c r="N4" s="91"/>
      <c r="O4" s="91"/>
      <c r="P4" s="91"/>
      <c r="Q4" s="91"/>
      <c r="R4" s="137"/>
      <c r="S4" s="55"/>
    </row>
    <row r="5" spans="1:19" ht="50.25" customHeight="1">
      <c r="A5" s="136"/>
      <c r="B5" s="217"/>
      <c r="C5" s="217"/>
      <c r="D5" s="217"/>
      <c r="E5" s="229"/>
      <c r="F5" s="227"/>
      <c r="G5" s="134" t="s">
        <v>13</v>
      </c>
      <c r="H5" s="164" t="s">
        <v>793</v>
      </c>
      <c r="I5" s="164" t="s">
        <v>794</v>
      </c>
      <c r="J5" s="141" t="s">
        <v>795</v>
      </c>
      <c r="K5" s="134"/>
      <c r="L5" s="140"/>
      <c r="M5" s="91"/>
      <c r="N5" s="91"/>
      <c r="O5" s="91"/>
      <c r="P5" s="91"/>
      <c r="Q5" s="91"/>
      <c r="R5" s="137"/>
      <c r="S5" s="55"/>
    </row>
    <row r="6" spans="1:19" ht="50.25" customHeight="1">
      <c r="A6" s="136"/>
      <c r="B6" s="217"/>
      <c r="C6" s="217"/>
      <c r="D6" s="217"/>
      <c r="E6" s="229"/>
      <c r="F6" s="227"/>
      <c r="G6" s="134" t="s">
        <v>14</v>
      </c>
      <c r="H6" s="164" t="s">
        <v>15</v>
      </c>
      <c r="I6" s="164" t="s">
        <v>796</v>
      </c>
      <c r="J6" s="141" t="s">
        <v>797</v>
      </c>
      <c r="K6" s="134"/>
      <c r="L6" s="140"/>
      <c r="M6" s="91"/>
      <c r="N6" s="91"/>
      <c r="O6" s="91"/>
      <c r="P6" s="91"/>
      <c r="Q6" s="91"/>
      <c r="R6" s="137"/>
      <c r="S6" s="55"/>
    </row>
    <row r="7" spans="1:19" ht="121.5" customHeight="1">
      <c r="A7" s="136"/>
      <c r="B7" s="217"/>
      <c r="C7" s="217"/>
      <c r="D7" s="217"/>
      <c r="E7" s="217" t="s">
        <v>16</v>
      </c>
      <c r="F7" s="227" t="s">
        <v>798</v>
      </c>
      <c r="G7" s="134" t="s">
        <v>17</v>
      </c>
      <c r="H7" s="141" t="s">
        <v>18</v>
      </c>
      <c r="I7" s="164" t="s">
        <v>799</v>
      </c>
      <c r="J7" s="141" t="s">
        <v>800</v>
      </c>
      <c r="K7" s="141"/>
      <c r="L7" s="142"/>
      <c r="M7" s="91"/>
      <c r="N7" s="91"/>
      <c r="O7" s="91"/>
      <c r="P7" s="91"/>
      <c r="Q7" s="91"/>
      <c r="R7" s="137"/>
      <c r="S7" s="55"/>
    </row>
    <row r="8" spans="1:19" ht="45" customHeight="1">
      <c r="A8" s="136"/>
      <c r="B8" s="217"/>
      <c r="C8" s="217"/>
      <c r="D8" s="217"/>
      <c r="E8" s="217"/>
      <c r="F8" s="227"/>
      <c r="G8" s="134" t="s">
        <v>19</v>
      </c>
      <c r="H8" s="141" t="s">
        <v>20</v>
      </c>
      <c r="I8" s="164" t="s">
        <v>801</v>
      </c>
      <c r="J8" s="141" t="s">
        <v>802</v>
      </c>
      <c r="K8" s="141"/>
      <c r="L8" s="142"/>
      <c r="M8" s="91"/>
      <c r="N8" s="91"/>
      <c r="O8" s="91"/>
      <c r="P8" s="91"/>
      <c r="Q8" s="91"/>
      <c r="R8" s="137"/>
      <c r="S8" s="55"/>
    </row>
    <row r="9" spans="1:19" ht="59.25" customHeight="1">
      <c r="A9" s="136"/>
      <c r="B9" s="217"/>
      <c r="C9" s="217"/>
      <c r="D9" s="217"/>
      <c r="E9" s="217"/>
      <c r="F9" s="227"/>
      <c r="G9" s="134" t="s">
        <v>21</v>
      </c>
      <c r="H9" s="165" t="s">
        <v>803</v>
      </c>
      <c r="I9" s="164" t="s">
        <v>804</v>
      </c>
      <c r="J9" s="141" t="s">
        <v>805</v>
      </c>
      <c r="K9" s="141"/>
      <c r="L9" s="136"/>
      <c r="M9" s="91"/>
      <c r="N9" s="91"/>
      <c r="O9" s="91"/>
      <c r="P9" s="91"/>
      <c r="Q9" s="91"/>
      <c r="R9" s="137"/>
      <c r="S9" s="55"/>
    </row>
    <row r="10" spans="1:19" ht="62.25" customHeight="1">
      <c r="A10" s="136"/>
      <c r="B10" s="217"/>
      <c r="C10" s="217"/>
      <c r="D10" s="217" t="s">
        <v>22</v>
      </c>
      <c r="E10" s="228" t="s">
        <v>23</v>
      </c>
      <c r="F10" s="227" t="s">
        <v>806</v>
      </c>
      <c r="G10" s="134" t="s">
        <v>24</v>
      </c>
      <c r="H10" s="164" t="s">
        <v>807</v>
      </c>
      <c r="I10" s="141" t="s">
        <v>808</v>
      </c>
      <c r="J10" s="141" t="s">
        <v>809</v>
      </c>
      <c r="K10" s="134"/>
      <c r="L10" s="140"/>
      <c r="M10" s="91"/>
      <c r="N10" s="91"/>
      <c r="O10" s="91"/>
      <c r="P10" s="91"/>
      <c r="Q10" s="91"/>
      <c r="R10" s="137"/>
      <c r="S10" s="55"/>
    </row>
    <row r="11" spans="1:19" ht="62.25" customHeight="1">
      <c r="A11" s="136"/>
      <c r="B11" s="217"/>
      <c r="C11" s="217"/>
      <c r="D11" s="217"/>
      <c r="E11" s="228"/>
      <c r="F11" s="227"/>
      <c r="G11" s="134" t="s">
        <v>25</v>
      </c>
      <c r="H11" s="164" t="s">
        <v>810</v>
      </c>
      <c r="I11" s="141" t="s">
        <v>811</v>
      </c>
      <c r="J11" s="141" t="s">
        <v>812</v>
      </c>
      <c r="K11" s="134"/>
      <c r="L11" s="140"/>
      <c r="M11" s="91"/>
      <c r="N11" s="91"/>
      <c r="O11" s="91"/>
      <c r="P11" s="91"/>
      <c r="Q11" s="91"/>
      <c r="R11" s="137"/>
      <c r="S11" s="55"/>
    </row>
    <row r="12" spans="1:19" ht="46.5" customHeight="1">
      <c r="A12" s="136"/>
      <c r="B12" s="217"/>
      <c r="C12" s="217"/>
      <c r="D12" s="217"/>
      <c r="E12" s="228"/>
      <c r="F12" s="227"/>
      <c r="G12" s="134" t="s">
        <v>28</v>
      </c>
      <c r="H12" s="164" t="s">
        <v>26</v>
      </c>
      <c r="I12" s="141" t="s">
        <v>813</v>
      </c>
      <c r="J12" s="141" t="s">
        <v>814</v>
      </c>
      <c r="K12" s="134"/>
      <c r="L12" s="140"/>
      <c r="M12" s="91"/>
      <c r="N12" s="91"/>
      <c r="O12" s="91"/>
      <c r="P12" s="91"/>
      <c r="Q12" s="91"/>
      <c r="R12" s="137"/>
      <c r="S12" s="55"/>
    </row>
    <row r="13" spans="1:19" ht="37.5" customHeight="1">
      <c r="A13" s="136"/>
      <c r="B13" s="217"/>
      <c r="C13" s="217"/>
      <c r="D13" s="217"/>
      <c r="E13" s="228" t="s">
        <v>815</v>
      </c>
      <c r="F13" s="235" t="s">
        <v>816</v>
      </c>
      <c r="G13" s="134" t="s">
        <v>29</v>
      </c>
      <c r="H13" s="164" t="s">
        <v>817</v>
      </c>
      <c r="I13" s="141" t="s">
        <v>818</v>
      </c>
      <c r="J13" s="141" t="s">
        <v>819</v>
      </c>
      <c r="K13" s="134"/>
      <c r="L13" s="140"/>
      <c r="M13" s="91"/>
      <c r="N13" s="91"/>
      <c r="O13" s="91"/>
      <c r="P13" s="91"/>
      <c r="Q13" s="91"/>
      <c r="R13" s="137"/>
      <c r="S13" s="55"/>
    </row>
    <row r="14" spans="1:19" ht="54.75" customHeight="1">
      <c r="A14" s="136"/>
      <c r="B14" s="217"/>
      <c r="C14" s="217"/>
      <c r="D14" s="217"/>
      <c r="E14" s="228"/>
      <c r="F14" s="235"/>
      <c r="G14" s="134" t="s">
        <v>29</v>
      </c>
      <c r="H14" s="164" t="s">
        <v>820</v>
      </c>
      <c r="I14" s="141" t="s">
        <v>821</v>
      </c>
      <c r="J14" s="141" t="s">
        <v>822</v>
      </c>
      <c r="K14" s="134"/>
      <c r="L14" s="140"/>
      <c r="M14" s="91"/>
      <c r="N14" s="91"/>
      <c r="O14" s="91"/>
      <c r="P14" s="91"/>
      <c r="Q14" s="91"/>
      <c r="R14" s="137"/>
      <c r="S14" s="55"/>
    </row>
    <row r="15" spans="1:19" ht="49.5" customHeight="1">
      <c r="A15" s="136"/>
      <c r="B15" s="217"/>
      <c r="C15" s="217"/>
      <c r="D15" s="217"/>
      <c r="E15" s="228"/>
      <c r="F15" s="235"/>
      <c r="G15" s="134" t="s">
        <v>30</v>
      </c>
      <c r="H15" s="166" t="s">
        <v>31</v>
      </c>
      <c r="I15" s="141" t="s">
        <v>823</v>
      </c>
      <c r="J15" s="141" t="s">
        <v>824</v>
      </c>
      <c r="K15" s="134"/>
      <c r="L15" s="140"/>
      <c r="M15" s="91"/>
      <c r="N15" s="91"/>
      <c r="O15" s="91"/>
      <c r="P15" s="91"/>
      <c r="Q15" s="91"/>
      <c r="R15" s="137"/>
      <c r="S15" s="55"/>
    </row>
    <row r="16" spans="1:19" ht="59.25" customHeight="1">
      <c r="A16" s="136"/>
      <c r="B16" s="217" t="s">
        <v>32</v>
      </c>
      <c r="C16" s="217" t="s">
        <v>33</v>
      </c>
      <c r="D16" s="217" t="s">
        <v>34</v>
      </c>
      <c r="E16" s="217" t="s">
        <v>35</v>
      </c>
      <c r="F16" s="234" t="s">
        <v>825</v>
      </c>
      <c r="G16" s="134" t="s">
        <v>36</v>
      </c>
      <c r="H16" s="164" t="s">
        <v>37</v>
      </c>
      <c r="I16" s="164" t="s">
        <v>826</v>
      </c>
      <c r="J16" s="141" t="s">
        <v>827</v>
      </c>
      <c r="K16" s="134"/>
      <c r="L16" s="231" t="s">
        <v>828</v>
      </c>
      <c r="M16" s="91"/>
      <c r="N16" s="91"/>
      <c r="O16" s="91"/>
      <c r="P16" s="91"/>
      <c r="Q16" s="91"/>
      <c r="R16" s="137"/>
      <c r="S16" s="55"/>
    </row>
    <row r="17" spans="1:20" ht="80.25" customHeight="1">
      <c r="A17" s="136"/>
      <c r="B17" s="217"/>
      <c r="C17" s="217"/>
      <c r="D17" s="217"/>
      <c r="E17" s="217"/>
      <c r="F17" s="234"/>
      <c r="G17" s="134" t="s">
        <v>38</v>
      </c>
      <c r="H17" s="164" t="s">
        <v>39</v>
      </c>
      <c r="I17" s="164" t="s">
        <v>829</v>
      </c>
      <c r="J17" s="141" t="s">
        <v>830</v>
      </c>
      <c r="K17" s="134" t="s">
        <v>616</v>
      </c>
      <c r="L17" s="231"/>
      <c r="M17" s="91"/>
      <c r="N17" s="91"/>
      <c r="O17" s="91"/>
      <c r="P17" s="91"/>
      <c r="Q17" s="91"/>
      <c r="R17" s="137"/>
      <c r="S17" s="55"/>
      <c r="T17" s="51" t="s">
        <v>831</v>
      </c>
    </row>
    <row r="18" spans="1:20" ht="117.75" customHeight="1">
      <c r="A18" s="136"/>
      <c r="B18" s="217"/>
      <c r="C18" s="217"/>
      <c r="D18" s="217"/>
      <c r="E18" s="217" t="s">
        <v>40</v>
      </c>
      <c r="F18" s="232" t="s">
        <v>832</v>
      </c>
      <c r="G18" s="134" t="s">
        <v>41</v>
      </c>
      <c r="H18" s="164" t="s">
        <v>42</v>
      </c>
      <c r="I18" s="141" t="s">
        <v>833</v>
      </c>
      <c r="J18" s="141" t="s">
        <v>834</v>
      </c>
      <c r="K18" s="134"/>
      <c r="L18" s="91" t="s">
        <v>835</v>
      </c>
      <c r="M18" s="91"/>
      <c r="N18" s="91"/>
      <c r="O18" s="91"/>
      <c r="P18" s="91"/>
      <c r="Q18" s="91"/>
      <c r="R18" s="137"/>
      <c r="S18" s="55"/>
    </row>
    <row r="19" spans="1:20" ht="85.5">
      <c r="A19" s="136"/>
      <c r="B19" s="217"/>
      <c r="C19" s="217"/>
      <c r="D19" s="217"/>
      <c r="E19" s="217"/>
      <c r="F19" s="232"/>
      <c r="G19" s="134" t="s">
        <v>43</v>
      </c>
      <c r="H19" s="164" t="s">
        <v>44</v>
      </c>
      <c r="I19" s="141" t="s">
        <v>836</v>
      </c>
      <c r="J19" s="167" t="s">
        <v>837</v>
      </c>
      <c r="K19" s="134" t="s">
        <v>838</v>
      </c>
      <c r="L19" s="143" t="s">
        <v>839</v>
      </c>
      <c r="M19" s="91"/>
      <c r="N19" s="91"/>
      <c r="O19" s="91"/>
      <c r="P19" s="91"/>
      <c r="Q19" s="91"/>
      <c r="R19" s="137"/>
      <c r="S19" s="55"/>
    </row>
    <row r="20" spans="1:20" ht="78.75">
      <c r="A20" s="136"/>
      <c r="B20" s="217" t="s">
        <v>45</v>
      </c>
      <c r="C20" s="217" t="s">
        <v>46</v>
      </c>
      <c r="D20" s="217" t="s">
        <v>47</v>
      </c>
      <c r="E20" s="217" t="s">
        <v>48</v>
      </c>
      <c r="F20" s="234" t="s">
        <v>840</v>
      </c>
      <c r="G20" s="134" t="s">
        <v>49</v>
      </c>
      <c r="H20" s="141" t="s">
        <v>50</v>
      </c>
      <c r="I20" s="164" t="s">
        <v>841</v>
      </c>
      <c r="J20" s="141" t="s">
        <v>842</v>
      </c>
      <c r="K20" s="134" t="s">
        <v>623</v>
      </c>
      <c r="L20" s="45" t="s">
        <v>843</v>
      </c>
      <c r="M20" s="91"/>
      <c r="N20" s="91"/>
      <c r="O20" s="91"/>
      <c r="P20" s="91"/>
      <c r="Q20" s="91"/>
      <c r="R20" s="137"/>
      <c r="S20" s="55"/>
    </row>
    <row r="21" spans="1:20" ht="38.25" customHeight="1">
      <c r="A21" s="136"/>
      <c r="B21" s="217"/>
      <c r="C21" s="217"/>
      <c r="D21" s="217"/>
      <c r="E21" s="217"/>
      <c r="F21" s="234"/>
      <c r="G21" s="134" t="s">
        <v>51</v>
      </c>
      <c r="H21" s="168" t="s">
        <v>844</v>
      </c>
      <c r="I21" s="169" t="s">
        <v>845</v>
      </c>
      <c r="J21" s="170" t="s">
        <v>846</v>
      </c>
      <c r="K21" s="134"/>
      <c r="L21" s="45"/>
      <c r="M21" s="91"/>
      <c r="N21" s="91"/>
      <c r="O21" s="91"/>
      <c r="P21" s="91"/>
      <c r="Q21" s="91"/>
      <c r="R21" s="137"/>
      <c r="S21" s="55"/>
    </row>
    <row r="22" spans="1:20" ht="38.25" customHeight="1">
      <c r="A22" s="136"/>
      <c r="B22" s="217"/>
      <c r="C22" s="217"/>
      <c r="D22" s="217"/>
      <c r="E22" s="217"/>
      <c r="F22" s="234"/>
      <c r="G22" s="134" t="s">
        <v>53</v>
      </c>
      <c r="H22" s="141" t="s">
        <v>52</v>
      </c>
      <c r="I22" s="164" t="s">
        <v>847</v>
      </c>
      <c r="J22" s="141" t="s">
        <v>848</v>
      </c>
      <c r="K22" s="134"/>
      <c r="L22" s="45"/>
      <c r="M22" s="91"/>
      <c r="N22" s="91"/>
      <c r="O22" s="91"/>
      <c r="P22" s="91"/>
      <c r="Q22" s="91"/>
      <c r="R22" s="137"/>
      <c r="S22" s="55"/>
    </row>
    <row r="23" spans="1:20" ht="39.75" customHeight="1">
      <c r="A23" s="136"/>
      <c r="B23" s="217"/>
      <c r="C23" s="217"/>
      <c r="D23" s="217"/>
      <c r="E23" s="217" t="s">
        <v>849</v>
      </c>
      <c r="F23" s="227" t="s">
        <v>625</v>
      </c>
      <c r="G23" s="134" t="s">
        <v>55</v>
      </c>
      <c r="H23" s="141" t="s">
        <v>54</v>
      </c>
      <c r="I23" s="164" t="s">
        <v>850</v>
      </c>
      <c r="J23" s="141" t="s">
        <v>851</v>
      </c>
      <c r="K23" s="134"/>
      <c r="L23" s="45"/>
      <c r="M23" s="91"/>
      <c r="N23" s="91"/>
      <c r="O23" s="91"/>
      <c r="P23" s="91"/>
      <c r="Q23" s="91"/>
      <c r="R23" s="137"/>
      <c r="S23" s="55"/>
    </row>
    <row r="24" spans="1:20" ht="64.5" customHeight="1">
      <c r="A24" s="136"/>
      <c r="B24" s="217"/>
      <c r="C24" s="217"/>
      <c r="D24" s="217"/>
      <c r="E24" s="217"/>
      <c r="F24" s="227"/>
      <c r="G24" s="134" t="s">
        <v>57</v>
      </c>
      <c r="H24" s="141" t="s">
        <v>56</v>
      </c>
      <c r="I24" s="164" t="s">
        <v>852</v>
      </c>
      <c r="J24" s="171" t="s">
        <v>853</v>
      </c>
      <c r="K24" s="134"/>
      <c r="L24" s="45"/>
      <c r="M24" s="91"/>
      <c r="N24" s="91"/>
      <c r="O24" s="91"/>
      <c r="P24" s="91"/>
      <c r="Q24" s="91"/>
      <c r="R24" s="137"/>
      <c r="S24" s="55"/>
    </row>
    <row r="25" spans="1:20" ht="72.75" customHeight="1">
      <c r="A25" s="136"/>
      <c r="B25" s="217"/>
      <c r="C25" s="217"/>
      <c r="D25" s="217"/>
      <c r="E25" s="217"/>
      <c r="F25" s="227"/>
      <c r="G25" s="134" t="s">
        <v>59</v>
      </c>
      <c r="H25" s="172" t="s">
        <v>58</v>
      </c>
      <c r="I25" s="164" t="s">
        <v>854</v>
      </c>
      <c r="J25" s="141" t="s">
        <v>855</v>
      </c>
      <c r="K25" s="134"/>
      <c r="L25" s="45"/>
      <c r="M25" s="91"/>
      <c r="N25" s="91"/>
      <c r="O25" s="91"/>
      <c r="P25" s="91"/>
      <c r="Q25" s="91"/>
      <c r="R25" s="137"/>
      <c r="S25" s="55"/>
    </row>
    <row r="26" spans="1:20" ht="50.25" customHeight="1">
      <c r="A26" s="136"/>
      <c r="B26" s="217"/>
      <c r="C26" s="217"/>
      <c r="D26" s="217"/>
      <c r="E26" s="217"/>
      <c r="F26" s="227"/>
      <c r="G26" s="134" t="s">
        <v>61</v>
      </c>
      <c r="H26" s="164" t="s">
        <v>60</v>
      </c>
      <c r="I26" s="164" t="s">
        <v>856</v>
      </c>
      <c r="J26" s="164" t="s">
        <v>857</v>
      </c>
      <c r="K26" s="134"/>
      <c r="L26" s="45"/>
      <c r="M26" s="91"/>
      <c r="N26" s="91"/>
      <c r="O26" s="91"/>
      <c r="P26" s="91"/>
      <c r="Q26" s="91"/>
      <c r="R26" s="137"/>
      <c r="S26" s="55"/>
    </row>
    <row r="27" spans="1:20" ht="23.25" customHeight="1">
      <c r="A27" s="136"/>
      <c r="B27" s="217"/>
      <c r="C27" s="217"/>
      <c r="D27" s="217"/>
      <c r="E27" s="217" t="s">
        <v>858</v>
      </c>
      <c r="F27" s="227" t="s">
        <v>859</v>
      </c>
      <c r="G27" s="134" t="s">
        <v>63</v>
      </c>
      <c r="H27" s="164" t="s">
        <v>62</v>
      </c>
      <c r="I27" s="164" t="s">
        <v>860</v>
      </c>
      <c r="J27" s="164" t="s">
        <v>861</v>
      </c>
      <c r="K27" s="134"/>
      <c r="L27" s="45"/>
      <c r="M27" s="91"/>
      <c r="N27" s="91"/>
      <c r="O27" s="91"/>
      <c r="P27" s="91"/>
      <c r="Q27" s="91"/>
      <c r="R27" s="137"/>
      <c r="S27" s="55"/>
    </row>
    <row r="28" spans="1:20" ht="38.25" customHeight="1">
      <c r="A28" s="136"/>
      <c r="B28" s="217"/>
      <c r="C28" s="217"/>
      <c r="D28" s="217"/>
      <c r="E28" s="217"/>
      <c r="F28" s="227"/>
      <c r="G28" s="134" t="s">
        <v>65</v>
      </c>
      <c r="H28" s="164" t="s">
        <v>64</v>
      </c>
      <c r="I28" s="164" t="s">
        <v>862</v>
      </c>
      <c r="J28" s="164" t="s">
        <v>863</v>
      </c>
      <c r="K28" s="134"/>
      <c r="L28" s="91" t="s">
        <v>438</v>
      </c>
      <c r="M28" s="91"/>
      <c r="N28" s="91"/>
      <c r="O28" s="91"/>
      <c r="P28" s="91"/>
      <c r="Q28" s="91"/>
      <c r="R28" s="137"/>
      <c r="S28" s="55"/>
    </row>
    <row r="29" spans="1:20" ht="33.75" customHeight="1">
      <c r="A29" s="136"/>
      <c r="B29" s="217"/>
      <c r="C29" s="217"/>
      <c r="D29" s="217"/>
      <c r="E29" s="217"/>
      <c r="F29" s="227"/>
      <c r="G29" s="134" t="s">
        <v>67</v>
      </c>
      <c r="H29" s="164" t="s">
        <v>66</v>
      </c>
      <c r="I29" s="164" t="s">
        <v>864</v>
      </c>
      <c r="J29" s="164" t="s">
        <v>865</v>
      </c>
      <c r="K29" s="134"/>
      <c r="L29" s="91"/>
      <c r="M29" s="91"/>
      <c r="N29" s="91"/>
      <c r="O29" s="91"/>
      <c r="P29" s="91"/>
      <c r="Q29" s="91"/>
      <c r="R29" s="137"/>
      <c r="S29" s="55"/>
    </row>
    <row r="30" spans="1:20" ht="33.75" customHeight="1">
      <c r="A30" s="136"/>
      <c r="B30" s="217"/>
      <c r="C30" s="217"/>
      <c r="D30" s="217"/>
      <c r="E30" s="217"/>
      <c r="F30" s="227"/>
      <c r="G30" s="134" t="s">
        <v>69</v>
      </c>
      <c r="H30" s="164" t="s">
        <v>71</v>
      </c>
      <c r="I30" s="164" t="s">
        <v>866</v>
      </c>
      <c r="J30" s="141" t="s">
        <v>867</v>
      </c>
      <c r="K30" s="134"/>
      <c r="L30" s="91"/>
      <c r="M30" s="91"/>
      <c r="N30" s="91"/>
      <c r="O30" s="91"/>
      <c r="P30" s="91"/>
      <c r="Q30" s="91"/>
      <c r="R30" s="137"/>
      <c r="S30" s="55"/>
    </row>
    <row r="31" spans="1:20" ht="40.5" customHeight="1">
      <c r="A31" s="136"/>
      <c r="B31" s="217"/>
      <c r="C31" s="217"/>
      <c r="D31" s="217"/>
      <c r="E31" s="217"/>
      <c r="F31" s="227"/>
      <c r="G31" s="134" t="s">
        <v>70</v>
      </c>
      <c r="H31" s="164" t="s">
        <v>868</v>
      </c>
      <c r="I31" s="164" t="s">
        <v>869</v>
      </c>
      <c r="J31" s="141" t="s">
        <v>870</v>
      </c>
      <c r="K31" s="134"/>
      <c r="L31" s="91"/>
      <c r="M31" s="91"/>
      <c r="N31" s="91"/>
      <c r="O31" s="91"/>
      <c r="P31" s="91"/>
      <c r="Q31" s="91"/>
      <c r="R31" s="137"/>
      <c r="S31" s="55"/>
    </row>
    <row r="32" spans="1:20" ht="51.75" customHeight="1">
      <c r="A32" s="136"/>
      <c r="B32" s="217"/>
      <c r="C32" s="217"/>
      <c r="D32" s="217"/>
      <c r="E32" s="90" t="s">
        <v>871</v>
      </c>
      <c r="F32" s="227"/>
      <c r="G32" s="134" t="s">
        <v>73</v>
      </c>
      <c r="H32" s="164" t="s">
        <v>68</v>
      </c>
      <c r="I32" s="164" t="s">
        <v>872</v>
      </c>
      <c r="J32" s="141" t="s">
        <v>873</v>
      </c>
      <c r="K32" s="134"/>
      <c r="L32" s="91"/>
      <c r="M32" s="91"/>
      <c r="N32" s="91"/>
      <c r="O32" s="91"/>
      <c r="S32" s="55"/>
    </row>
    <row r="33" spans="1:19" ht="51.75" customHeight="1">
      <c r="A33" s="136"/>
      <c r="B33" s="217"/>
      <c r="C33" s="217"/>
      <c r="D33" s="217"/>
      <c r="E33" s="217" t="s">
        <v>72</v>
      </c>
      <c r="F33" s="231" t="s">
        <v>636</v>
      </c>
      <c r="G33" s="134" t="s">
        <v>75</v>
      </c>
      <c r="H33" s="141" t="s">
        <v>74</v>
      </c>
      <c r="I33" s="164" t="s">
        <v>874</v>
      </c>
      <c r="J33" s="141" t="s">
        <v>875</v>
      </c>
      <c r="K33" s="134"/>
      <c r="L33" s="91"/>
      <c r="M33" s="91"/>
      <c r="N33" s="91"/>
      <c r="O33" s="91"/>
      <c r="P33" s="91"/>
      <c r="Q33" s="91"/>
      <c r="R33" s="137"/>
      <c r="S33" s="55"/>
    </row>
    <row r="34" spans="1:19" ht="51.75" customHeight="1">
      <c r="A34" s="136"/>
      <c r="B34" s="217"/>
      <c r="C34" s="217"/>
      <c r="D34" s="217"/>
      <c r="E34" s="217"/>
      <c r="F34" s="231"/>
      <c r="G34" s="134" t="s">
        <v>77</v>
      </c>
      <c r="H34" s="141" t="s">
        <v>76</v>
      </c>
      <c r="I34" s="164" t="s">
        <v>876</v>
      </c>
      <c r="J34" s="141" t="s">
        <v>877</v>
      </c>
      <c r="K34" s="134"/>
      <c r="L34" s="91"/>
      <c r="M34" s="91"/>
      <c r="N34" s="91"/>
      <c r="O34" s="91"/>
      <c r="P34" s="91"/>
      <c r="Q34" s="91"/>
      <c r="R34" s="137"/>
      <c r="S34" s="55"/>
    </row>
    <row r="35" spans="1:19" ht="41.25" customHeight="1">
      <c r="A35" s="136"/>
      <c r="B35" s="217"/>
      <c r="C35" s="217"/>
      <c r="D35" s="217"/>
      <c r="E35" s="217"/>
      <c r="F35" s="231"/>
      <c r="G35" s="134" t="s">
        <v>80</v>
      </c>
      <c r="H35" s="141" t="s">
        <v>78</v>
      </c>
      <c r="I35" s="164" t="s">
        <v>878</v>
      </c>
      <c r="J35" s="141" t="s">
        <v>879</v>
      </c>
      <c r="K35" s="134"/>
      <c r="L35" s="91"/>
      <c r="M35" s="91"/>
      <c r="N35" s="91"/>
      <c r="O35" s="91"/>
      <c r="P35" s="91"/>
      <c r="Q35" s="91"/>
      <c r="R35" s="137"/>
      <c r="S35" s="55"/>
    </row>
    <row r="36" spans="1:19" ht="94.5" customHeight="1">
      <c r="A36" s="136"/>
      <c r="B36" s="217"/>
      <c r="C36" s="217"/>
      <c r="D36" s="217"/>
      <c r="E36" s="90" t="s">
        <v>880</v>
      </c>
      <c r="F36" s="138" t="s">
        <v>453</v>
      </c>
      <c r="G36" s="134" t="s">
        <v>84</v>
      </c>
      <c r="H36" s="164" t="s">
        <v>81</v>
      </c>
      <c r="I36" s="164" t="s">
        <v>881</v>
      </c>
      <c r="J36" s="141" t="s">
        <v>882</v>
      </c>
      <c r="K36" s="134"/>
      <c r="L36" s="143" t="s">
        <v>631</v>
      </c>
      <c r="M36" s="91"/>
      <c r="N36" s="91"/>
      <c r="O36" s="91"/>
      <c r="P36" s="91"/>
      <c r="Q36" s="91"/>
      <c r="R36" s="137"/>
      <c r="S36" s="55"/>
    </row>
    <row r="37" spans="1:19" ht="78" customHeight="1">
      <c r="A37" s="136"/>
      <c r="B37" s="217"/>
      <c r="C37" s="217"/>
      <c r="D37" s="218" t="s">
        <v>82</v>
      </c>
      <c r="E37" s="90" t="s">
        <v>83</v>
      </c>
      <c r="F37" s="138" t="s">
        <v>883</v>
      </c>
      <c r="G37" s="134" t="s">
        <v>86</v>
      </c>
      <c r="H37" s="164" t="s">
        <v>884</v>
      </c>
      <c r="I37" s="164" t="s">
        <v>885</v>
      </c>
      <c r="J37" s="167" t="s">
        <v>886</v>
      </c>
      <c r="K37" s="134"/>
      <c r="L37" s="140" t="s">
        <v>635</v>
      </c>
      <c r="M37" s="91" t="s">
        <v>450</v>
      </c>
      <c r="N37" s="91" t="s">
        <v>459</v>
      </c>
      <c r="O37" s="91"/>
      <c r="P37" s="91"/>
      <c r="Q37" s="91"/>
      <c r="R37" s="137"/>
      <c r="S37" s="55"/>
    </row>
    <row r="38" spans="1:19" ht="39.75" customHeight="1">
      <c r="A38" s="136"/>
      <c r="B38" s="217"/>
      <c r="C38" s="217"/>
      <c r="D38" s="218"/>
      <c r="E38" s="217" t="s">
        <v>85</v>
      </c>
      <c r="F38" s="232" t="s">
        <v>887</v>
      </c>
      <c r="G38" s="134" t="s">
        <v>88</v>
      </c>
      <c r="H38" s="164" t="s">
        <v>87</v>
      </c>
      <c r="I38" s="141" t="s">
        <v>888</v>
      </c>
      <c r="J38" s="167" t="s">
        <v>889</v>
      </c>
      <c r="K38" s="134"/>
      <c r="L38" s="140"/>
      <c r="M38" s="91"/>
      <c r="N38" s="91"/>
      <c r="O38" s="91"/>
      <c r="P38" s="91"/>
      <c r="Q38" s="91"/>
      <c r="R38" s="137"/>
      <c r="S38" s="55"/>
    </row>
    <row r="39" spans="1:19" ht="25.5" customHeight="1">
      <c r="A39" s="136"/>
      <c r="B39" s="217"/>
      <c r="C39" s="217"/>
      <c r="D39" s="219"/>
      <c r="E39" s="217"/>
      <c r="F39" s="232"/>
      <c r="G39" s="134" t="s">
        <v>90</v>
      </c>
      <c r="H39" s="164" t="s">
        <v>89</v>
      </c>
      <c r="I39" s="164" t="s">
        <v>890</v>
      </c>
      <c r="J39" s="167" t="s">
        <v>891</v>
      </c>
      <c r="K39" s="134"/>
      <c r="L39" s="140"/>
      <c r="M39" s="91"/>
      <c r="N39" s="91"/>
      <c r="O39" s="91"/>
      <c r="P39" s="91"/>
      <c r="Q39" s="91"/>
      <c r="R39" s="137"/>
      <c r="S39" s="55"/>
    </row>
    <row r="40" spans="1:19" ht="32.25" customHeight="1">
      <c r="A40" s="136"/>
      <c r="B40" s="217"/>
      <c r="C40" s="217"/>
      <c r="D40" s="219"/>
      <c r="E40" s="240" t="s">
        <v>892</v>
      </c>
      <c r="F40" s="142" t="s">
        <v>893</v>
      </c>
      <c r="G40" s="134" t="s">
        <v>92</v>
      </c>
      <c r="H40" s="164" t="s">
        <v>91</v>
      </c>
      <c r="I40" s="174" t="s">
        <v>894</v>
      </c>
      <c r="J40" s="167" t="s">
        <v>895</v>
      </c>
      <c r="K40" s="146"/>
      <c r="L40" s="136"/>
      <c r="M40" s="136"/>
      <c r="N40" s="136"/>
      <c r="O40" s="136"/>
      <c r="P40" s="136"/>
      <c r="Q40" s="136"/>
      <c r="R40" s="137"/>
      <c r="S40" s="55"/>
    </row>
    <row r="41" spans="1:19" ht="25.5" customHeight="1">
      <c r="A41" s="136"/>
      <c r="B41" s="217"/>
      <c r="C41" s="217"/>
      <c r="D41" s="219"/>
      <c r="E41" s="240"/>
      <c r="F41" s="142"/>
      <c r="G41" s="134" t="s">
        <v>94</v>
      </c>
      <c r="H41" s="164" t="s">
        <v>89</v>
      </c>
      <c r="I41" s="146" t="s">
        <v>890</v>
      </c>
      <c r="J41" s="167" t="s">
        <v>896</v>
      </c>
      <c r="K41" s="146"/>
      <c r="L41" s="136"/>
      <c r="M41" s="136"/>
      <c r="N41" s="136"/>
      <c r="O41" s="136"/>
      <c r="P41" s="136"/>
      <c r="Q41" s="136"/>
      <c r="R41" s="137"/>
      <c r="S41" s="55"/>
    </row>
    <row r="42" spans="1:19" ht="65.25" customHeight="1">
      <c r="A42" s="136"/>
      <c r="B42" s="217"/>
      <c r="C42" s="217"/>
      <c r="D42" s="219"/>
      <c r="E42" s="240" t="s">
        <v>93</v>
      </c>
      <c r="F42" s="142" t="s">
        <v>897</v>
      </c>
      <c r="G42" s="134" t="s">
        <v>95</v>
      </c>
      <c r="H42" s="164" t="s">
        <v>898</v>
      </c>
      <c r="I42" s="174" t="s">
        <v>899</v>
      </c>
      <c r="J42" s="167" t="s">
        <v>900</v>
      </c>
      <c r="K42" s="146"/>
      <c r="L42" s="136"/>
      <c r="M42" s="136"/>
      <c r="N42" s="136"/>
      <c r="O42" s="136"/>
      <c r="P42" s="136"/>
      <c r="Q42" s="136"/>
      <c r="R42" s="137"/>
      <c r="S42" s="55"/>
    </row>
    <row r="43" spans="1:19" ht="28.5" customHeight="1">
      <c r="A43" s="136"/>
      <c r="B43" s="217"/>
      <c r="C43" s="217"/>
      <c r="D43" s="219"/>
      <c r="E43" s="240"/>
      <c r="F43" s="142"/>
      <c r="G43" s="134" t="s">
        <v>97</v>
      </c>
      <c r="H43" s="164" t="s">
        <v>89</v>
      </c>
      <c r="I43" s="146" t="s">
        <v>890</v>
      </c>
      <c r="J43" s="167" t="s">
        <v>901</v>
      </c>
      <c r="K43" s="146"/>
      <c r="L43" s="136"/>
      <c r="M43" s="136"/>
      <c r="N43" s="136"/>
      <c r="O43" s="136"/>
      <c r="P43" s="136"/>
      <c r="Q43" s="136"/>
      <c r="R43" s="137"/>
      <c r="S43" s="55"/>
    </row>
    <row r="44" spans="1:19" ht="97.5" customHeight="1">
      <c r="A44" s="136"/>
      <c r="B44" s="217"/>
      <c r="C44" s="217"/>
      <c r="D44" s="219"/>
      <c r="E44" s="147" t="s">
        <v>96</v>
      </c>
      <c r="F44" s="148" t="s">
        <v>902</v>
      </c>
      <c r="G44" s="134" t="s">
        <v>99</v>
      </c>
      <c r="H44" s="175" t="s">
        <v>98</v>
      </c>
      <c r="I44" s="175" t="s">
        <v>903</v>
      </c>
      <c r="J44" s="176" t="s">
        <v>904</v>
      </c>
      <c r="K44" s="146"/>
      <c r="L44" s="136"/>
      <c r="M44" s="136"/>
      <c r="N44" s="136"/>
      <c r="O44" s="136"/>
      <c r="P44" s="136"/>
      <c r="Q44" s="136"/>
      <c r="R44" s="137"/>
      <c r="S44" s="55"/>
    </row>
    <row r="45" spans="1:19" ht="151.5" customHeight="1">
      <c r="A45" s="136"/>
      <c r="B45" s="217"/>
      <c r="C45" s="217"/>
      <c r="D45" s="219"/>
      <c r="E45" s="241" t="s">
        <v>905</v>
      </c>
      <c r="F45" s="227" t="s">
        <v>643</v>
      </c>
      <c r="G45" s="134" t="s">
        <v>101</v>
      </c>
      <c r="H45" s="164" t="s">
        <v>100</v>
      </c>
      <c r="I45" s="164" t="s">
        <v>906</v>
      </c>
      <c r="J45" s="141" t="s">
        <v>907</v>
      </c>
      <c r="K45" s="134"/>
      <c r="L45" s="140" t="s">
        <v>645</v>
      </c>
      <c r="M45" s="136"/>
      <c r="N45" s="136"/>
      <c r="O45" s="136"/>
      <c r="P45" s="136"/>
      <c r="Q45" s="136"/>
      <c r="R45" s="137"/>
      <c r="S45" s="55"/>
    </row>
    <row r="46" spans="1:19" ht="99.75">
      <c r="A46" s="136"/>
      <c r="B46" s="217"/>
      <c r="C46" s="217"/>
      <c r="D46" s="219"/>
      <c r="E46" s="241"/>
      <c r="F46" s="227"/>
      <c r="G46" s="134" t="s">
        <v>103</v>
      </c>
      <c r="H46" s="175" t="s">
        <v>102</v>
      </c>
      <c r="I46" s="146" t="s">
        <v>908</v>
      </c>
      <c r="J46" s="177" t="s">
        <v>909</v>
      </c>
      <c r="K46" s="146"/>
      <c r="L46" s="136"/>
      <c r="M46" s="136"/>
      <c r="N46" s="136"/>
      <c r="O46" s="136"/>
      <c r="P46" s="136"/>
      <c r="Q46" s="136"/>
      <c r="R46" s="137"/>
      <c r="S46" s="55"/>
    </row>
    <row r="47" spans="1:19" ht="90" customHeight="1">
      <c r="A47" s="136"/>
      <c r="B47" s="217"/>
      <c r="C47" s="217"/>
      <c r="D47" s="219"/>
      <c r="E47" s="241" t="s">
        <v>910</v>
      </c>
      <c r="F47" s="227" t="s">
        <v>650</v>
      </c>
      <c r="G47" s="134" t="s">
        <v>103</v>
      </c>
      <c r="H47" s="164" t="s">
        <v>104</v>
      </c>
      <c r="I47" s="141" t="s">
        <v>911</v>
      </c>
      <c r="J47" s="177" t="s">
        <v>912</v>
      </c>
      <c r="K47" s="146"/>
      <c r="L47" s="136"/>
      <c r="M47" s="136"/>
      <c r="N47" s="136"/>
      <c r="O47" s="136"/>
      <c r="P47" s="136"/>
      <c r="Q47" s="136"/>
      <c r="R47" s="137"/>
      <c r="S47" s="55"/>
    </row>
    <row r="48" spans="1:19" ht="119.25" customHeight="1">
      <c r="A48" s="136"/>
      <c r="B48" s="217"/>
      <c r="C48" s="217"/>
      <c r="D48" s="219"/>
      <c r="E48" s="241"/>
      <c r="F48" s="227"/>
      <c r="G48" s="134" t="s">
        <v>105</v>
      </c>
      <c r="H48" s="164" t="s">
        <v>106</v>
      </c>
      <c r="I48" s="141" t="s">
        <v>913</v>
      </c>
      <c r="J48" s="141" t="s">
        <v>914</v>
      </c>
      <c r="K48" s="146"/>
      <c r="L48" s="136"/>
      <c r="M48" s="136"/>
      <c r="N48" s="136"/>
      <c r="O48" s="136"/>
      <c r="P48" s="136"/>
      <c r="Q48" s="136"/>
      <c r="R48" s="137"/>
      <c r="S48" s="55"/>
    </row>
    <row r="49" spans="1:19" ht="95.25" customHeight="1">
      <c r="A49" s="136"/>
      <c r="B49" s="217"/>
      <c r="C49" s="217"/>
      <c r="D49" s="219"/>
      <c r="E49" s="149" t="s">
        <v>915</v>
      </c>
      <c r="F49" s="138" t="s">
        <v>647</v>
      </c>
      <c r="G49" s="134" t="s">
        <v>107</v>
      </c>
      <c r="H49" s="164" t="s">
        <v>108</v>
      </c>
      <c r="I49" s="141" t="s">
        <v>916</v>
      </c>
      <c r="J49" s="141" t="s">
        <v>917</v>
      </c>
      <c r="K49" s="146"/>
      <c r="L49" s="136"/>
      <c r="M49" s="136"/>
      <c r="N49" s="136"/>
      <c r="O49" s="136"/>
      <c r="P49" s="136"/>
      <c r="Q49" s="136"/>
      <c r="R49" s="137"/>
      <c r="S49" s="55"/>
    </row>
    <row r="50" spans="1:19" ht="81" customHeight="1">
      <c r="A50" s="136"/>
      <c r="B50" s="217"/>
      <c r="C50" s="217"/>
      <c r="D50" s="242" t="s">
        <v>918</v>
      </c>
      <c r="E50" s="240" t="s">
        <v>919</v>
      </c>
      <c r="F50" s="236" t="s">
        <v>920</v>
      </c>
      <c r="G50" s="134" t="s">
        <v>109</v>
      </c>
      <c r="H50" s="178" t="s">
        <v>110</v>
      </c>
      <c r="I50" s="179" t="s">
        <v>921</v>
      </c>
      <c r="J50" s="176" t="s">
        <v>922</v>
      </c>
      <c r="K50" s="146"/>
      <c r="L50" s="136"/>
      <c r="M50" s="136"/>
      <c r="N50" s="136"/>
      <c r="O50" s="136"/>
      <c r="P50" s="136"/>
      <c r="Q50" s="136"/>
      <c r="R50" s="137"/>
      <c r="S50" s="55"/>
    </row>
    <row r="51" spans="1:19" ht="38.25" customHeight="1">
      <c r="A51" s="136"/>
      <c r="B51" s="217"/>
      <c r="C51" s="217"/>
      <c r="D51" s="242"/>
      <c r="E51" s="240"/>
      <c r="F51" s="236"/>
      <c r="G51" s="134" t="s">
        <v>111</v>
      </c>
      <c r="H51" s="178" t="s">
        <v>112</v>
      </c>
      <c r="I51" s="179" t="s">
        <v>923</v>
      </c>
      <c r="J51" s="176" t="s">
        <v>924</v>
      </c>
      <c r="K51" s="146"/>
      <c r="L51" s="136"/>
      <c r="M51" s="136"/>
      <c r="N51" s="136"/>
      <c r="O51" s="136"/>
      <c r="P51" s="136"/>
      <c r="Q51" s="136"/>
      <c r="R51" s="137"/>
      <c r="S51" s="55"/>
    </row>
    <row r="52" spans="1:19" ht="31.5" customHeight="1">
      <c r="A52" s="136"/>
      <c r="B52" s="217" t="s">
        <v>113</v>
      </c>
      <c r="C52" s="217" t="s">
        <v>925</v>
      </c>
      <c r="D52" s="217" t="s">
        <v>926</v>
      </c>
      <c r="E52" s="217" t="s">
        <v>927</v>
      </c>
      <c r="F52" s="227" t="s">
        <v>928</v>
      </c>
      <c r="G52" s="134" t="s">
        <v>462</v>
      </c>
      <c r="H52" s="164" t="s">
        <v>114</v>
      </c>
      <c r="I52" s="164" t="s">
        <v>929</v>
      </c>
      <c r="J52" s="141" t="s">
        <v>930</v>
      </c>
      <c r="K52" s="134"/>
      <c r="L52" s="139"/>
      <c r="M52" s="91"/>
      <c r="N52" s="91"/>
      <c r="O52" s="91"/>
      <c r="P52" s="91"/>
      <c r="Q52" s="91"/>
      <c r="R52" s="137"/>
      <c r="S52" s="55"/>
    </row>
    <row r="53" spans="1:19" ht="31.5" customHeight="1">
      <c r="A53" s="136"/>
      <c r="B53" s="217"/>
      <c r="C53" s="217"/>
      <c r="D53" s="217"/>
      <c r="E53" s="217"/>
      <c r="F53" s="227"/>
      <c r="G53" s="134" t="s">
        <v>115</v>
      </c>
      <c r="H53" s="164" t="s">
        <v>116</v>
      </c>
      <c r="I53" s="164" t="s">
        <v>931</v>
      </c>
      <c r="J53" s="141" t="s">
        <v>932</v>
      </c>
      <c r="K53" s="134"/>
      <c r="L53" s="139"/>
      <c r="M53" s="91"/>
      <c r="N53" s="91"/>
      <c r="O53" s="91"/>
      <c r="P53" s="91"/>
      <c r="Q53" s="91"/>
      <c r="R53" s="137"/>
      <c r="S53" s="55"/>
    </row>
    <row r="54" spans="1:19" ht="31.5" customHeight="1">
      <c r="A54" s="136"/>
      <c r="B54" s="217"/>
      <c r="C54" s="217"/>
      <c r="D54" s="217"/>
      <c r="E54" s="217"/>
      <c r="F54" s="227"/>
      <c r="G54" s="134" t="s">
        <v>117</v>
      </c>
      <c r="H54" s="164" t="s">
        <v>933</v>
      </c>
      <c r="I54" s="164" t="s">
        <v>934</v>
      </c>
      <c r="J54" s="141" t="s">
        <v>935</v>
      </c>
      <c r="K54" s="134"/>
      <c r="L54" s="139"/>
      <c r="M54" s="91"/>
      <c r="N54" s="91"/>
      <c r="O54" s="91"/>
      <c r="P54" s="91"/>
      <c r="Q54" s="91"/>
      <c r="R54" s="137"/>
      <c r="S54" s="55"/>
    </row>
    <row r="55" spans="1:19" ht="69" customHeight="1">
      <c r="A55" s="136"/>
      <c r="B55" s="217"/>
      <c r="C55" s="217"/>
      <c r="D55" s="217"/>
      <c r="E55" s="244" t="s">
        <v>936</v>
      </c>
      <c r="F55" s="237" t="s">
        <v>937</v>
      </c>
      <c r="G55" s="134" t="s">
        <v>118</v>
      </c>
      <c r="H55" s="164" t="s">
        <v>119</v>
      </c>
      <c r="I55" s="141" t="s">
        <v>938</v>
      </c>
      <c r="J55" s="141" t="s">
        <v>939</v>
      </c>
      <c r="K55" s="134"/>
      <c r="L55" s="139"/>
      <c r="M55" s="91"/>
      <c r="N55" s="91"/>
      <c r="O55" s="91"/>
      <c r="P55" s="91"/>
      <c r="Q55" s="91"/>
      <c r="R55" s="137"/>
      <c r="S55" s="55"/>
    </row>
    <row r="56" spans="1:19" ht="45" customHeight="1">
      <c r="A56" s="136" t="e" cm="1" vm="1">
        <f t="array" aca="1" ref="A56" ca="1">4:176</f>
        <v>#VALUE!</v>
      </c>
      <c r="B56" s="217"/>
      <c r="C56" s="217"/>
      <c r="D56" s="217"/>
      <c r="E56" s="245"/>
      <c r="F56" s="238"/>
      <c r="G56" s="208" t="s">
        <v>120</v>
      </c>
      <c r="H56" s="202" t="s">
        <v>121</v>
      </c>
      <c r="I56" s="203" t="s">
        <v>940</v>
      </c>
      <c r="J56" s="203" t="s">
        <v>941</v>
      </c>
      <c r="K56" s="134"/>
      <c r="L56" s="139"/>
      <c r="M56" s="91"/>
      <c r="N56" s="91"/>
      <c r="O56" s="91"/>
      <c r="P56" s="91"/>
      <c r="Q56" s="91"/>
      <c r="R56" s="137"/>
      <c r="S56" s="55"/>
    </row>
    <row r="57" spans="1:19" ht="74.25" customHeight="1">
      <c r="A57" s="136"/>
      <c r="B57" s="217"/>
      <c r="C57" s="217"/>
      <c r="D57" s="217"/>
      <c r="E57" s="245"/>
      <c r="F57" s="238"/>
      <c r="G57" s="206" t="s">
        <v>122</v>
      </c>
      <c r="H57" s="207" t="s">
        <v>123</v>
      </c>
      <c r="I57" s="205" t="s">
        <v>942</v>
      </c>
      <c r="J57" s="205" t="s">
        <v>943</v>
      </c>
      <c r="K57" s="134"/>
      <c r="L57" s="139"/>
      <c r="M57" s="91"/>
      <c r="N57" s="91"/>
      <c r="O57" s="91"/>
      <c r="P57" s="91"/>
      <c r="Q57" s="91"/>
      <c r="R57" s="137"/>
      <c r="S57" s="55"/>
    </row>
    <row r="58" spans="1:19" ht="33.75" customHeight="1">
      <c r="A58" s="136"/>
      <c r="B58" s="217"/>
      <c r="C58" s="217"/>
      <c r="D58" s="217"/>
      <c r="E58" s="245"/>
      <c r="F58" s="238"/>
      <c r="G58" s="204" t="s">
        <v>124</v>
      </c>
      <c r="H58" s="164" t="s">
        <v>125</v>
      </c>
      <c r="I58" s="141" t="s">
        <v>944</v>
      </c>
      <c r="J58" s="141" t="s">
        <v>945</v>
      </c>
      <c r="K58" s="134"/>
      <c r="L58" s="139"/>
      <c r="M58" s="91"/>
      <c r="N58" s="91"/>
      <c r="O58" s="91"/>
      <c r="P58" s="91"/>
      <c r="Q58" s="91"/>
      <c r="R58" s="137"/>
      <c r="S58" s="55"/>
    </row>
    <row r="59" spans="1:19" ht="53.25" customHeight="1">
      <c r="A59" s="136"/>
      <c r="B59" s="217"/>
      <c r="C59" s="217"/>
      <c r="D59" s="217"/>
      <c r="E59" s="245"/>
      <c r="F59" s="238"/>
      <c r="G59" s="134" t="s">
        <v>126</v>
      </c>
      <c r="H59" s="164" t="s">
        <v>127</v>
      </c>
      <c r="I59" s="141" t="s">
        <v>946</v>
      </c>
      <c r="J59" s="141" t="s">
        <v>947</v>
      </c>
      <c r="K59" s="134"/>
      <c r="L59" s="139"/>
      <c r="M59" s="91"/>
      <c r="N59" s="91"/>
      <c r="O59" s="91"/>
      <c r="P59" s="91"/>
      <c r="Q59" s="91"/>
      <c r="R59" s="137"/>
      <c r="S59" s="55"/>
    </row>
    <row r="60" spans="1:19" ht="34.5" customHeight="1">
      <c r="A60" s="136"/>
      <c r="B60" s="217"/>
      <c r="C60" s="217"/>
      <c r="D60" s="217"/>
      <c r="E60" s="245"/>
      <c r="F60" s="238"/>
      <c r="G60" s="134" t="s">
        <v>128</v>
      </c>
      <c r="H60" s="164" t="s">
        <v>129</v>
      </c>
      <c r="I60" s="164" t="s">
        <v>948</v>
      </c>
      <c r="J60" s="141" t="s">
        <v>949</v>
      </c>
      <c r="K60" s="134"/>
      <c r="L60" s="139"/>
      <c r="M60" s="91"/>
      <c r="N60" s="91"/>
      <c r="O60" s="91"/>
      <c r="P60" s="91"/>
      <c r="Q60" s="91"/>
      <c r="R60" s="137"/>
      <c r="S60" s="55"/>
    </row>
    <row r="61" spans="1:19" ht="34.5" customHeight="1">
      <c r="A61" s="136"/>
      <c r="B61" s="217"/>
      <c r="C61" s="217"/>
      <c r="D61" s="217"/>
      <c r="E61" s="245"/>
      <c r="F61" s="238"/>
      <c r="G61" s="134" t="s">
        <v>130</v>
      </c>
      <c r="H61" s="164" t="s">
        <v>950</v>
      </c>
      <c r="I61" s="164" t="s">
        <v>951</v>
      </c>
      <c r="J61" s="141" t="s">
        <v>952</v>
      </c>
      <c r="K61" s="134"/>
      <c r="L61" s="139"/>
      <c r="M61" s="91"/>
      <c r="N61" s="91"/>
      <c r="O61" s="91"/>
      <c r="P61" s="91"/>
      <c r="Q61" s="91"/>
      <c r="R61" s="137"/>
      <c r="S61" s="55"/>
    </row>
    <row r="62" spans="1:19" ht="46.5" customHeight="1">
      <c r="A62" s="136"/>
      <c r="B62" s="217"/>
      <c r="C62" s="217"/>
      <c r="D62" s="217"/>
      <c r="E62" s="245"/>
      <c r="F62" s="238"/>
      <c r="G62" s="134" t="s">
        <v>131</v>
      </c>
      <c r="H62" s="164" t="s">
        <v>953</v>
      </c>
      <c r="I62" s="164" t="s">
        <v>954</v>
      </c>
      <c r="J62" s="141" t="s">
        <v>955</v>
      </c>
      <c r="K62" s="134"/>
      <c r="L62" s="139"/>
      <c r="M62" s="91"/>
      <c r="N62" s="91"/>
      <c r="O62" s="91"/>
      <c r="P62" s="91"/>
      <c r="Q62" s="91"/>
      <c r="R62" s="137"/>
      <c r="S62" s="55"/>
    </row>
    <row r="63" spans="1:19" ht="46.5" customHeight="1">
      <c r="A63" s="136"/>
      <c r="B63" s="217"/>
      <c r="C63" s="217"/>
      <c r="D63" s="217"/>
      <c r="E63" s="245"/>
      <c r="F63" s="238"/>
      <c r="G63" s="134" t="s">
        <v>132</v>
      </c>
      <c r="H63" s="164" t="s">
        <v>956</v>
      </c>
      <c r="I63" s="164" t="s">
        <v>957</v>
      </c>
      <c r="J63" s="141" t="s">
        <v>958</v>
      </c>
      <c r="K63" s="134"/>
      <c r="L63" s="139"/>
      <c r="M63" s="91"/>
      <c r="N63" s="91"/>
      <c r="O63" s="91"/>
      <c r="P63" s="91"/>
      <c r="Q63" s="91"/>
      <c r="R63" s="137"/>
      <c r="S63" s="55"/>
    </row>
    <row r="64" spans="1:19" ht="46.5" customHeight="1">
      <c r="A64" s="136"/>
      <c r="B64" s="217"/>
      <c r="C64" s="217"/>
      <c r="D64" s="217"/>
      <c r="E64" s="245"/>
      <c r="F64" s="238"/>
      <c r="G64" s="134" t="s">
        <v>134</v>
      </c>
      <c r="H64" s="164" t="s">
        <v>959</v>
      </c>
      <c r="I64" s="164" t="s">
        <v>960</v>
      </c>
      <c r="J64" s="141" t="s">
        <v>961</v>
      </c>
      <c r="K64" s="134"/>
      <c r="L64" s="139"/>
      <c r="M64" s="91"/>
      <c r="N64" s="91"/>
      <c r="O64" s="91"/>
      <c r="P64" s="91"/>
      <c r="Q64" s="91"/>
      <c r="R64" s="137"/>
      <c r="S64" s="55"/>
    </row>
    <row r="65" spans="1:19" ht="46.5" customHeight="1">
      <c r="A65" s="136"/>
      <c r="B65" s="217"/>
      <c r="C65" s="217"/>
      <c r="D65" s="217"/>
      <c r="E65" s="245"/>
      <c r="F65" s="238"/>
      <c r="G65" s="134" t="s">
        <v>136</v>
      </c>
      <c r="H65" s="164" t="s">
        <v>962</v>
      </c>
      <c r="I65" s="164" t="s">
        <v>963</v>
      </c>
      <c r="J65" s="141" t="s">
        <v>964</v>
      </c>
      <c r="K65" s="134"/>
      <c r="L65" s="139"/>
      <c r="M65" s="91"/>
      <c r="N65" s="91"/>
      <c r="O65" s="91"/>
      <c r="P65" s="91"/>
      <c r="Q65" s="91"/>
      <c r="R65" s="137"/>
      <c r="S65" s="55"/>
    </row>
    <row r="66" spans="1:19" ht="46.5" customHeight="1">
      <c r="A66" s="136"/>
      <c r="B66" s="217"/>
      <c r="C66" s="217"/>
      <c r="D66" s="217"/>
      <c r="E66" s="245"/>
      <c r="F66" s="239"/>
      <c r="G66" s="134" t="s">
        <v>137</v>
      </c>
      <c r="H66" s="164" t="s">
        <v>965</v>
      </c>
      <c r="I66" s="164" t="s">
        <v>966</v>
      </c>
      <c r="J66" s="141" t="s">
        <v>967</v>
      </c>
      <c r="K66" s="134"/>
      <c r="L66" s="139"/>
      <c r="M66" s="91"/>
      <c r="N66" s="91"/>
      <c r="O66" s="91"/>
      <c r="P66" s="91"/>
      <c r="Q66" s="91"/>
      <c r="R66" s="137"/>
      <c r="S66" s="55"/>
    </row>
    <row r="67" spans="1:19" ht="42.75" customHeight="1">
      <c r="A67" s="136"/>
      <c r="B67" s="217"/>
      <c r="C67" s="217"/>
      <c r="D67" s="217"/>
      <c r="E67" s="246"/>
      <c r="F67" s="138" t="s">
        <v>671</v>
      </c>
      <c r="G67" s="134" t="s">
        <v>139</v>
      </c>
      <c r="H67" s="164" t="s">
        <v>133</v>
      </c>
      <c r="I67" s="164" t="s">
        <v>968</v>
      </c>
      <c r="J67" s="141" t="s">
        <v>969</v>
      </c>
      <c r="K67" s="134"/>
      <c r="L67" s="139"/>
      <c r="M67" s="91"/>
      <c r="N67" s="91"/>
      <c r="O67" s="91"/>
      <c r="P67" s="91"/>
      <c r="Q67" s="91"/>
      <c r="R67" s="137"/>
      <c r="S67" s="55"/>
    </row>
    <row r="68" spans="1:19" ht="181.5" customHeight="1">
      <c r="A68" s="136"/>
      <c r="B68" s="217"/>
      <c r="C68" s="217"/>
      <c r="D68" s="217"/>
      <c r="E68" s="247" t="s">
        <v>970</v>
      </c>
      <c r="F68" s="250" t="s">
        <v>971</v>
      </c>
      <c r="G68" s="134" t="s">
        <v>141</v>
      </c>
      <c r="H68" s="141" t="s">
        <v>135</v>
      </c>
      <c r="I68" s="164" t="s">
        <v>972</v>
      </c>
      <c r="J68" s="141" t="s">
        <v>973</v>
      </c>
      <c r="K68" s="134"/>
      <c r="L68" s="139"/>
      <c r="M68" s="91"/>
      <c r="N68" s="91"/>
      <c r="O68" s="91"/>
      <c r="P68" s="91"/>
      <c r="Q68" s="91"/>
      <c r="R68" s="137"/>
      <c r="S68" s="55"/>
    </row>
    <row r="69" spans="1:19" ht="54" customHeight="1">
      <c r="A69" s="136"/>
      <c r="B69" s="217"/>
      <c r="C69" s="217"/>
      <c r="D69" s="217"/>
      <c r="E69" s="248"/>
      <c r="F69" s="251"/>
      <c r="G69" s="134" t="s">
        <v>143</v>
      </c>
      <c r="H69" s="164" t="s">
        <v>152</v>
      </c>
      <c r="I69" s="164" t="s">
        <v>974</v>
      </c>
      <c r="J69" s="180" t="s">
        <v>975</v>
      </c>
      <c r="K69" s="230"/>
      <c r="L69" s="227" t="s">
        <v>678</v>
      </c>
      <c r="M69" s="91"/>
      <c r="N69" s="227" t="s">
        <v>679</v>
      </c>
      <c r="O69" s="91"/>
      <c r="P69" s="91"/>
      <c r="Q69" s="91"/>
      <c r="R69" s="137"/>
      <c r="S69" s="55"/>
    </row>
    <row r="70" spans="1:19" ht="48" customHeight="1">
      <c r="A70" s="136"/>
      <c r="B70" s="217"/>
      <c r="C70" s="217"/>
      <c r="D70" s="217"/>
      <c r="E70" s="248"/>
      <c r="F70" s="251"/>
      <c r="G70" s="134" t="s">
        <v>145</v>
      </c>
      <c r="H70" s="164" t="s">
        <v>154</v>
      </c>
      <c r="I70" s="164" t="s">
        <v>976</v>
      </c>
      <c r="J70" s="180" t="s">
        <v>977</v>
      </c>
      <c r="K70" s="230"/>
      <c r="L70" s="227"/>
      <c r="M70" s="91"/>
      <c r="N70" s="227"/>
      <c r="O70" s="91"/>
      <c r="P70" s="91"/>
      <c r="Q70" s="91"/>
      <c r="R70" s="137"/>
      <c r="S70" s="55"/>
    </row>
    <row r="71" spans="1:19" ht="53.25" customHeight="1">
      <c r="A71" s="136"/>
      <c r="B71" s="217"/>
      <c r="C71" s="217"/>
      <c r="D71" s="217"/>
      <c r="E71" s="248"/>
      <c r="F71" s="251"/>
      <c r="G71" s="134" t="s">
        <v>147</v>
      </c>
      <c r="H71" s="211" t="s">
        <v>978</v>
      </c>
      <c r="I71" s="164" t="s">
        <v>979</v>
      </c>
      <c r="J71" s="180" t="s">
        <v>980</v>
      </c>
      <c r="K71" s="230"/>
      <c r="L71" s="227"/>
      <c r="M71" s="91"/>
      <c r="N71" s="227"/>
      <c r="O71" s="91"/>
      <c r="P71" s="91"/>
      <c r="Q71" s="91"/>
      <c r="R71" s="137"/>
      <c r="S71" s="55"/>
    </row>
    <row r="72" spans="1:19" ht="53.25" customHeight="1">
      <c r="A72" s="136"/>
      <c r="B72" s="217"/>
      <c r="C72" s="217"/>
      <c r="D72" s="217"/>
      <c r="E72" s="248"/>
      <c r="F72" s="251"/>
      <c r="G72" s="134" t="s">
        <v>149</v>
      </c>
      <c r="H72" s="211" t="s">
        <v>157</v>
      </c>
      <c r="I72" s="164" t="s">
        <v>981</v>
      </c>
      <c r="J72" s="181" t="s">
        <v>982</v>
      </c>
      <c r="K72" s="230"/>
      <c r="L72" s="227"/>
      <c r="M72" s="91"/>
      <c r="N72" s="227"/>
      <c r="O72" s="91"/>
      <c r="P72" s="91"/>
      <c r="Q72" s="91"/>
      <c r="R72" s="137"/>
      <c r="S72" s="55"/>
    </row>
    <row r="73" spans="1:19" ht="53.25" customHeight="1">
      <c r="A73" s="136"/>
      <c r="B73" s="217"/>
      <c r="C73" s="217"/>
      <c r="D73" s="217"/>
      <c r="E73" s="248"/>
      <c r="F73" s="251"/>
      <c r="G73" s="134" t="s">
        <v>151</v>
      </c>
      <c r="H73" s="164" t="s">
        <v>983</v>
      </c>
      <c r="I73" s="164" t="s">
        <v>984</v>
      </c>
      <c r="J73" s="181" t="s">
        <v>985</v>
      </c>
      <c r="K73" s="230"/>
      <c r="L73" s="231"/>
      <c r="M73" s="91"/>
      <c r="N73" s="231"/>
      <c r="O73" s="91"/>
      <c r="P73" s="91"/>
      <c r="Q73" s="91"/>
      <c r="R73" s="137"/>
      <c r="S73" s="55"/>
    </row>
    <row r="74" spans="1:19" ht="53.25" customHeight="1">
      <c r="A74" s="136"/>
      <c r="B74" s="217"/>
      <c r="C74" s="217"/>
      <c r="D74" s="217"/>
      <c r="E74" s="249"/>
      <c r="F74" s="252"/>
      <c r="G74" s="134" t="s">
        <v>153</v>
      </c>
      <c r="H74" s="164" t="s">
        <v>160</v>
      </c>
      <c r="I74" s="164" t="s">
        <v>986</v>
      </c>
      <c r="J74" s="181" t="s">
        <v>987</v>
      </c>
      <c r="K74" s="151"/>
      <c r="L74" s="91"/>
      <c r="M74" s="91"/>
      <c r="N74" s="91"/>
      <c r="O74" s="91"/>
      <c r="P74" s="91"/>
      <c r="Q74" s="91"/>
      <c r="R74" s="137"/>
      <c r="S74" s="55"/>
    </row>
    <row r="75" spans="1:19" ht="52.5" customHeight="1">
      <c r="A75" s="136"/>
      <c r="B75" s="217"/>
      <c r="C75" s="217"/>
      <c r="D75" s="217"/>
      <c r="E75" s="217" t="s">
        <v>988</v>
      </c>
      <c r="F75" s="232" t="s">
        <v>989</v>
      </c>
      <c r="G75" s="134" t="s">
        <v>155</v>
      </c>
      <c r="H75" s="164" t="s">
        <v>138</v>
      </c>
      <c r="I75" s="164" t="s">
        <v>990</v>
      </c>
      <c r="J75" s="141" t="s">
        <v>991</v>
      </c>
      <c r="K75" s="134"/>
      <c r="L75" s="138" t="s">
        <v>684</v>
      </c>
      <c r="M75" s="91"/>
      <c r="N75" s="91"/>
      <c r="O75" s="91"/>
      <c r="P75" s="91"/>
      <c r="Q75" s="91"/>
      <c r="R75" s="137"/>
      <c r="S75" s="55"/>
    </row>
    <row r="76" spans="1:19" ht="35.25" customHeight="1">
      <c r="A76" s="136"/>
      <c r="B76" s="217"/>
      <c r="C76" s="217"/>
      <c r="D76" s="217"/>
      <c r="E76" s="217"/>
      <c r="F76" s="232"/>
      <c r="G76" s="134" t="s">
        <v>156</v>
      </c>
      <c r="H76" s="164" t="s">
        <v>140</v>
      </c>
      <c r="I76" s="164" t="s">
        <v>992</v>
      </c>
      <c r="J76" s="141" t="s">
        <v>993</v>
      </c>
      <c r="K76" s="134"/>
      <c r="L76" s="138"/>
      <c r="M76" s="91"/>
      <c r="N76" s="91"/>
      <c r="O76" s="91"/>
      <c r="P76" s="91"/>
      <c r="Q76" s="91"/>
      <c r="R76" s="137"/>
      <c r="S76" s="55"/>
    </row>
    <row r="77" spans="1:19" ht="101.25" customHeight="1">
      <c r="A77" s="136"/>
      <c r="B77" s="217"/>
      <c r="C77" s="217"/>
      <c r="D77" s="217"/>
      <c r="E77" s="217"/>
      <c r="F77" s="232"/>
      <c r="G77" s="134" t="s">
        <v>158</v>
      </c>
      <c r="H77" s="164" t="s">
        <v>142</v>
      </c>
      <c r="I77" s="141" t="s">
        <v>994</v>
      </c>
      <c r="J77" s="141" t="s">
        <v>995</v>
      </c>
      <c r="K77" s="134"/>
      <c r="L77" s="138"/>
      <c r="M77" s="91"/>
      <c r="N77" s="91"/>
      <c r="O77" s="91"/>
      <c r="P77" s="91"/>
      <c r="Q77" s="91"/>
      <c r="R77" s="137"/>
      <c r="S77" s="55"/>
    </row>
    <row r="78" spans="1:19" ht="27" customHeight="1">
      <c r="A78" s="136"/>
      <c r="B78" s="217"/>
      <c r="C78" s="217"/>
      <c r="D78" s="217"/>
      <c r="E78" s="217"/>
      <c r="F78" s="232"/>
      <c r="G78" s="134" t="s">
        <v>159</v>
      </c>
      <c r="H78" s="164" t="s">
        <v>144</v>
      </c>
      <c r="I78" s="141" t="s">
        <v>996</v>
      </c>
      <c r="J78" s="141" t="s">
        <v>997</v>
      </c>
      <c r="K78" s="134"/>
      <c r="L78" s="138"/>
      <c r="M78" s="91"/>
      <c r="N78" s="91"/>
      <c r="O78" s="91"/>
      <c r="P78" s="91"/>
      <c r="Q78" s="91"/>
      <c r="R78" s="137"/>
      <c r="S78" s="55"/>
    </row>
    <row r="79" spans="1:19" ht="27" customHeight="1">
      <c r="A79" s="136"/>
      <c r="B79" s="217"/>
      <c r="C79" s="217"/>
      <c r="D79" s="217"/>
      <c r="E79" s="217"/>
      <c r="F79" s="232"/>
      <c r="G79" s="134" t="s">
        <v>161</v>
      </c>
      <c r="H79" s="164" t="s">
        <v>146</v>
      </c>
      <c r="I79" s="141" t="s">
        <v>998</v>
      </c>
      <c r="J79" s="141"/>
      <c r="K79" s="134"/>
      <c r="L79" s="138"/>
      <c r="M79" s="91"/>
      <c r="N79" s="91"/>
      <c r="O79" s="91"/>
      <c r="P79" s="91"/>
      <c r="Q79" s="91"/>
      <c r="R79" s="137"/>
      <c r="S79" s="55"/>
    </row>
    <row r="80" spans="1:19" ht="47.25" customHeight="1">
      <c r="A80" s="136"/>
      <c r="B80" s="217"/>
      <c r="C80" s="217"/>
      <c r="D80" s="217"/>
      <c r="E80" s="217"/>
      <c r="F80" s="232"/>
      <c r="G80" s="134" t="s">
        <v>163</v>
      </c>
      <c r="H80" s="211" t="s">
        <v>148</v>
      </c>
      <c r="I80" s="141" t="s">
        <v>999</v>
      </c>
      <c r="J80" s="141" t="s">
        <v>1000</v>
      </c>
      <c r="K80" s="134"/>
      <c r="L80" s="215" t="s">
        <v>1001</v>
      </c>
      <c r="M80" s="91"/>
      <c r="N80" s="91"/>
      <c r="O80" s="91"/>
      <c r="P80" s="91"/>
      <c r="Q80" s="91"/>
      <c r="R80" s="137"/>
      <c r="S80" s="55"/>
    </row>
    <row r="81" spans="1:19" ht="28.5" customHeight="1">
      <c r="A81" s="136"/>
      <c r="B81" s="217"/>
      <c r="C81" s="217"/>
      <c r="D81" s="217"/>
      <c r="E81" s="217"/>
      <c r="F81" s="232"/>
      <c r="G81" s="134" t="s">
        <v>165</v>
      </c>
      <c r="H81" s="136" t="s">
        <v>150</v>
      </c>
      <c r="I81" s="141" t="s">
        <v>1002</v>
      </c>
      <c r="J81" s="141" t="s">
        <v>1003</v>
      </c>
      <c r="K81" s="134"/>
      <c r="L81" s="138" t="s">
        <v>688</v>
      </c>
      <c r="M81" s="91"/>
      <c r="N81" s="91"/>
      <c r="O81" s="91"/>
      <c r="P81" s="91"/>
      <c r="Q81" s="91"/>
      <c r="R81" s="137"/>
      <c r="S81" s="55"/>
    </row>
    <row r="82" spans="1:19" ht="39" customHeight="1">
      <c r="A82" s="136"/>
      <c r="B82" s="217"/>
      <c r="C82" s="217"/>
      <c r="D82" s="217"/>
      <c r="E82" s="90" t="s">
        <v>1004</v>
      </c>
      <c r="F82" s="138" t="s">
        <v>1005</v>
      </c>
      <c r="G82" s="134" t="s">
        <v>167</v>
      </c>
      <c r="H82" s="164" t="s">
        <v>162</v>
      </c>
      <c r="I82" s="164" t="s">
        <v>1006</v>
      </c>
      <c r="J82" s="180" t="s">
        <v>1007</v>
      </c>
      <c r="K82" s="151"/>
      <c r="L82" s="91"/>
      <c r="M82" s="91"/>
      <c r="N82" s="91"/>
      <c r="O82" s="91"/>
      <c r="P82" s="91"/>
      <c r="Q82" s="91"/>
      <c r="R82" s="137"/>
      <c r="S82" s="55"/>
    </row>
    <row r="83" spans="1:19" ht="51.75" customHeight="1">
      <c r="A83" s="136"/>
      <c r="B83" s="217"/>
      <c r="C83" s="217"/>
      <c r="D83" s="217"/>
      <c r="E83" s="217" t="s">
        <v>689</v>
      </c>
      <c r="F83" s="227" t="s">
        <v>1008</v>
      </c>
      <c r="G83" s="134" t="s">
        <v>169</v>
      </c>
      <c r="H83" s="164" t="s">
        <v>164</v>
      </c>
      <c r="I83" s="164" t="s">
        <v>1009</v>
      </c>
      <c r="J83" s="141" t="s">
        <v>1010</v>
      </c>
      <c r="K83" s="134"/>
      <c r="L83" s="139"/>
      <c r="M83" s="91"/>
      <c r="N83" s="91"/>
      <c r="O83" s="91"/>
      <c r="P83" s="91"/>
      <c r="Q83" s="91"/>
      <c r="R83" s="137"/>
      <c r="S83" s="55"/>
    </row>
    <row r="84" spans="1:19" ht="25.5" customHeight="1">
      <c r="A84" s="136"/>
      <c r="B84" s="217"/>
      <c r="C84" s="217"/>
      <c r="D84" s="217"/>
      <c r="E84" s="217"/>
      <c r="F84" s="227"/>
      <c r="G84" s="134" t="s">
        <v>171</v>
      </c>
      <c r="H84" s="164" t="s">
        <v>166</v>
      </c>
      <c r="I84" s="182" t="s">
        <v>1011</v>
      </c>
      <c r="J84" s="183" t="s">
        <v>1012</v>
      </c>
      <c r="K84" s="134"/>
      <c r="L84" s="139"/>
      <c r="M84" s="91"/>
      <c r="N84" s="91"/>
      <c r="O84" s="91"/>
      <c r="P84" s="91"/>
      <c r="Q84" s="91"/>
      <c r="R84" s="137"/>
      <c r="S84" s="55"/>
    </row>
    <row r="85" spans="1:19" ht="60" customHeight="1">
      <c r="A85" s="136"/>
      <c r="B85" s="217"/>
      <c r="C85" s="217"/>
      <c r="D85" s="217"/>
      <c r="E85" s="217"/>
      <c r="F85" s="227"/>
      <c r="G85" s="134" t="s">
        <v>173</v>
      </c>
      <c r="H85" s="164" t="s">
        <v>168</v>
      </c>
      <c r="I85" s="141" t="s">
        <v>1013</v>
      </c>
      <c r="J85" s="167" t="s">
        <v>1014</v>
      </c>
      <c r="K85" s="134"/>
      <c r="L85" s="139"/>
      <c r="M85" s="91"/>
      <c r="N85" s="91"/>
      <c r="O85" s="91"/>
      <c r="P85" s="91"/>
      <c r="Q85" s="91"/>
      <c r="R85" s="137"/>
      <c r="S85" s="55"/>
    </row>
    <row r="86" spans="1:19" ht="42.75" customHeight="1">
      <c r="A86" s="136"/>
      <c r="B86" s="217"/>
      <c r="C86" s="217"/>
      <c r="D86" s="217"/>
      <c r="E86" s="217"/>
      <c r="F86" s="227"/>
      <c r="G86" s="134" t="s">
        <v>177</v>
      </c>
      <c r="H86" s="164" t="s">
        <v>170</v>
      </c>
      <c r="I86" s="164" t="s">
        <v>1015</v>
      </c>
      <c r="J86" s="141" t="s">
        <v>1016</v>
      </c>
      <c r="K86" s="134"/>
      <c r="L86" s="139"/>
      <c r="M86" s="91"/>
      <c r="N86" s="91"/>
      <c r="O86" s="91"/>
      <c r="P86" s="91"/>
      <c r="Q86" s="91"/>
      <c r="R86" s="137"/>
      <c r="S86" s="55"/>
    </row>
    <row r="87" spans="1:19" ht="42.75" customHeight="1">
      <c r="A87" s="136"/>
      <c r="B87" s="217"/>
      <c r="C87" s="217"/>
      <c r="D87" s="217"/>
      <c r="E87" s="217"/>
      <c r="F87" s="227"/>
      <c r="G87" s="134" t="s">
        <v>178</v>
      </c>
      <c r="H87" s="164" t="s">
        <v>172</v>
      </c>
      <c r="I87" s="164" t="s">
        <v>1017</v>
      </c>
      <c r="J87" s="141" t="s">
        <v>1018</v>
      </c>
      <c r="K87" s="134"/>
      <c r="L87" s="139"/>
      <c r="M87" s="91"/>
      <c r="N87" s="91"/>
      <c r="O87" s="91"/>
      <c r="P87" s="91"/>
      <c r="Q87" s="91"/>
      <c r="R87" s="137"/>
      <c r="S87" s="55"/>
    </row>
    <row r="88" spans="1:19" ht="33">
      <c r="A88" s="136"/>
      <c r="B88" s="217"/>
      <c r="C88" s="217"/>
      <c r="D88" s="217"/>
      <c r="E88" s="217"/>
      <c r="F88" s="227"/>
      <c r="G88" s="134" t="s">
        <v>179</v>
      </c>
      <c r="H88" s="211" t="s">
        <v>174</v>
      </c>
      <c r="I88" s="184" t="s">
        <v>1019</v>
      </c>
      <c r="J88" s="185" t="s">
        <v>1020</v>
      </c>
      <c r="K88" s="134"/>
      <c r="L88" s="139"/>
      <c r="M88" s="91"/>
      <c r="N88" s="91"/>
      <c r="O88" s="91"/>
      <c r="P88" s="91"/>
      <c r="Q88" s="91"/>
      <c r="R88" s="137"/>
      <c r="S88" s="55"/>
    </row>
    <row r="89" spans="1:19" ht="37.5" customHeight="1">
      <c r="A89" s="136"/>
      <c r="B89" s="217"/>
      <c r="C89" s="217"/>
      <c r="D89" s="217" t="s">
        <v>175</v>
      </c>
      <c r="E89" s="217" t="s">
        <v>1021</v>
      </c>
      <c r="F89" s="227" t="s">
        <v>696</v>
      </c>
      <c r="G89" s="134" t="s">
        <v>181</v>
      </c>
      <c r="H89" s="211" t="s">
        <v>1022</v>
      </c>
      <c r="I89" s="164" t="s">
        <v>1023</v>
      </c>
      <c r="J89" s="141" t="s">
        <v>1024</v>
      </c>
      <c r="K89" s="134"/>
      <c r="L89" s="138" t="s">
        <v>698</v>
      </c>
      <c r="M89" s="91"/>
      <c r="N89" s="91"/>
      <c r="O89" s="91"/>
      <c r="P89" s="91"/>
      <c r="Q89" s="91"/>
      <c r="R89" s="137"/>
      <c r="S89" s="55"/>
    </row>
    <row r="90" spans="1:19" ht="37.5" customHeight="1">
      <c r="A90" s="136"/>
      <c r="B90" s="217"/>
      <c r="C90" s="217"/>
      <c r="D90" s="217"/>
      <c r="E90" s="217"/>
      <c r="F90" s="227"/>
      <c r="G90" s="134" t="s">
        <v>184</v>
      </c>
      <c r="H90" s="164" t="s">
        <v>180</v>
      </c>
      <c r="I90" s="146" t="s">
        <v>1025</v>
      </c>
      <c r="J90" s="141" t="s">
        <v>1026</v>
      </c>
      <c r="K90" s="134"/>
      <c r="L90" s="138"/>
      <c r="M90" s="91"/>
      <c r="N90" s="91"/>
      <c r="O90" s="91"/>
      <c r="P90" s="91"/>
      <c r="Q90" s="91"/>
      <c r="R90" s="137"/>
      <c r="S90" s="55"/>
    </row>
    <row r="91" spans="1:19" ht="37.5" customHeight="1">
      <c r="A91" s="136"/>
      <c r="B91" s="217"/>
      <c r="C91" s="217"/>
      <c r="D91" s="217"/>
      <c r="E91" s="217"/>
      <c r="F91" s="227"/>
      <c r="G91" s="134" t="s">
        <v>185</v>
      </c>
      <c r="H91" s="164" t="s">
        <v>182</v>
      </c>
      <c r="I91" s="173" t="s">
        <v>1027</v>
      </c>
      <c r="J91" s="141" t="s">
        <v>1028</v>
      </c>
      <c r="K91" s="134"/>
      <c r="L91" s="138"/>
      <c r="M91" s="91"/>
      <c r="N91" s="91"/>
      <c r="O91" s="91"/>
      <c r="P91" s="91"/>
      <c r="Q91" s="91"/>
      <c r="R91" s="137"/>
      <c r="S91" s="55"/>
    </row>
    <row r="92" spans="1:19" ht="63.75" customHeight="1">
      <c r="A92" s="136"/>
      <c r="B92" s="217"/>
      <c r="C92" s="217"/>
      <c r="D92" s="217"/>
      <c r="E92" s="217" t="s">
        <v>1029</v>
      </c>
      <c r="F92" s="227" t="s">
        <v>1030</v>
      </c>
      <c r="G92" s="134" t="s">
        <v>187</v>
      </c>
      <c r="H92" s="164" t="s">
        <v>1031</v>
      </c>
      <c r="I92" s="175" t="s">
        <v>1032</v>
      </c>
      <c r="J92" s="186" t="s">
        <v>1033</v>
      </c>
      <c r="K92" s="151"/>
      <c r="L92" s="138" t="s">
        <v>701</v>
      </c>
      <c r="M92" s="91"/>
      <c r="N92" s="91"/>
      <c r="O92" s="91"/>
      <c r="P92" s="91"/>
      <c r="Q92" s="91"/>
      <c r="R92" s="137">
        <f ca="1">R92</f>
        <v>0</v>
      </c>
      <c r="S92" s="55"/>
    </row>
    <row r="93" spans="1:19" ht="63.75" customHeight="1">
      <c r="A93" s="136"/>
      <c r="B93" s="217"/>
      <c r="C93" s="217"/>
      <c r="D93" s="217"/>
      <c r="E93" s="217"/>
      <c r="F93" s="227"/>
      <c r="G93" s="134" t="s">
        <v>189</v>
      </c>
      <c r="H93" s="164" t="s">
        <v>186</v>
      </c>
      <c r="I93" s="175" t="s">
        <v>1034</v>
      </c>
      <c r="J93" s="167" t="s">
        <v>1035</v>
      </c>
      <c r="K93" s="151"/>
      <c r="L93" s="138"/>
      <c r="M93" s="91"/>
      <c r="N93" s="91"/>
      <c r="O93" s="91"/>
      <c r="P93" s="91"/>
      <c r="Q93" s="91"/>
      <c r="R93" s="137"/>
      <c r="S93" s="55"/>
    </row>
    <row r="94" spans="1:19" ht="63.75" customHeight="1">
      <c r="A94" s="136"/>
      <c r="B94" s="217"/>
      <c r="C94" s="217"/>
      <c r="D94" s="217"/>
      <c r="E94" s="217"/>
      <c r="F94" s="227"/>
      <c r="G94" s="134" t="s">
        <v>192</v>
      </c>
      <c r="H94" s="164" t="s">
        <v>188</v>
      </c>
      <c r="I94" s="175" t="s">
        <v>1036</v>
      </c>
      <c r="J94" s="167" t="s">
        <v>1037</v>
      </c>
      <c r="K94" s="151"/>
      <c r="L94" s="138"/>
      <c r="M94" s="91"/>
      <c r="N94" s="91"/>
      <c r="O94" s="91"/>
      <c r="P94" s="91"/>
      <c r="Q94" s="91"/>
      <c r="R94" s="137"/>
      <c r="S94" s="55"/>
    </row>
    <row r="95" spans="1:19" ht="57" customHeight="1">
      <c r="A95" s="136"/>
      <c r="B95" s="217"/>
      <c r="C95" s="217"/>
      <c r="D95" s="217"/>
      <c r="E95" s="217"/>
      <c r="F95" s="227"/>
      <c r="G95" s="134" t="s">
        <v>194</v>
      </c>
      <c r="H95" s="164" t="s">
        <v>190</v>
      </c>
      <c r="I95" s="175" t="s">
        <v>1038</v>
      </c>
      <c r="J95" s="167" t="s">
        <v>1039</v>
      </c>
      <c r="K95" s="151"/>
      <c r="L95" s="138"/>
      <c r="M95" s="91"/>
      <c r="N95" s="91"/>
      <c r="O95" s="91"/>
      <c r="P95" s="91"/>
      <c r="Q95" s="91"/>
      <c r="R95" s="137"/>
      <c r="S95" s="55"/>
    </row>
    <row r="96" spans="1:19" ht="51.75" customHeight="1">
      <c r="A96" s="136"/>
      <c r="B96" s="217"/>
      <c r="C96" s="217"/>
      <c r="D96" s="217"/>
      <c r="E96" s="217" t="s">
        <v>191</v>
      </c>
      <c r="F96" s="227" t="s">
        <v>703</v>
      </c>
      <c r="G96" s="134" t="s">
        <v>196</v>
      </c>
      <c r="H96" s="164" t="s">
        <v>193</v>
      </c>
      <c r="I96" s="164" t="s">
        <v>1040</v>
      </c>
      <c r="J96" s="167" t="s">
        <v>1041</v>
      </c>
      <c r="K96" s="134"/>
      <c r="L96" s="138" t="s">
        <v>705</v>
      </c>
      <c r="M96" s="91"/>
      <c r="N96" s="91"/>
      <c r="O96" s="91"/>
      <c r="P96" s="91"/>
      <c r="Q96" s="91"/>
      <c r="R96" s="152"/>
      <c r="S96" s="55"/>
    </row>
    <row r="97" spans="1:19" ht="64.5" customHeight="1">
      <c r="A97" s="136"/>
      <c r="B97" s="217"/>
      <c r="C97" s="217"/>
      <c r="D97" s="217"/>
      <c r="E97" s="217"/>
      <c r="F97" s="227"/>
      <c r="G97" s="134" t="s">
        <v>198</v>
      </c>
      <c r="H97" s="164" t="s">
        <v>195</v>
      </c>
      <c r="I97" s="164" t="s">
        <v>1042</v>
      </c>
      <c r="J97" s="141" t="s">
        <v>1043</v>
      </c>
      <c r="K97" s="134"/>
      <c r="L97" s="138"/>
      <c r="M97" s="91"/>
      <c r="N97" s="91"/>
      <c r="O97" s="91"/>
      <c r="P97" s="91"/>
      <c r="Q97" s="91"/>
      <c r="R97" s="152"/>
      <c r="S97" s="55"/>
    </row>
    <row r="98" spans="1:19" ht="72" customHeight="1">
      <c r="A98" s="136"/>
      <c r="B98" s="217"/>
      <c r="C98" s="217"/>
      <c r="D98" s="217"/>
      <c r="E98" s="217"/>
      <c r="F98" s="227"/>
      <c r="G98" s="134" t="s">
        <v>199</v>
      </c>
      <c r="H98" s="164" t="s">
        <v>197</v>
      </c>
      <c r="I98" s="164" t="s">
        <v>1044</v>
      </c>
      <c r="J98" s="141" t="s">
        <v>1045</v>
      </c>
      <c r="K98" s="134"/>
      <c r="L98" s="138"/>
      <c r="M98" s="91"/>
      <c r="N98" s="91"/>
      <c r="O98" s="91"/>
      <c r="P98" s="91"/>
      <c r="Q98" s="91"/>
      <c r="R98" s="152"/>
      <c r="S98" s="55"/>
    </row>
    <row r="99" spans="1:19" ht="16.5" customHeight="1">
      <c r="A99" s="136"/>
      <c r="B99" s="217"/>
      <c r="C99" s="217"/>
      <c r="D99" s="217"/>
      <c r="E99" s="217"/>
      <c r="F99" s="227"/>
      <c r="G99" s="134" t="s">
        <v>201</v>
      </c>
      <c r="H99" s="164" t="s">
        <v>186</v>
      </c>
      <c r="I99" s="164" t="s">
        <v>1046</v>
      </c>
      <c r="J99" s="141" t="s">
        <v>1047</v>
      </c>
      <c r="K99" s="134"/>
      <c r="L99" s="138"/>
      <c r="M99" s="91"/>
      <c r="N99" s="91"/>
      <c r="O99" s="91"/>
      <c r="P99" s="91"/>
      <c r="Q99" s="91"/>
      <c r="R99" s="152"/>
      <c r="S99" s="55"/>
    </row>
    <row r="100" spans="1:19" ht="16.5" customHeight="1">
      <c r="A100" s="136"/>
      <c r="B100" s="217"/>
      <c r="C100" s="217"/>
      <c r="D100" s="217"/>
      <c r="E100" s="217"/>
      <c r="F100" s="227"/>
      <c r="G100" s="134" t="s">
        <v>203</v>
      </c>
      <c r="H100" s="164" t="s">
        <v>182</v>
      </c>
      <c r="I100" s="173" t="s">
        <v>1027</v>
      </c>
      <c r="J100" s="141" t="s">
        <v>1028</v>
      </c>
      <c r="K100" s="134"/>
      <c r="L100" s="138"/>
      <c r="M100" s="91"/>
      <c r="N100" s="91"/>
      <c r="O100" s="91"/>
      <c r="P100" s="91"/>
      <c r="Q100" s="91"/>
      <c r="R100" s="152"/>
      <c r="S100" s="55"/>
    </row>
    <row r="101" spans="1:19" ht="69" customHeight="1">
      <c r="A101" s="136"/>
      <c r="B101" s="217"/>
      <c r="C101" s="217"/>
      <c r="D101" s="217"/>
      <c r="E101" s="217" t="s">
        <v>200</v>
      </c>
      <c r="F101" s="227" t="s">
        <v>706</v>
      </c>
      <c r="G101" s="134" t="s">
        <v>206</v>
      </c>
      <c r="H101" s="164" t="s">
        <v>202</v>
      </c>
      <c r="I101" s="164" t="s">
        <v>1048</v>
      </c>
      <c r="J101" s="141" t="s">
        <v>1049</v>
      </c>
      <c r="K101" s="134"/>
      <c r="L101" s="91"/>
      <c r="M101" s="91"/>
      <c r="N101" s="91"/>
      <c r="O101" s="91"/>
      <c r="P101" s="91"/>
      <c r="Q101" s="91"/>
      <c r="R101" s="137"/>
      <c r="S101" s="55"/>
    </row>
    <row r="102" spans="1:19" ht="119.25" customHeight="1">
      <c r="A102" s="136"/>
      <c r="B102" s="217"/>
      <c r="C102" s="217"/>
      <c r="D102" s="217"/>
      <c r="E102" s="217"/>
      <c r="F102" s="227"/>
      <c r="G102" s="134" t="s">
        <v>207</v>
      </c>
      <c r="H102" s="164" t="s">
        <v>204</v>
      </c>
      <c r="I102" s="164" t="s">
        <v>1050</v>
      </c>
      <c r="J102" s="141" t="s">
        <v>1051</v>
      </c>
      <c r="K102" s="134"/>
      <c r="L102" s="91"/>
      <c r="M102" s="91"/>
      <c r="N102" s="91"/>
      <c r="O102" s="91"/>
      <c r="P102" s="91"/>
      <c r="Q102" s="91"/>
      <c r="R102" s="137"/>
      <c r="S102" s="55"/>
    </row>
    <row r="103" spans="1:19" ht="45" customHeight="1">
      <c r="A103" s="136"/>
      <c r="B103" s="217"/>
      <c r="C103" s="217"/>
      <c r="D103" s="217"/>
      <c r="E103" s="217" t="s">
        <v>205</v>
      </c>
      <c r="F103" s="227" t="s">
        <v>709</v>
      </c>
      <c r="G103" s="134" t="s">
        <v>209</v>
      </c>
      <c r="H103" s="164" t="s">
        <v>205</v>
      </c>
      <c r="I103" s="164" t="s">
        <v>1052</v>
      </c>
      <c r="J103" s="164" t="s">
        <v>1053</v>
      </c>
      <c r="K103" s="134"/>
      <c r="L103" s="143" t="s">
        <v>711</v>
      </c>
      <c r="M103" s="91"/>
      <c r="N103" s="91"/>
      <c r="O103" s="91"/>
      <c r="P103" s="91"/>
      <c r="Q103" s="91"/>
      <c r="R103" s="137"/>
      <c r="S103" s="55"/>
    </row>
    <row r="104" spans="1:19" ht="45" customHeight="1">
      <c r="A104" s="136"/>
      <c r="B104" s="217"/>
      <c r="C104" s="217"/>
      <c r="D104" s="217"/>
      <c r="E104" s="217"/>
      <c r="F104" s="227"/>
      <c r="G104" s="134" t="s">
        <v>211</v>
      </c>
      <c r="H104" s="164" t="s">
        <v>208</v>
      </c>
      <c r="I104" s="164" t="s">
        <v>1054</v>
      </c>
      <c r="J104" s="164" t="s">
        <v>1055</v>
      </c>
      <c r="K104" s="134"/>
      <c r="L104" s="143"/>
      <c r="M104" s="91"/>
      <c r="N104" s="91"/>
      <c r="O104" s="91"/>
      <c r="P104" s="91"/>
      <c r="Q104" s="91"/>
      <c r="R104" s="137"/>
      <c r="S104" s="55"/>
    </row>
    <row r="105" spans="1:19" ht="45" customHeight="1">
      <c r="A105" s="136"/>
      <c r="B105" s="217"/>
      <c r="C105" s="217"/>
      <c r="D105" s="217"/>
      <c r="E105" s="217"/>
      <c r="F105" s="227"/>
      <c r="G105" s="134" t="s">
        <v>213</v>
      </c>
      <c r="H105" s="164" t="s">
        <v>210</v>
      </c>
      <c r="I105" s="164" t="s">
        <v>1056</v>
      </c>
      <c r="J105" s="164" t="s">
        <v>1057</v>
      </c>
      <c r="K105" s="134"/>
      <c r="L105" s="143"/>
      <c r="M105" s="91"/>
      <c r="N105" s="91"/>
      <c r="O105" s="91"/>
      <c r="P105" s="91"/>
      <c r="Q105" s="91"/>
      <c r="R105" s="137"/>
      <c r="S105" s="55"/>
    </row>
    <row r="106" spans="1:19" ht="45" customHeight="1">
      <c r="A106" s="136"/>
      <c r="B106" s="217"/>
      <c r="C106" s="217"/>
      <c r="D106" s="217"/>
      <c r="E106" s="217"/>
      <c r="F106" s="227"/>
      <c r="G106" s="134" t="s">
        <v>215</v>
      </c>
      <c r="H106" s="164" t="s">
        <v>212</v>
      </c>
      <c r="I106" s="164" t="s">
        <v>1058</v>
      </c>
      <c r="J106" s="164" t="s">
        <v>1059</v>
      </c>
      <c r="K106" s="134"/>
      <c r="L106" s="143"/>
      <c r="M106" s="91"/>
      <c r="N106" s="91"/>
      <c r="O106" s="91"/>
      <c r="P106" s="91"/>
      <c r="Q106" s="91"/>
      <c r="R106" s="137"/>
      <c r="S106" s="55"/>
    </row>
    <row r="107" spans="1:19" ht="45" customHeight="1">
      <c r="A107" s="136"/>
      <c r="B107" s="217"/>
      <c r="C107" s="217"/>
      <c r="D107" s="217"/>
      <c r="E107" s="217"/>
      <c r="F107" s="227"/>
      <c r="G107" s="134" t="s">
        <v>217</v>
      </c>
      <c r="H107" s="164" t="s">
        <v>214</v>
      </c>
      <c r="I107" s="164" t="s">
        <v>1060</v>
      </c>
      <c r="J107" s="164" t="s">
        <v>1061</v>
      </c>
      <c r="K107" s="134"/>
      <c r="L107" s="143"/>
      <c r="M107" s="91"/>
      <c r="N107" s="91"/>
      <c r="O107" s="91"/>
      <c r="P107" s="91"/>
      <c r="Q107" s="91"/>
      <c r="R107" s="137"/>
      <c r="S107" s="55"/>
    </row>
    <row r="108" spans="1:19" ht="45" customHeight="1">
      <c r="A108" s="136"/>
      <c r="B108" s="217"/>
      <c r="C108" s="217"/>
      <c r="D108" s="217"/>
      <c r="E108" s="217"/>
      <c r="F108" s="227"/>
      <c r="G108" s="134" t="s">
        <v>220</v>
      </c>
      <c r="H108" s="164" t="s">
        <v>216</v>
      </c>
      <c r="I108" s="164" t="s">
        <v>1062</v>
      </c>
      <c r="J108" s="141" t="s">
        <v>1063</v>
      </c>
      <c r="K108" s="134"/>
      <c r="L108" s="143"/>
      <c r="M108" s="91"/>
      <c r="N108" s="91"/>
      <c r="O108" s="91"/>
      <c r="P108" s="91"/>
      <c r="Q108" s="91"/>
      <c r="R108" s="137"/>
      <c r="S108" s="55"/>
    </row>
    <row r="109" spans="1:19" ht="45" customHeight="1">
      <c r="A109" s="136"/>
      <c r="B109" s="217"/>
      <c r="C109" s="217"/>
      <c r="D109" s="217"/>
      <c r="E109" s="217"/>
      <c r="F109" s="227"/>
      <c r="G109" s="134" t="s">
        <v>222</v>
      </c>
      <c r="H109" s="164" t="s">
        <v>218</v>
      </c>
      <c r="I109" s="164" t="s">
        <v>1064</v>
      </c>
      <c r="J109" s="164" t="s">
        <v>1065</v>
      </c>
      <c r="K109" s="134"/>
      <c r="L109" s="143"/>
      <c r="M109" s="91"/>
      <c r="N109" s="91"/>
      <c r="O109" s="91"/>
      <c r="P109" s="91"/>
      <c r="Q109" s="91"/>
      <c r="R109" s="137"/>
      <c r="S109" s="55"/>
    </row>
    <row r="110" spans="1:19" ht="53.25" customHeight="1">
      <c r="A110" s="136"/>
      <c r="B110" s="217"/>
      <c r="C110" s="217"/>
      <c r="D110" s="217"/>
      <c r="E110" s="217" t="s">
        <v>219</v>
      </c>
      <c r="F110" s="227" t="s">
        <v>713</v>
      </c>
      <c r="G110" s="134" t="s">
        <v>223</v>
      </c>
      <c r="H110" s="164" t="s">
        <v>221</v>
      </c>
      <c r="I110" s="164" t="s">
        <v>1066</v>
      </c>
      <c r="J110" s="164" t="s">
        <v>1067</v>
      </c>
      <c r="K110" s="134"/>
      <c r="L110" s="143" t="s">
        <v>711</v>
      </c>
      <c r="M110" s="91"/>
      <c r="N110" s="91"/>
      <c r="O110" s="91"/>
      <c r="P110" s="91"/>
      <c r="Q110" s="91"/>
      <c r="R110" s="137"/>
      <c r="S110" s="55"/>
    </row>
    <row r="111" spans="1:19" ht="33.75" customHeight="1">
      <c r="A111" s="136"/>
      <c r="B111" s="217"/>
      <c r="C111" s="217"/>
      <c r="D111" s="217"/>
      <c r="E111" s="217"/>
      <c r="F111" s="227"/>
      <c r="G111" s="134" t="s">
        <v>224</v>
      </c>
      <c r="H111" s="164" t="s">
        <v>208</v>
      </c>
      <c r="I111" s="164" t="s">
        <v>1054</v>
      </c>
      <c r="J111" s="141" t="s">
        <v>1068</v>
      </c>
      <c r="K111" s="134"/>
      <c r="L111" s="143"/>
      <c r="M111" s="91"/>
      <c r="N111" s="91"/>
      <c r="O111" s="91"/>
      <c r="P111" s="91"/>
      <c r="Q111" s="91"/>
      <c r="R111" s="137"/>
      <c r="S111" s="55"/>
    </row>
    <row r="112" spans="1:19" ht="49.5" customHeight="1">
      <c r="A112" s="136"/>
      <c r="B112" s="217"/>
      <c r="C112" s="217"/>
      <c r="D112" s="217"/>
      <c r="E112" s="217"/>
      <c r="F112" s="227"/>
      <c r="G112" s="134" t="s">
        <v>225</v>
      </c>
      <c r="H112" s="164" t="s">
        <v>210</v>
      </c>
      <c r="I112" s="164" t="s">
        <v>1056</v>
      </c>
      <c r="J112" s="164" t="s">
        <v>1057</v>
      </c>
      <c r="K112" s="134"/>
      <c r="L112" s="143"/>
      <c r="M112" s="91"/>
      <c r="N112" s="91"/>
      <c r="O112" s="91"/>
      <c r="P112" s="91"/>
      <c r="Q112" s="91"/>
      <c r="R112" s="137"/>
      <c r="S112" s="55"/>
    </row>
    <row r="113" spans="1:19" ht="33.75" customHeight="1">
      <c r="A113" s="136"/>
      <c r="B113" s="217"/>
      <c r="C113" s="217"/>
      <c r="D113" s="217"/>
      <c r="E113" s="217"/>
      <c r="F113" s="227"/>
      <c r="G113" s="134" t="s">
        <v>226</v>
      </c>
      <c r="H113" s="164" t="s">
        <v>212</v>
      </c>
      <c r="I113" s="164" t="s">
        <v>1058</v>
      </c>
      <c r="J113" s="164" t="s">
        <v>1059</v>
      </c>
      <c r="K113" s="134"/>
      <c r="L113" s="143"/>
      <c r="M113" s="91"/>
      <c r="N113" s="91"/>
      <c r="O113" s="91"/>
      <c r="P113" s="91"/>
      <c r="Q113" s="91"/>
      <c r="R113" s="137"/>
      <c r="S113" s="55"/>
    </row>
    <row r="114" spans="1:19" ht="33.75" customHeight="1">
      <c r="A114" s="136"/>
      <c r="B114" s="217"/>
      <c r="C114" s="217"/>
      <c r="D114" s="217"/>
      <c r="E114" s="217"/>
      <c r="F114" s="227"/>
      <c r="G114" s="134" t="s">
        <v>227</v>
      </c>
      <c r="H114" s="164" t="s">
        <v>214</v>
      </c>
      <c r="I114" s="164" t="s">
        <v>1060</v>
      </c>
      <c r="J114" s="164" t="s">
        <v>1061</v>
      </c>
      <c r="K114" s="134"/>
      <c r="L114" s="143"/>
      <c r="M114" s="91"/>
      <c r="N114" s="91"/>
      <c r="O114" s="91"/>
      <c r="P114" s="91"/>
      <c r="Q114" s="91"/>
      <c r="R114" s="137"/>
      <c r="S114" s="55"/>
    </row>
    <row r="115" spans="1:19" ht="33.75" customHeight="1">
      <c r="A115" s="136"/>
      <c r="B115" s="217"/>
      <c r="C115" s="217"/>
      <c r="D115" s="217"/>
      <c r="E115" s="217"/>
      <c r="F115" s="227"/>
      <c r="G115" s="134" t="s">
        <v>229</v>
      </c>
      <c r="H115" s="164" t="s">
        <v>216</v>
      </c>
      <c r="I115" s="164" t="s">
        <v>1069</v>
      </c>
      <c r="J115" s="141" t="s">
        <v>1026</v>
      </c>
      <c r="K115" s="134"/>
      <c r="L115" s="143"/>
      <c r="M115" s="91"/>
      <c r="N115" s="91"/>
      <c r="O115" s="91"/>
      <c r="P115" s="91"/>
      <c r="Q115" s="91"/>
      <c r="R115" s="137"/>
      <c r="S115" s="55"/>
    </row>
    <row r="116" spans="1:19" ht="33.75" customHeight="1">
      <c r="A116" s="136"/>
      <c r="B116" s="217"/>
      <c r="C116" s="217"/>
      <c r="D116" s="217"/>
      <c r="E116" s="217"/>
      <c r="F116" s="227"/>
      <c r="G116" s="134" t="s">
        <v>231</v>
      </c>
      <c r="H116" s="164" t="s">
        <v>218</v>
      </c>
      <c r="I116" s="164" t="s">
        <v>1064</v>
      </c>
      <c r="J116" s="164" t="s">
        <v>1065</v>
      </c>
      <c r="K116" s="134"/>
      <c r="L116" s="143"/>
      <c r="M116" s="91"/>
      <c r="N116" s="91"/>
      <c r="O116" s="91"/>
      <c r="P116" s="91"/>
      <c r="Q116" s="91"/>
      <c r="R116" s="137"/>
      <c r="S116" s="55"/>
    </row>
    <row r="117" spans="1:19" ht="33.75" customHeight="1">
      <c r="A117" s="136"/>
      <c r="B117" s="217"/>
      <c r="C117" s="217"/>
      <c r="D117" s="217"/>
      <c r="E117" s="90" t="s">
        <v>1070</v>
      </c>
      <c r="F117" s="138"/>
      <c r="G117" s="134"/>
      <c r="H117" s="164"/>
      <c r="I117" s="164"/>
      <c r="J117" s="164"/>
      <c r="K117" s="134"/>
      <c r="L117" s="143"/>
      <c r="M117" s="91"/>
      <c r="N117" s="91"/>
      <c r="O117" s="91"/>
      <c r="P117" s="91"/>
      <c r="Q117" s="91"/>
      <c r="R117" s="137"/>
      <c r="S117" s="55"/>
    </row>
    <row r="118" spans="1:19" ht="33.75" customHeight="1">
      <c r="A118" s="136"/>
      <c r="B118" s="217"/>
      <c r="C118" s="217"/>
      <c r="D118" s="217"/>
      <c r="E118" s="90" t="s">
        <v>1071</v>
      </c>
      <c r="F118" s="138"/>
      <c r="G118" s="134"/>
      <c r="H118" s="164"/>
      <c r="I118" s="164"/>
      <c r="J118" s="164"/>
      <c r="K118" s="134"/>
      <c r="L118" s="143"/>
      <c r="M118" s="91"/>
      <c r="N118" s="91"/>
      <c r="O118" s="91"/>
      <c r="P118" s="91"/>
      <c r="Q118" s="91"/>
      <c r="R118" s="137"/>
      <c r="S118" s="55"/>
    </row>
    <row r="119" spans="1:19" ht="62.25" customHeight="1">
      <c r="A119" s="136"/>
      <c r="B119" s="217"/>
      <c r="C119" s="217"/>
      <c r="D119" s="217"/>
      <c r="E119" s="217" t="s">
        <v>228</v>
      </c>
      <c r="F119" s="227" t="s">
        <v>716</v>
      </c>
      <c r="G119" s="134" t="s">
        <v>232</v>
      </c>
      <c r="H119" s="164" t="s">
        <v>230</v>
      </c>
      <c r="I119" s="164" t="s">
        <v>1072</v>
      </c>
      <c r="J119" s="186" t="s">
        <v>1073</v>
      </c>
      <c r="K119" s="134"/>
      <c r="L119" s="153" t="s">
        <v>1074</v>
      </c>
      <c r="M119" s="91"/>
      <c r="N119" s="91"/>
      <c r="O119" s="91"/>
      <c r="P119" s="91"/>
      <c r="Q119" s="91"/>
      <c r="R119" s="137"/>
      <c r="S119" s="55"/>
    </row>
    <row r="120" spans="1:19" ht="37.5" customHeight="1">
      <c r="A120" s="136"/>
      <c r="B120" s="217"/>
      <c r="C120" s="217"/>
      <c r="D120" s="217"/>
      <c r="E120" s="217"/>
      <c r="F120" s="227"/>
      <c r="G120" s="134" t="s">
        <v>234</v>
      </c>
      <c r="H120" s="164" t="s">
        <v>233</v>
      </c>
      <c r="I120" s="212" t="s">
        <v>1075</v>
      </c>
      <c r="J120" s="164" t="s">
        <v>1076</v>
      </c>
      <c r="K120" s="134"/>
      <c r="L120" s="153"/>
      <c r="M120" s="91"/>
      <c r="N120" s="91"/>
      <c r="O120" s="91"/>
      <c r="P120" s="91"/>
      <c r="Q120" s="91"/>
      <c r="R120" s="137"/>
      <c r="S120" s="55"/>
    </row>
    <row r="121" spans="1:19" ht="48" customHeight="1">
      <c r="A121" s="136"/>
      <c r="B121" s="217"/>
      <c r="C121" s="217"/>
      <c r="D121" s="217"/>
      <c r="E121" s="217"/>
      <c r="F121" s="227"/>
      <c r="G121" s="134" t="s">
        <v>235</v>
      </c>
      <c r="H121" s="164" t="s">
        <v>1077</v>
      </c>
      <c r="I121" s="164" t="s">
        <v>1078</v>
      </c>
      <c r="J121" s="164" t="s">
        <v>1079</v>
      </c>
      <c r="K121" s="134"/>
      <c r="L121" s="153"/>
      <c r="M121" s="91"/>
      <c r="N121" s="91"/>
      <c r="O121" s="91"/>
      <c r="P121" s="91"/>
      <c r="Q121" s="91"/>
      <c r="R121" s="137"/>
      <c r="S121" s="55"/>
    </row>
    <row r="122" spans="1:19" ht="37.5" customHeight="1">
      <c r="A122" s="136"/>
      <c r="B122" s="217"/>
      <c r="C122" s="217"/>
      <c r="D122" s="217"/>
      <c r="E122" s="217"/>
      <c r="F122" s="227"/>
      <c r="G122" s="134" t="s">
        <v>237</v>
      </c>
      <c r="H122" s="213" t="s">
        <v>236</v>
      </c>
      <c r="I122" s="164" t="s">
        <v>1080</v>
      </c>
      <c r="J122" s="164" t="s">
        <v>1081</v>
      </c>
      <c r="K122" s="134"/>
      <c r="L122" s="153"/>
      <c r="M122" s="91"/>
      <c r="N122" s="91"/>
      <c r="O122" s="91"/>
      <c r="P122" s="91"/>
      <c r="Q122" s="91"/>
      <c r="R122" s="137"/>
      <c r="S122" s="55"/>
    </row>
    <row r="123" spans="1:19" ht="37.5" customHeight="1">
      <c r="A123" s="136"/>
      <c r="B123" s="217"/>
      <c r="C123" s="217"/>
      <c r="D123" s="217"/>
      <c r="E123" s="217"/>
      <c r="F123" s="227"/>
      <c r="G123" s="134" t="s">
        <v>239</v>
      </c>
      <c r="H123" s="164" t="s">
        <v>218</v>
      </c>
      <c r="I123" s="164" t="s">
        <v>1064</v>
      </c>
      <c r="J123" s="164" t="s">
        <v>1065</v>
      </c>
      <c r="K123" s="134"/>
      <c r="L123" s="153"/>
      <c r="M123" s="91"/>
      <c r="N123" s="91"/>
      <c r="O123" s="91"/>
      <c r="P123" s="91"/>
      <c r="Q123" s="91"/>
      <c r="R123" s="137"/>
      <c r="S123" s="55"/>
    </row>
    <row r="124" spans="1:19" ht="66.75" customHeight="1">
      <c r="A124" s="136"/>
      <c r="B124" s="217"/>
      <c r="C124" s="217"/>
      <c r="D124" s="217"/>
      <c r="E124" s="216" t="s">
        <v>238</v>
      </c>
      <c r="F124" s="232" t="s">
        <v>729</v>
      </c>
      <c r="G124" s="134" t="s">
        <v>241</v>
      </c>
      <c r="H124" s="164" t="s">
        <v>240</v>
      </c>
      <c r="I124" s="164" t="s">
        <v>1082</v>
      </c>
      <c r="J124" s="186" t="s">
        <v>1083</v>
      </c>
      <c r="K124" s="134"/>
      <c r="L124" s="91" t="s">
        <v>731</v>
      </c>
      <c r="M124" s="91"/>
      <c r="N124" s="91"/>
      <c r="O124" s="91"/>
      <c r="P124" s="91"/>
      <c r="Q124" s="91"/>
      <c r="R124" s="137"/>
      <c r="S124" s="55"/>
    </row>
    <row r="125" spans="1:19" ht="66.75" customHeight="1">
      <c r="A125" s="136"/>
      <c r="B125" s="217"/>
      <c r="C125" s="217"/>
      <c r="D125" s="217"/>
      <c r="E125" s="216"/>
      <c r="F125" s="232"/>
      <c r="G125" s="134" t="s">
        <v>242</v>
      </c>
      <c r="H125" s="164" t="s">
        <v>186</v>
      </c>
      <c r="I125" s="175" t="s">
        <v>1084</v>
      </c>
      <c r="J125" s="167" t="s">
        <v>1085</v>
      </c>
      <c r="K125" s="134"/>
      <c r="L125" s="91"/>
      <c r="M125" s="91"/>
      <c r="N125" s="91"/>
      <c r="O125" s="91"/>
      <c r="P125" s="91"/>
      <c r="Q125" s="91"/>
      <c r="R125" s="137"/>
      <c r="S125" s="55"/>
    </row>
    <row r="126" spans="1:19" ht="26.25" customHeight="1">
      <c r="A126" s="136"/>
      <c r="B126" s="217"/>
      <c r="C126" s="217"/>
      <c r="D126" s="217"/>
      <c r="E126" s="216"/>
      <c r="F126" s="232"/>
      <c r="G126" s="134" t="s">
        <v>243</v>
      </c>
      <c r="H126" s="164" t="s">
        <v>188</v>
      </c>
      <c r="I126" s="175" t="s">
        <v>1036</v>
      </c>
      <c r="J126" s="167" t="s">
        <v>1086</v>
      </c>
      <c r="K126" s="134"/>
      <c r="L126" s="91"/>
      <c r="M126" s="91"/>
      <c r="N126" s="91"/>
      <c r="O126" s="91"/>
      <c r="P126" s="91"/>
      <c r="Q126" s="91"/>
      <c r="R126" s="137"/>
      <c r="S126" s="55"/>
    </row>
    <row r="127" spans="1:19" ht="26.25" customHeight="1">
      <c r="A127" s="136"/>
      <c r="B127" s="217"/>
      <c r="C127" s="217"/>
      <c r="D127" s="217"/>
      <c r="E127" s="216"/>
      <c r="F127" s="232"/>
      <c r="G127" s="134" t="s">
        <v>245</v>
      </c>
      <c r="H127" s="164" t="s">
        <v>182</v>
      </c>
      <c r="I127" s="173" t="s">
        <v>1027</v>
      </c>
      <c r="J127" s="141" t="s">
        <v>1028</v>
      </c>
      <c r="K127" s="134"/>
      <c r="L127" s="91"/>
      <c r="M127" s="91"/>
      <c r="N127" s="91"/>
      <c r="O127" s="91"/>
      <c r="P127" s="91"/>
      <c r="Q127" s="91"/>
      <c r="R127" s="137"/>
      <c r="S127" s="55"/>
    </row>
    <row r="128" spans="1:19" ht="85.5" customHeight="1">
      <c r="A128" s="136"/>
      <c r="B128" s="217"/>
      <c r="C128" s="217"/>
      <c r="D128" s="217"/>
      <c r="E128" s="216" t="s">
        <v>244</v>
      </c>
      <c r="F128" s="232" t="s">
        <v>732</v>
      </c>
      <c r="G128" s="134" t="s">
        <v>247</v>
      </c>
      <c r="H128" s="164" t="s">
        <v>246</v>
      </c>
      <c r="I128" s="164" t="s">
        <v>1087</v>
      </c>
      <c r="J128" s="186" t="s">
        <v>1088</v>
      </c>
      <c r="K128" s="134"/>
      <c r="L128" s="91"/>
      <c r="M128" s="91"/>
      <c r="N128" s="91"/>
      <c r="O128" s="91"/>
      <c r="P128" s="91"/>
      <c r="Q128" s="91"/>
      <c r="R128" s="137"/>
      <c r="S128" s="55"/>
    </row>
    <row r="129" spans="1:19" ht="49.5" customHeight="1">
      <c r="A129" s="136"/>
      <c r="B129" s="217"/>
      <c r="C129" s="217"/>
      <c r="D129" s="217"/>
      <c r="E129" s="216"/>
      <c r="F129" s="232"/>
      <c r="G129" s="134" t="s">
        <v>248</v>
      </c>
      <c r="H129" s="164" t="s">
        <v>186</v>
      </c>
      <c r="I129" s="175" t="s">
        <v>1089</v>
      </c>
      <c r="J129" s="164" t="s">
        <v>1090</v>
      </c>
      <c r="K129" s="134"/>
      <c r="L129" s="91"/>
      <c r="M129" s="91"/>
      <c r="N129" s="91"/>
      <c r="O129" s="91"/>
      <c r="P129" s="91"/>
      <c r="Q129" s="91"/>
      <c r="R129" s="137"/>
      <c r="S129" s="55"/>
    </row>
    <row r="130" spans="1:19" ht="22.5" customHeight="1">
      <c r="A130" s="136"/>
      <c r="B130" s="217"/>
      <c r="C130" s="217"/>
      <c r="D130" s="217"/>
      <c r="E130" s="216"/>
      <c r="F130" s="232"/>
      <c r="G130" s="134" t="s">
        <v>250</v>
      </c>
      <c r="H130" s="164" t="s">
        <v>182</v>
      </c>
      <c r="I130" s="173" t="s">
        <v>1027</v>
      </c>
      <c r="J130" s="141" t="s">
        <v>1028</v>
      </c>
      <c r="K130" s="134"/>
      <c r="L130" s="91"/>
      <c r="M130" s="91"/>
      <c r="N130" s="91"/>
      <c r="O130" s="91"/>
      <c r="P130" s="91"/>
      <c r="Q130" s="91"/>
      <c r="R130" s="137"/>
      <c r="S130" s="55"/>
    </row>
    <row r="131" spans="1:19" ht="80.25" customHeight="1">
      <c r="A131" s="136"/>
      <c r="B131" s="217"/>
      <c r="C131" s="217"/>
      <c r="D131" s="217"/>
      <c r="E131" s="216" t="s">
        <v>249</v>
      </c>
      <c r="F131" s="232" t="s">
        <v>734</v>
      </c>
      <c r="G131" s="134" t="s">
        <v>252</v>
      </c>
      <c r="H131" s="164" t="s">
        <v>251</v>
      </c>
      <c r="I131" s="164" t="s">
        <v>1091</v>
      </c>
      <c r="J131" s="167" t="s">
        <v>1092</v>
      </c>
      <c r="K131" s="134"/>
      <c r="L131" s="91"/>
      <c r="M131" s="91" t="s">
        <v>519</v>
      </c>
      <c r="N131" s="91" t="s">
        <v>520</v>
      </c>
      <c r="O131" s="91"/>
      <c r="P131" s="91"/>
      <c r="Q131" s="91"/>
      <c r="R131" s="137"/>
      <c r="S131" s="55"/>
    </row>
    <row r="132" spans="1:19" ht="21.75" customHeight="1">
      <c r="A132" s="136"/>
      <c r="B132" s="217"/>
      <c r="C132" s="217"/>
      <c r="D132" s="217"/>
      <c r="E132" s="216"/>
      <c r="F132" s="232"/>
      <c r="G132" s="134" t="s">
        <v>253</v>
      </c>
      <c r="H132" s="164" t="s">
        <v>186</v>
      </c>
      <c r="I132" s="175" t="s">
        <v>1093</v>
      </c>
      <c r="J132" s="164" t="s">
        <v>1094</v>
      </c>
      <c r="K132" s="134"/>
      <c r="L132" s="91"/>
      <c r="M132" s="91"/>
      <c r="N132" s="91"/>
      <c r="O132" s="91"/>
      <c r="P132" s="91"/>
      <c r="Q132" s="91"/>
      <c r="R132" s="137"/>
      <c r="S132" s="55"/>
    </row>
    <row r="133" spans="1:19" ht="21.75" customHeight="1">
      <c r="A133" s="136"/>
      <c r="B133" s="217"/>
      <c r="C133" s="217"/>
      <c r="D133" s="217"/>
      <c r="E133" s="216"/>
      <c r="F133" s="232"/>
      <c r="G133" s="134" t="s">
        <v>255</v>
      </c>
      <c r="H133" s="164" t="s">
        <v>182</v>
      </c>
      <c r="I133" s="173" t="s">
        <v>1027</v>
      </c>
      <c r="J133" s="141" t="s">
        <v>1028</v>
      </c>
      <c r="K133" s="134"/>
      <c r="L133" s="91"/>
      <c r="M133" s="91"/>
      <c r="N133" s="91"/>
      <c r="O133" s="91"/>
      <c r="P133" s="91"/>
      <c r="Q133" s="91"/>
      <c r="R133" s="137"/>
      <c r="S133" s="55"/>
    </row>
    <row r="134" spans="1:19" ht="80.25" customHeight="1">
      <c r="A134" s="136"/>
      <c r="B134" s="217"/>
      <c r="C134" s="217"/>
      <c r="D134" s="217"/>
      <c r="E134" s="216" t="s">
        <v>254</v>
      </c>
      <c r="F134" s="243" t="s">
        <v>736</v>
      </c>
      <c r="G134" s="134" t="s">
        <v>257</v>
      </c>
      <c r="H134" s="164" t="s">
        <v>256</v>
      </c>
      <c r="I134" s="141" t="s">
        <v>1095</v>
      </c>
      <c r="J134" s="167" t="s">
        <v>1096</v>
      </c>
      <c r="K134" s="134"/>
      <c r="L134" s="144" t="s">
        <v>738</v>
      </c>
      <c r="M134" s="91"/>
      <c r="N134" s="91"/>
      <c r="O134" s="91"/>
      <c r="P134" s="91"/>
      <c r="Q134" s="91"/>
      <c r="R134" s="137"/>
      <c r="S134" s="55"/>
    </row>
    <row r="135" spans="1:19" ht="91.5" customHeight="1">
      <c r="A135" s="136"/>
      <c r="B135" s="217"/>
      <c r="C135" s="217"/>
      <c r="D135" s="217"/>
      <c r="E135" s="216"/>
      <c r="F135" s="243"/>
      <c r="G135" s="134" t="s">
        <v>259</v>
      </c>
      <c r="H135" s="164" t="s">
        <v>258</v>
      </c>
      <c r="I135" s="141" t="s">
        <v>1097</v>
      </c>
      <c r="J135" s="141" t="s">
        <v>1098</v>
      </c>
      <c r="K135" s="134"/>
      <c r="L135" s="144"/>
      <c r="M135" s="91"/>
      <c r="N135" s="91"/>
      <c r="O135" s="91"/>
      <c r="P135" s="91"/>
      <c r="Q135" s="91"/>
      <c r="R135" s="137"/>
      <c r="S135" s="55"/>
    </row>
    <row r="136" spans="1:19" ht="62.25" customHeight="1">
      <c r="A136" s="136"/>
      <c r="B136" s="217"/>
      <c r="C136" s="217"/>
      <c r="D136" s="217"/>
      <c r="E136" s="216"/>
      <c r="F136" s="243"/>
      <c r="G136" s="134" t="s">
        <v>260</v>
      </c>
      <c r="H136" s="164" t="s">
        <v>186</v>
      </c>
      <c r="I136" s="175" t="s">
        <v>1093</v>
      </c>
      <c r="J136" s="164" t="s">
        <v>1099</v>
      </c>
      <c r="K136" s="134"/>
      <c r="L136" s="144"/>
      <c r="M136" s="91"/>
      <c r="N136" s="91"/>
      <c r="O136" s="91"/>
      <c r="P136" s="91"/>
      <c r="Q136" s="91"/>
      <c r="R136" s="137"/>
      <c r="S136" s="55"/>
    </row>
    <row r="137" spans="1:19" ht="62.25" customHeight="1">
      <c r="A137" s="136"/>
      <c r="B137" s="217"/>
      <c r="C137" s="217"/>
      <c r="D137" s="217"/>
      <c r="E137" s="216"/>
      <c r="F137" s="243"/>
      <c r="G137" s="134" t="s">
        <v>262</v>
      </c>
      <c r="H137" s="164" t="s">
        <v>182</v>
      </c>
      <c r="I137" s="173" t="s">
        <v>1027</v>
      </c>
      <c r="J137" s="141" t="s">
        <v>1028</v>
      </c>
      <c r="K137" s="134"/>
      <c r="L137" s="144"/>
      <c r="M137" s="91"/>
      <c r="N137" s="91"/>
      <c r="O137" s="91"/>
      <c r="P137" s="91"/>
      <c r="Q137" s="91"/>
      <c r="R137" s="137"/>
      <c r="S137" s="55"/>
    </row>
    <row r="138" spans="1:19" ht="57.75" customHeight="1">
      <c r="A138" s="136"/>
      <c r="B138" s="217"/>
      <c r="C138" s="217"/>
      <c r="D138" s="217"/>
      <c r="E138" s="216" t="s">
        <v>261</v>
      </c>
      <c r="F138" s="232" t="s">
        <v>524</v>
      </c>
      <c r="G138" s="134" t="s">
        <v>264</v>
      </c>
      <c r="H138" s="164" t="s">
        <v>263</v>
      </c>
      <c r="I138" s="164" t="s">
        <v>1100</v>
      </c>
      <c r="J138" s="164" t="s">
        <v>1101</v>
      </c>
      <c r="K138" s="134"/>
      <c r="L138" s="91"/>
      <c r="M138" s="91"/>
      <c r="N138" s="91"/>
      <c r="O138" s="91"/>
      <c r="P138" s="91"/>
      <c r="Q138" s="91"/>
      <c r="R138" s="137"/>
      <c r="S138" s="55"/>
    </row>
    <row r="139" spans="1:19" ht="33.75" customHeight="1">
      <c r="A139" s="136"/>
      <c r="B139" s="217"/>
      <c r="C139" s="217"/>
      <c r="D139" s="217"/>
      <c r="E139" s="216"/>
      <c r="F139" s="232"/>
      <c r="G139" s="134" t="s">
        <v>266</v>
      </c>
      <c r="H139" s="164" t="s">
        <v>182</v>
      </c>
      <c r="I139" s="173" t="s">
        <v>1027</v>
      </c>
      <c r="J139" s="141" t="s">
        <v>1028</v>
      </c>
      <c r="K139" s="151"/>
      <c r="L139" s="138" t="s">
        <v>701</v>
      </c>
      <c r="M139" s="91"/>
      <c r="N139" s="91"/>
      <c r="O139" s="91"/>
      <c r="P139" s="91"/>
      <c r="Q139" s="91"/>
      <c r="R139" s="137"/>
      <c r="S139" s="55"/>
    </row>
    <row r="140" spans="1:19" ht="61.5" customHeight="1">
      <c r="A140" s="136"/>
      <c r="B140" s="217"/>
      <c r="C140" s="217"/>
      <c r="D140" s="217" t="s">
        <v>267</v>
      </c>
      <c r="E140" s="216" t="s">
        <v>1102</v>
      </c>
      <c r="F140" s="232" t="s">
        <v>720</v>
      </c>
      <c r="G140" s="134" t="s">
        <v>268</v>
      </c>
      <c r="H140" s="164" t="s">
        <v>267</v>
      </c>
      <c r="I140" s="180" t="s">
        <v>1103</v>
      </c>
      <c r="J140" s="164" t="s">
        <v>1104</v>
      </c>
      <c r="K140" s="134"/>
      <c r="L140" s="91"/>
      <c r="M140" s="91" t="s">
        <v>450</v>
      </c>
      <c r="N140" s="138" t="s">
        <v>1105</v>
      </c>
      <c r="O140" s="91"/>
      <c r="P140" s="91"/>
      <c r="Q140" s="91"/>
      <c r="R140" s="137"/>
      <c r="S140" s="55"/>
    </row>
    <row r="141" spans="1:19" ht="69" customHeight="1">
      <c r="A141" s="136"/>
      <c r="B141" s="217"/>
      <c r="C141" s="217"/>
      <c r="D141" s="217"/>
      <c r="E141" s="216"/>
      <c r="F141" s="232"/>
      <c r="G141" s="134" t="s">
        <v>270</v>
      </c>
      <c r="H141" s="164" t="s">
        <v>269</v>
      </c>
      <c r="I141" s="181" t="s">
        <v>1106</v>
      </c>
      <c r="J141" s="181" t="s">
        <v>1107</v>
      </c>
      <c r="K141" s="134"/>
      <c r="L141" s="91"/>
      <c r="M141" s="91"/>
      <c r="N141" s="138"/>
      <c r="O141" s="91"/>
      <c r="P141" s="91"/>
      <c r="Q141" s="91"/>
      <c r="R141" s="137"/>
      <c r="S141" s="55"/>
    </row>
    <row r="142" spans="1:19" ht="50.25" customHeight="1">
      <c r="A142" s="136"/>
      <c r="B142" s="217"/>
      <c r="C142" s="217"/>
      <c r="D142" s="217"/>
      <c r="E142" s="216"/>
      <c r="F142" s="232"/>
      <c r="G142" s="134" t="s">
        <v>272</v>
      </c>
      <c r="H142" s="164" t="s">
        <v>271</v>
      </c>
      <c r="I142" s="180" t="s">
        <v>1108</v>
      </c>
      <c r="J142" s="186" t="s">
        <v>1109</v>
      </c>
      <c r="K142" s="134"/>
      <c r="L142" s="91"/>
      <c r="M142" s="91"/>
      <c r="N142" s="138"/>
      <c r="O142" s="91"/>
      <c r="P142" s="91"/>
      <c r="Q142" s="91"/>
      <c r="R142" s="137"/>
      <c r="S142" s="55"/>
    </row>
    <row r="143" spans="1:19" ht="50.25" customHeight="1">
      <c r="A143" s="136"/>
      <c r="B143" s="217"/>
      <c r="C143" s="217"/>
      <c r="D143" s="217"/>
      <c r="E143" s="216"/>
      <c r="F143" s="232"/>
      <c r="G143" s="134" t="s">
        <v>274</v>
      </c>
      <c r="H143" s="164" t="s">
        <v>273</v>
      </c>
      <c r="I143" s="180" t="s">
        <v>1110</v>
      </c>
      <c r="J143" s="164" t="s">
        <v>1111</v>
      </c>
      <c r="K143" s="134"/>
      <c r="L143" s="91"/>
      <c r="M143" s="91"/>
      <c r="N143" s="138"/>
      <c r="O143" s="91"/>
      <c r="P143" s="91"/>
      <c r="Q143" s="91"/>
      <c r="R143" s="137"/>
      <c r="S143" s="55"/>
    </row>
    <row r="144" spans="1:19" ht="50.25" customHeight="1">
      <c r="A144" s="136"/>
      <c r="B144" s="217"/>
      <c r="C144" s="217"/>
      <c r="D144" s="217"/>
      <c r="E144" s="216"/>
      <c r="F144" s="232"/>
      <c r="G144" s="134" t="s">
        <v>276</v>
      </c>
      <c r="H144" s="164" t="s">
        <v>275</v>
      </c>
      <c r="I144" s="180" t="s">
        <v>1112</v>
      </c>
      <c r="J144" s="164" t="s">
        <v>1113</v>
      </c>
      <c r="K144" s="134"/>
      <c r="L144" s="91"/>
      <c r="M144" s="91"/>
      <c r="N144" s="138"/>
      <c r="O144" s="91"/>
      <c r="P144" s="91"/>
      <c r="Q144" s="91"/>
      <c r="R144" s="137"/>
      <c r="S144" s="55"/>
    </row>
    <row r="145" spans="1:19" ht="47.25" customHeight="1">
      <c r="A145" s="136"/>
      <c r="B145" s="217"/>
      <c r="C145" s="217"/>
      <c r="D145" s="217"/>
      <c r="E145" s="216" t="s">
        <v>1114</v>
      </c>
      <c r="F145" s="232" t="s">
        <v>723</v>
      </c>
      <c r="G145" s="134" t="s">
        <v>278</v>
      </c>
      <c r="H145" s="164" t="s">
        <v>279</v>
      </c>
      <c r="I145" s="180" t="s">
        <v>1115</v>
      </c>
      <c r="J145" s="186" t="s">
        <v>1116</v>
      </c>
      <c r="K145" s="134"/>
      <c r="L145" s="91"/>
      <c r="M145" s="91"/>
      <c r="N145" s="91"/>
      <c r="O145" s="91"/>
      <c r="P145" s="91"/>
      <c r="Q145" s="91"/>
      <c r="R145" s="137"/>
      <c r="S145" s="55"/>
    </row>
    <row r="146" spans="1:19" ht="16.5" customHeight="1">
      <c r="A146" s="136"/>
      <c r="B146" s="217"/>
      <c r="C146" s="217"/>
      <c r="D146" s="217"/>
      <c r="E146" s="216"/>
      <c r="F146" s="232"/>
      <c r="G146" s="134" t="s">
        <v>280</v>
      </c>
      <c r="H146" s="164" t="s">
        <v>281</v>
      </c>
      <c r="I146" s="180" t="s">
        <v>1117</v>
      </c>
      <c r="J146" s="164" t="s">
        <v>1118</v>
      </c>
      <c r="K146" s="134"/>
      <c r="L146" s="91"/>
      <c r="M146" s="91"/>
      <c r="N146" s="91"/>
      <c r="O146" s="91"/>
      <c r="P146" s="91"/>
      <c r="Q146" s="91"/>
      <c r="R146" s="137"/>
      <c r="S146" s="55"/>
    </row>
    <row r="147" spans="1:19" ht="16.5" customHeight="1">
      <c r="A147" s="136"/>
      <c r="B147" s="217"/>
      <c r="C147" s="217"/>
      <c r="D147" s="217"/>
      <c r="E147" s="216"/>
      <c r="F147" s="232"/>
      <c r="G147" s="134" t="s">
        <v>282</v>
      </c>
      <c r="H147" s="164" t="s">
        <v>283</v>
      </c>
      <c r="I147" s="180" t="s">
        <v>1119</v>
      </c>
      <c r="J147" s="141" t="s">
        <v>1120</v>
      </c>
      <c r="K147" s="134"/>
      <c r="L147" s="91"/>
      <c r="M147" s="91"/>
      <c r="N147" s="91"/>
      <c r="O147" s="91"/>
      <c r="P147" s="91"/>
      <c r="Q147" s="91"/>
      <c r="R147" s="137"/>
      <c r="S147" s="55"/>
    </row>
    <row r="148" spans="1:19" ht="122.25" customHeight="1">
      <c r="A148" s="136"/>
      <c r="B148" s="216" t="s">
        <v>284</v>
      </c>
      <c r="C148" s="216" t="s">
        <v>1121</v>
      </c>
      <c r="D148" s="219" t="s">
        <v>285</v>
      </c>
      <c r="E148" s="216" t="s">
        <v>286</v>
      </c>
      <c r="F148" s="232" t="s">
        <v>742</v>
      </c>
      <c r="G148" s="134" t="s">
        <v>287</v>
      </c>
      <c r="H148" s="164" t="s">
        <v>288</v>
      </c>
      <c r="I148" s="164" t="s">
        <v>1122</v>
      </c>
      <c r="J148" s="167" t="s">
        <v>1123</v>
      </c>
      <c r="K148" s="134"/>
      <c r="L148" s="138" t="s">
        <v>744</v>
      </c>
      <c r="M148" s="91"/>
      <c r="N148" s="91"/>
      <c r="O148" s="91"/>
      <c r="P148" s="91"/>
      <c r="Q148" s="91"/>
      <c r="R148" s="137"/>
      <c r="S148" s="55"/>
    </row>
    <row r="149" spans="1:19" ht="44.25" customHeight="1">
      <c r="A149" s="136"/>
      <c r="B149" s="216"/>
      <c r="C149" s="216"/>
      <c r="D149" s="219"/>
      <c r="E149" s="216"/>
      <c r="F149" s="232"/>
      <c r="G149" s="134" t="s">
        <v>289</v>
      </c>
      <c r="H149" s="164" t="s">
        <v>290</v>
      </c>
      <c r="I149" s="164" t="s">
        <v>1124</v>
      </c>
      <c r="J149" s="141" t="s">
        <v>1125</v>
      </c>
      <c r="K149" s="134"/>
      <c r="L149" s="138"/>
      <c r="M149" s="91"/>
      <c r="N149" s="91"/>
      <c r="O149" s="91"/>
      <c r="P149" s="91"/>
      <c r="Q149" s="91"/>
      <c r="R149" s="137"/>
      <c r="S149" s="55"/>
    </row>
    <row r="150" spans="1:19" ht="44.25" customHeight="1">
      <c r="A150" s="136"/>
      <c r="B150" s="216"/>
      <c r="C150" s="216"/>
      <c r="D150" s="219"/>
      <c r="E150" s="216"/>
      <c r="F150" s="232"/>
      <c r="G150" s="134" t="s">
        <v>291</v>
      </c>
      <c r="H150" s="164" t="s">
        <v>292</v>
      </c>
      <c r="I150" s="164" t="s">
        <v>1126</v>
      </c>
      <c r="J150" s="141" t="s">
        <v>1127</v>
      </c>
      <c r="K150" s="134"/>
      <c r="L150" s="138"/>
      <c r="M150" s="91"/>
      <c r="N150" s="91"/>
      <c r="O150" s="91"/>
      <c r="P150" s="91"/>
      <c r="Q150" s="91"/>
      <c r="R150" s="137"/>
      <c r="S150" s="55"/>
    </row>
    <row r="151" spans="1:19" ht="44.25" customHeight="1">
      <c r="A151" s="136"/>
      <c r="B151" s="216"/>
      <c r="C151" s="216"/>
      <c r="D151" s="219"/>
      <c r="E151" s="216"/>
      <c r="F151" s="232"/>
      <c r="G151" s="134" t="s">
        <v>293</v>
      </c>
      <c r="H151" s="164" t="s">
        <v>294</v>
      </c>
      <c r="I151" s="164" t="s">
        <v>1128</v>
      </c>
      <c r="J151" s="141"/>
      <c r="K151" s="134"/>
      <c r="L151" s="138"/>
      <c r="M151" s="91"/>
      <c r="N151" s="91"/>
      <c r="O151" s="91"/>
      <c r="P151" s="91"/>
      <c r="Q151" s="91"/>
      <c r="R151" s="137"/>
      <c r="S151" s="55"/>
    </row>
    <row r="152" spans="1:19" ht="44.25" customHeight="1">
      <c r="A152" s="136"/>
      <c r="B152" s="216"/>
      <c r="C152" s="216"/>
      <c r="D152" s="219"/>
      <c r="E152" s="216"/>
      <c r="F152" s="232"/>
      <c r="G152" s="134" t="s">
        <v>295</v>
      </c>
      <c r="H152" s="164" t="s">
        <v>296</v>
      </c>
      <c r="I152" s="164" t="s">
        <v>1129</v>
      </c>
      <c r="J152" s="164"/>
      <c r="K152" s="134"/>
      <c r="L152" s="138"/>
      <c r="M152" s="91"/>
      <c r="N152" s="91"/>
      <c r="O152" s="91"/>
      <c r="P152" s="91"/>
      <c r="Q152" s="91"/>
      <c r="R152" s="137"/>
      <c r="S152" s="55"/>
    </row>
    <row r="153" spans="1:19" ht="44.25" customHeight="1">
      <c r="A153" s="136"/>
      <c r="B153" s="216"/>
      <c r="C153" s="216"/>
      <c r="D153" s="219"/>
      <c r="E153" s="216"/>
      <c r="F153" s="232"/>
      <c r="G153" s="134" t="s">
        <v>297</v>
      </c>
      <c r="H153" s="164" t="s">
        <v>298</v>
      </c>
      <c r="I153" s="164" t="s">
        <v>1130</v>
      </c>
      <c r="J153" s="141" t="s">
        <v>1131</v>
      </c>
      <c r="K153" s="134"/>
      <c r="L153" s="138"/>
      <c r="M153" s="91"/>
      <c r="N153" s="91"/>
      <c r="O153" s="91"/>
      <c r="P153" s="91"/>
      <c r="Q153" s="91"/>
      <c r="R153" s="137"/>
      <c r="S153" s="55"/>
    </row>
    <row r="154" spans="1:19" ht="122.25" customHeight="1">
      <c r="A154" s="136"/>
      <c r="B154" s="216"/>
      <c r="C154" s="216"/>
      <c r="D154" s="219"/>
      <c r="E154" s="216" t="s">
        <v>299</v>
      </c>
      <c r="F154" s="232" t="s">
        <v>746</v>
      </c>
      <c r="G154" s="134" t="s">
        <v>300</v>
      </c>
      <c r="H154" s="164" t="s">
        <v>301</v>
      </c>
      <c r="I154" s="164" t="s">
        <v>1132</v>
      </c>
      <c r="J154" s="167" t="s">
        <v>1133</v>
      </c>
      <c r="K154" s="134"/>
      <c r="L154" s="91"/>
      <c r="M154" s="91"/>
      <c r="N154" s="91"/>
      <c r="O154" s="91"/>
      <c r="P154" s="91"/>
      <c r="Q154" s="91"/>
      <c r="R154" s="137"/>
      <c r="S154" s="55"/>
    </row>
    <row r="155" spans="1:19" ht="28.5">
      <c r="A155" s="136"/>
      <c r="B155" s="216"/>
      <c r="C155" s="216"/>
      <c r="D155" s="219"/>
      <c r="E155" s="216"/>
      <c r="F155" s="232"/>
      <c r="G155" s="134" t="s">
        <v>302</v>
      </c>
      <c r="H155" s="164" t="s">
        <v>292</v>
      </c>
      <c r="I155" s="164" t="s">
        <v>1134</v>
      </c>
      <c r="J155" s="164" t="s">
        <v>1135</v>
      </c>
      <c r="K155" s="134"/>
      <c r="L155" s="91"/>
      <c r="M155" s="91"/>
      <c r="N155" s="91"/>
      <c r="O155" s="91"/>
      <c r="P155" s="91"/>
      <c r="Q155" s="91"/>
      <c r="R155" s="137"/>
      <c r="S155" s="55"/>
    </row>
    <row r="156" spans="1:19" ht="28.5">
      <c r="A156" s="136"/>
      <c r="B156" s="216"/>
      <c r="C156" s="216"/>
      <c r="D156" s="219"/>
      <c r="E156" s="216"/>
      <c r="F156" s="232"/>
      <c r="G156" s="134" t="s">
        <v>303</v>
      </c>
      <c r="H156" s="164" t="s">
        <v>304</v>
      </c>
      <c r="I156" s="164" t="s">
        <v>1136</v>
      </c>
      <c r="J156" s="141"/>
      <c r="K156" s="134"/>
      <c r="L156" s="91"/>
      <c r="M156" s="91"/>
      <c r="N156" s="91"/>
      <c r="O156" s="91"/>
      <c r="P156" s="91"/>
      <c r="Q156" s="91"/>
      <c r="R156" s="137"/>
      <c r="S156" s="55"/>
    </row>
    <row r="157" spans="1:19" ht="16.5" customHeight="1">
      <c r="A157" s="136"/>
      <c r="B157" s="216"/>
      <c r="C157" s="216"/>
      <c r="D157" s="219"/>
      <c r="E157" s="216"/>
      <c r="F157" s="232"/>
      <c r="G157" s="134" t="s">
        <v>305</v>
      </c>
      <c r="H157" s="164" t="s">
        <v>306</v>
      </c>
      <c r="I157" s="164" t="s">
        <v>1137</v>
      </c>
      <c r="J157" s="141" t="s">
        <v>1138</v>
      </c>
      <c r="K157" s="134"/>
      <c r="L157" s="91"/>
      <c r="M157" s="91"/>
      <c r="N157" s="91"/>
      <c r="O157" s="91"/>
      <c r="P157" s="91"/>
      <c r="Q157" s="91"/>
      <c r="R157" s="137"/>
      <c r="S157" s="55"/>
    </row>
    <row r="158" spans="1:19" ht="38.25" customHeight="1">
      <c r="A158" s="136"/>
      <c r="B158" s="216"/>
      <c r="C158" s="216"/>
      <c r="D158" s="219"/>
      <c r="E158" s="216"/>
      <c r="F158" s="232"/>
      <c r="G158" s="134" t="s">
        <v>307</v>
      </c>
      <c r="H158" s="164" t="s">
        <v>298</v>
      </c>
      <c r="I158" s="164" t="s">
        <v>1139</v>
      </c>
      <c r="J158" s="141" t="s">
        <v>1140</v>
      </c>
      <c r="K158" s="134"/>
      <c r="L158" s="91"/>
      <c r="M158" s="91"/>
      <c r="N158" s="91"/>
      <c r="O158" s="91"/>
      <c r="P158" s="91"/>
      <c r="Q158" s="91"/>
      <c r="R158" s="137"/>
      <c r="S158" s="55"/>
    </row>
    <row r="159" spans="1:19" ht="110.25">
      <c r="A159" s="136"/>
      <c r="B159" s="216"/>
      <c r="C159" s="216"/>
      <c r="D159" s="219"/>
      <c r="E159" s="216" t="s">
        <v>308</v>
      </c>
      <c r="F159" s="233" t="s">
        <v>749</v>
      </c>
      <c r="G159" s="134" t="s">
        <v>309</v>
      </c>
      <c r="H159" s="164" t="s">
        <v>310</v>
      </c>
      <c r="I159" s="164" t="s">
        <v>1141</v>
      </c>
      <c r="J159" s="167" t="s">
        <v>1142</v>
      </c>
      <c r="K159" s="134"/>
      <c r="L159" s="138" t="s">
        <v>751</v>
      </c>
      <c r="M159" s="91"/>
      <c r="N159" s="91"/>
      <c r="O159" s="91"/>
      <c r="P159" s="91"/>
      <c r="Q159" s="91"/>
      <c r="R159" s="137"/>
      <c r="S159" s="55"/>
    </row>
    <row r="160" spans="1:19" ht="28.5">
      <c r="A160" s="136"/>
      <c r="B160" s="216"/>
      <c r="C160" s="216"/>
      <c r="D160" s="219"/>
      <c r="E160" s="216"/>
      <c r="F160" s="233"/>
      <c r="G160" s="134" t="s">
        <v>311</v>
      </c>
      <c r="H160" s="164" t="s">
        <v>292</v>
      </c>
      <c r="I160" s="164" t="s">
        <v>1143</v>
      </c>
      <c r="J160" s="141"/>
      <c r="K160" s="134"/>
      <c r="L160" s="138"/>
      <c r="M160" s="91"/>
      <c r="N160" s="91"/>
      <c r="O160" s="91"/>
      <c r="P160" s="91"/>
      <c r="Q160" s="91"/>
      <c r="R160" s="137"/>
      <c r="S160" s="55"/>
    </row>
    <row r="161" spans="1:19" ht="33" customHeight="1">
      <c r="A161" s="136"/>
      <c r="B161" s="216"/>
      <c r="C161" s="216"/>
      <c r="D161" s="219"/>
      <c r="E161" s="216"/>
      <c r="F161" s="233"/>
      <c r="G161" s="134" t="s">
        <v>312</v>
      </c>
      <c r="H161" s="164" t="s">
        <v>306</v>
      </c>
      <c r="I161" s="164" t="s">
        <v>1144</v>
      </c>
      <c r="J161" s="141" t="s">
        <v>1145</v>
      </c>
      <c r="K161" s="134"/>
      <c r="L161" s="138"/>
      <c r="M161" s="91"/>
      <c r="N161" s="91"/>
      <c r="O161" s="91"/>
      <c r="P161" s="91"/>
      <c r="Q161" s="91"/>
      <c r="R161" s="137"/>
      <c r="S161" s="55"/>
    </row>
    <row r="162" spans="1:19" ht="35.25" customHeight="1">
      <c r="A162" s="136"/>
      <c r="B162" s="216"/>
      <c r="C162" s="216"/>
      <c r="D162" s="219"/>
      <c r="E162" s="216"/>
      <c r="F162" s="233"/>
      <c r="G162" s="134" t="s">
        <v>313</v>
      </c>
      <c r="H162" s="164" t="s">
        <v>298</v>
      </c>
      <c r="I162" s="164" t="s">
        <v>1146</v>
      </c>
      <c r="J162" s="141" t="s">
        <v>1147</v>
      </c>
      <c r="K162" s="134"/>
      <c r="L162" s="138"/>
      <c r="M162" s="91"/>
      <c r="N162" s="91"/>
      <c r="O162" s="91"/>
      <c r="P162" s="91"/>
      <c r="Q162" s="91"/>
      <c r="R162" s="137"/>
      <c r="S162" s="55"/>
    </row>
    <row r="163" spans="1:19" ht="103.5" customHeight="1">
      <c r="A163" s="136"/>
      <c r="B163" s="216"/>
      <c r="C163" s="216"/>
      <c r="D163" s="219"/>
      <c r="E163" s="216" t="s">
        <v>314</v>
      </c>
      <c r="F163" s="233" t="s">
        <v>749</v>
      </c>
      <c r="G163" s="134" t="s">
        <v>315</v>
      </c>
      <c r="H163" s="164" t="s">
        <v>316</v>
      </c>
      <c r="I163" s="164" t="s">
        <v>1148</v>
      </c>
      <c r="J163" s="141" t="s">
        <v>1149</v>
      </c>
      <c r="K163" s="134"/>
      <c r="L163" s="91"/>
      <c r="M163" s="91"/>
      <c r="N163" s="91"/>
      <c r="O163" s="91"/>
      <c r="P163" s="91"/>
      <c r="Q163" s="91"/>
      <c r="R163" s="137"/>
      <c r="S163" s="55"/>
    </row>
    <row r="164" spans="1:19" ht="16.5" customHeight="1">
      <c r="A164" s="136"/>
      <c r="B164" s="216"/>
      <c r="C164" s="216"/>
      <c r="D164" s="219"/>
      <c r="E164" s="216"/>
      <c r="F164" s="233"/>
      <c r="G164" s="134" t="s">
        <v>317</v>
      </c>
      <c r="H164" s="164" t="s">
        <v>292</v>
      </c>
      <c r="I164" s="164" t="s">
        <v>1150</v>
      </c>
      <c r="J164" s="141"/>
      <c r="K164" s="134"/>
      <c r="L164" s="91"/>
      <c r="M164" s="91"/>
      <c r="N164" s="91"/>
      <c r="O164" s="91"/>
      <c r="P164" s="91"/>
      <c r="Q164" s="91"/>
      <c r="R164" s="137"/>
      <c r="S164" s="55"/>
    </row>
    <row r="165" spans="1:19" ht="38.25" customHeight="1">
      <c r="A165" s="136"/>
      <c r="B165" s="216"/>
      <c r="C165" s="216"/>
      <c r="D165" s="219"/>
      <c r="E165" s="216"/>
      <c r="F165" s="233"/>
      <c r="G165" s="134" t="s">
        <v>318</v>
      </c>
      <c r="H165" s="164" t="s">
        <v>319</v>
      </c>
      <c r="I165" s="164" t="s">
        <v>1151</v>
      </c>
      <c r="J165" s="141"/>
      <c r="K165" s="134"/>
      <c r="L165" s="91"/>
      <c r="M165" s="91"/>
      <c r="N165" s="91"/>
      <c r="O165" s="91"/>
      <c r="P165" s="91"/>
      <c r="Q165" s="91"/>
      <c r="R165" s="137"/>
      <c r="S165" s="55"/>
    </row>
    <row r="166" spans="1:19" ht="38.25" customHeight="1">
      <c r="A166" s="136"/>
      <c r="B166" s="216"/>
      <c r="C166" s="216"/>
      <c r="D166" s="219"/>
      <c r="E166" s="216"/>
      <c r="F166" s="233"/>
      <c r="G166" s="134" t="s">
        <v>320</v>
      </c>
      <c r="H166" s="164" t="s">
        <v>306</v>
      </c>
      <c r="I166" s="164" t="s">
        <v>1144</v>
      </c>
      <c r="J166" s="141" t="s">
        <v>1152</v>
      </c>
      <c r="K166" s="134"/>
      <c r="L166" s="91"/>
      <c r="M166" s="91"/>
      <c r="N166" s="91"/>
      <c r="O166" s="91"/>
      <c r="P166" s="91"/>
      <c r="Q166" s="91"/>
      <c r="R166" s="137"/>
      <c r="S166" s="55"/>
    </row>
    <row r="167" spans="1:19" ht="48.75" customHeight="1">
      <c r="A167" s="136"/>
      <c r="B167" s="216"/>
      <c r="C167" s="216"/>
      <c r="D167" s="219"/>
      <c r="E167" s="216"/>
      <c r="F167" s="233"/>
      <c r="G167" s="134" t="s">
        <v>321</v>
      </c>
      <c r="H167" s="164" t="s">
        <v>298</v>
      </c>
      <c r="I167" s="164" t="s">
        <v>1146</v>
      </c>
      <c r="J167" s="141" t="s">
        <v>1153</v>
      </c>
      <c r="K167" s="134"/>
      <c r="L167" s="91"/>
      <c r="M167" s="91"/>
      <c r="N167" s="91"/>
      <c r="O167" s="91"/>
      <c r="P167" s="91"/>
      <c r="Q167" s="91"/>
      <c r="R167" s="137"/>
      <c r="S167" s="55"/>
    </row>
    <row r="168" spans="1:19" ht="93.75" customHeight="1">
      <c r="A168" s="136"/>
      <c r="B168" s="216"/>
      <c r="C168" s="216"/>
      <c r="D168" s="219"/>
      <c r="E168" s="216" t="s">
        <v>322</v>
      </c>
      <c r="F168" s="233" t="s">
        <v>749</v>
      </c>
      <c r="G168" s="134" t="s">
        <v>323</v>
      </c>
      <c r="H168" s="164" t="s">
        <v>324</v>
      </c>
      <c r="I168" s="164" t="s">
        <v>1154</v>
      </c>
      <c r="J168" s="141" t="s">
        <v>1155</v>
      </c>
      <c r="K168" s="134"/>
      <c r="L168" s="91"/>
      <c r="M168" s="91"/>
      <c r="N168" s="91"/>
      <c r="O168" s="91"/>
      <c r="P168" s="91"/>
      <c r="Q168" s="91"/>
      <c r="R168" s="137"/>
      <c r="S168" s="55"/>
    </row>
    <row r="169" spans="1:19" ht="39.75" customHeight="1">
      <c r="A169" s="136"/>
      <c r="B169" s="216"/>
      <c r="C169" s="216"/>
      <c r="D169" s="219"/>
      <c r="E169" s="216"/>
      <c r="F169" s="233"/>
      <c r="G169" s="134" t="s">
        <v>325</v>
      </c>
      <c r="H169" s="164" t="s">
        <v>292</v>
      </c>
      <c r="I169" s="164" t="s">
        <v>1156</v>
      </c>
      <c r="J169" s="141"/>
      <c r="K169" s="134"/>
      <c r="L169" s="91"/>
      <c r="M169" s="91"/>
      <c r="N169" s="91"/>
      <c r="O169" s="91"/>
      <c r="P169" s="91"/>
      <c r="Q169" s="91"/>
      <c r="R169" s="137"/>
      <c r="S169" s="55"/>
    </row>
    <row r="170" spans="1:19" ht="28.5">
      <c r="A170" s="136"/>
      <c r="B170" s="216"/>
      <c r="C170" s="216"/>
      <c r="D170" s="219"/>
      <c r="E170" s="216"/>
      <c r="F170" s="233"/>
      <c r="G170" s="134" t="s">
        <v>326</v>
      </c>
      <c r="H170" s="164" t="s">
        <v>327</v>
      </c>
      <c r="I170" s="164" t="s">
        <v>1157</v>
      </c>
      <c r="J170" s="187" t="s">
        <v>1020</v>
      </c>
      <c r="K170" s="134"/>
      <c r="L170" s="91"/>
      <c r="M170" s="91"/>
      <c r="N170" s="91"/>
      <c r="O170" s="91"/>
      <c r="P170" s="91"/>
      <c r="Q170" s="91"/>
      <c r="R170" s="137"/>
      <c r="S170" s="55"/>
    </row>
    <row r="171" spans="1:19" ht="38.25" customHeight="1">
      <c r="A171" s="136"/>
      <c r="B171" s="216"/>
      <c r="C171" s="216"/>
      <c r="D171" s="219"/>
      <c r="E171" s="216"/>
      <c r="F171" s="233"/>
      <c r="G171" s="134" t="s">
        <v>328</v>
      </c>
      <c r="H171" s="164" t="s">
        <v>306</v>
      </c>
      <c r="I171" s="164" t="s">
        <v>1144</v>
      </c>
      <c r="J171" s="141" t="s">
        <v>1152</v>
      </c>
      <c r="K171" s="134"/>
      <c r="L171" s="91"/>
      <c r="M171" s="91"/>
      <c r="N171" s="91"/>
      <c r="O171" s="91"/>
      <c r="P171" s="91"/>
      <c r="Q171" s="91"/>
      <c r="R171" s="137"/>
      <c r="S171" s="55"/>
    </row>
    <row r="172" spans="1:19" ht="58.5" customHeight="1">
      <c r="A172" s="136"/>
      <c r="B172" s="216"/>
      <c r="C172" s="216"/>
      <c r="D172" s="219"/>
      <c r="E172" s="216"/>
      <c r="F172" s="233"/>
      <c r="G172" s="134" t="s">
        <v>329</v>
      </c>
      <c r="H172" s="164" t="s">
        <v>298</v>
      </c>
      <c r="I172" s="164" t="s">
        <v>1146</v>
      </c>
      <c r="J172" s="141" t="s">
        <v>1153</v>
      </c>
      <c r="K172" s="134"/>
      <c r="L172" s="91"/>
      <c r="M172" s="91"/>
      <c r="N172" s="91"/>
      <c r="O172" s="91"/>
      <c r="P172" s="91"/>
      <c r="Q172" s="91"/>
      <c r="R172" s="137"/>
      <c r="S172" s="55"/>
    </row>
    <row r="173" spans="1:19" ht="106.5" customHeight="1">
      <c r="A173" s="136"/>
      <c r="B173" s="216"/>
      <c r="C173" s="216"/>
      <c r="D173" s="219"/>
      <c r="E173" s="216" t="s">
        <v>330</v>
      </c>
      <c r="F173" s="233" t="s">
        <v>757</v>
      </c>
      <c r="G173" s="134" t="s">
        <v>331</v>
      </c>
      <c r="H173" s="164" t="s">
        <v>332</v>
      </c>
      <c r="I173" s="164" t="s">
        <v>1158</v>
      </c>
      <c r="J173" s="141" t="s">
        <v>1159</v>
      </c>
      <c r="K173" s="134"/>
      <c r="L173" s="91"/>
      <c r="M173" s="91"/>
      <c r="N173" s="91"/>
      <c r="O173" s="91"/>
      <c r="P173" s="91"/>
      <c r="Q173" s="91"/>
      <c r="R173" s="137"/>
      <c r="S173" s="55"/>
    </row>
    <row r="174" spans="1:19" ht="36" customHeight="1">
      <c r="A174" s="136"/>
      <c r="B174" s="216"/>
      <c r="C174" s="216"/>
      <c r="D174" s="219"/>
      <c r="E174" s="216"/>
      <c r="F174" s="233"/>
      <c r="G174" s="134" t="s">
        <v>333</v>
      </c>
      <c r="H174" s="164" t="s">
        <v>306</v>
      </c>
      <c r="I174" s="164" t="s">
        <v>1144</v>
      </c>
      <c r="J174" s="141" t="s">
        <v>1152</v>
      </c>
      <c r="K174" s="134"/>
      <c r="L174" s="91"/>
      <c r="M174" s="91"/>
      <c r="N174" s="91"/>
      <c r="O174" s="91"/>
      <c r="P174" s="91"/>
      <c r="Q174" s="91"/>
      <c r="R174" s="137"/>
      <c r="S174" s="55"/>
    </row>
    <row r="175" spans="1:19" ht="53.25" customHeight="1">
      <c r="A175" s="136"/>
      <c r="B175" s="216"/>
      <c r="C175" s="216"/>
      <c r="D175" s="219"/>
      <c r="E175" s="216"/>
      <c r="F175" s="233"/>
      <c r="G175" s="134" t="s">
        <v>334</v>
      </c>
      <c r="H175" s="164" t="s">
        <v>335</v>
      </c>
      <c r="I175" s="164" t="s">
        <v>1160</v>
      </c>
      <c r="J175" s="141" t="s">
        <v>1161</v>
      </c>
      <c r="K175" s="134"/>
      <c r="L175" s="91"/>
      <c r="M175" s="91"/>
      <c r="N175" s="91"/>
      <c r="O175" s="91"/>
      <c r="P175" s="91"/>
      <c r="Q175" s="91"/>
      <c r="R175" s="137"/>
      <c r="S175" s="55"/>
    </row>
    <row r="176" spans="1:19" ht="75.75" customHeight="1">
      <c r="A176" s="136"/>
      <c r="B176" s="216" t="s">
        <v>336</v>
      </c>
      <c r="C176" s="216" t="s">
        <v>337</v>
      </c>
      <c r="D176" s="217" t="s">
        <v>338</v>
      </c>
      <c r="E176" s="217" t="s">
        <v>413</v>
      </c>
      <c r="F176" s="231" t="s">
        <v>760</v>
      </c>
      <c r="G176" s="134" t="s">
        <v>339</v>
      </c>
      <c r="H176" s="164" t="s">
        <v>340</v>
      </c>
      <c r="I176" s="164" t="s">
        <v>1162</v>
      </c>
      <c r="J176" s="164" t="s">
        <v>1163</v>
      </c>
      <c r="K176" s="134"/>
      <c r="L176" s="143" t="s">
        <v>762</v>
      </c>
      <c r="M176" s="91"/>
      <c r="N176" s="91"/>
      <c r="O176" s="91"/>
      <c r="P176" s="91"/>
      <c r="Q176" s="91"/>
      <c r="R176" s="137"/>
      <c r="S176" s="55"/>
    </row>
    <row r="177" spans="1:19" ht="66.75" customHeight="1">
      <c r="A177" s="136"/>
      <c r="B177" s="216"/>
      <c r="C177" s="216"/>
      <c r="D177" s="217"/>
      <c r="E177" s="217"/>
      <c r="F177" s="231"/>
      <c r="G177" s="134" t="s">
        <v>341</v>
      </c>
      <c r="H177" s="214" t="s">
        <v>342</v>
      </c>
      <c r="I177" s="213" t="s">
        <v>1164</v>
      </c>
      <c r="J177" s="164"/>
      <c r="K177" s="134"/>
      <c r="L177" s="143"/>
      <c r="M177" s="91"/>
      <c r="N177" s="91"/>
      <c r="O177" s="91"/>
      <c r="P177" s="91"/>
      <c r="Q177" s="91"/>
      <c r="R177" s="137"/>
      <c r="S177" s="55"/>
    </row>
    <row r="178" spans="1:19" ht="66.75" customHeight="1">
      <c r="A178" s="136"/>
      <c r="B178" s="216"/>
      <c r="C178" s="216"/>
      <c r="D178" s="217"/>
      <c r="E178" s="217"/>
      <c r="F178" s="231"/>
      <c r="G178" s="134" t="s">
        <v>343</v>
      </c>
      <c r="H178" s="164" t="s">
        <v>344</v>
      </c>
      <c r="I178" s="164" t="s">
        <v>1165</v>
      </c>
      <c r="J178" s="213" t="s">
        <v>1166</v>
      </c>
      <c r="K178" s="134"/>
      <c r="L178" s="143"/>
      <c r="M178" s="91"/>
      <c r="N178" s="91"/>
      <c r="O178" s="91"/>
      <c r="P178" s="91"/>
      <c r="Q178" s="91"/>
      <c r="R178" s="137"/>
      <c r="S178" s="55"/>
    </row>
    <row r="179" spans="1:19" ht="87.75" customHeight="1">
      <c r="A179" s="136"/>
      <c r="B179" s="216" t="s">
        <v>345</v>
      </c>
      <c r="C179" s="216" t="s">
        <v>346</v>
      </c>
      <c r="D179" s="90" t="s">
        <v>347</v>
      </c>
      <c r="E179" s="145"/>
      <c r="F179" s="138" t="s">
        <v>421</v>
      </c>
      <c r="G179" s="134" t="s">
        <v>348</v>
      </c>
      <c r="H179" s="164" t="s">
        <v>349</v>
      </c>
      <c r="I179" s="164"/>
      <c r="J179" s="164" t="s">
        <v>1167</v>
      </c>
      <c r="K179" s="134"/>
      <c r="L179" s="91"/>
      <c r="M179" s="91"/>
      <c r="N179" s="91"/>
      <c r="O179" s="91"/>
      <c r="P179" s="91"/>
      <c r="Q179" s="91"/>
      <c r="R179" s="137"/>
      <c r="S179" s="55"/>
    </row>
    <row r="180" spans="1:19" ht="49.5" customHeight="1">
      <c r="A180" s="136"/>
      <c r="B180" s="216"/>
      <c r="C180" s="216"/>
      <c r="D180" s="90" t="s">
        <v>350</v>
      </c>
      <c r="E180" s="145"/>
      <c r="F180" s="138"/>
      <c r="G180" s="134" t="s">
        <v>351</v>
      </c>
      <c r="H180" s="164" t="s">
        <v>352</v>
      </c>
      <c r="I180" s="164" t="s">
        <v>1168</v>
      </c>
      <c r="J180" s="141" t="s">
        <v>1169</v>
      </c>
      <c r="K180" s="134"/>
      <c r="L180" s="91"/>
      <c r="M180" s="91"/>
      <c r="N180" s="91"/>
      <c r="O180" s="91"/>
      <c r="P180" s="91"/>
      <c r="Q180" s="91"/>
      <c r="R180" s="137"/>
      <c r="S180" s="55"/>
    </row>
    <row r="181" spans="1:19" ht="45" customHeight="1">
      <c r="A181" s="136"/>
      <c r="B181" s="216"/>
      <c r="C181" s="216"/>
      <c r="D181" s="90" t="s">
        <v>353</v>
      </c>
      <c r="E181" s="145"/>
      <c r="F181" s="91" t="s">
        <v>423</v>
      </c>
      <c r="G181" s="134" t="s">
        <v>354</v>
      </c>
      <c r="H181" s="164" t="s">
        <v>355</v>
      </c>
      <c r="I181" s="164" t="s">
        <v>1170</v>
      </c>
      <c r="J181" s="141" t="s">
        <v>1171</v>
      </c>
      <c r="K181" s="134"/>
      <c r="L181" s="91"/>
      <c r="M181" s="91"/>
      <c r="N181" s="91"/>
      <c r="O181" s="91"/>
      <c r="P181" s="91"/>
      <c r="Q181" s="91"/>
      <c r="R181" s="137"/>
      <c r="S181" s="55"/>
    </row>
    <row r="182" spans="1:19" ht="28.5" customHeight="1">
      <c r="A182" s="136"/>
      <c r="B182" s="216"/>
      <c r="C182" s="216" t="s">
        <v>356</v>
      </c>
      <c r="D182" s="199" t="s">
        <v>358</v>
      </c>
      <c r="E182" s="154" t="s">
        <v>1172</v>
      </c>
      <c r="F182" s="209" t="s">
        <v>1172</v>
      </c>
      <c r="G182" s="156" t="s">
        <v>357</v>
      </c>
      <c r="H182" s="168" t="s">
        <v>1172</v>
      </c>
      <c r="I182" s="135" t="s">
        <v>1173</v>
      </c>
      <c r="J182" s="188" t="s">
        <v>1172</v>
      </c>
      <c r="K182" s="134"/>
      <c r="L182" s="91"/>
      <c r="M182" s="91"/>
      <c r="N182" s="91"/>
      <c r="O182" s="91"/>
      <c r="P182" s="91"/>
      <c r="Q182" s="91"/>
      <c r="R182" s="137"/>
      <c r="S182" s="55"/>
    </row>
    <row r="183" spans="1:19" ht="28.5" customHeight="1">
      <c r="A183" s="136"/>
      <c r="B183" s="216"/>
      <c r="C183" s="216"/>
      <c r="D183" s="200" t="s">
        <v>1174</v>
      </c>
      <c r="E183" s="135" t="s">
        <v>1172</v>
      </c>
      <c r="F183" s="209" t="s">
        <v>1172</v>
      </c>
      <c r="G183" s="156" t="s">
        <v>359</v>
      </c>
      <c r="H183" s="189" t="s">
        <v>1175</v>
      </c>
      <c r="I183" s="135" t="s">
        <v>1176</v>
      </c>
      <c r="J183" s="188" t="s">
        <v>1172</v>
      </c>
      <c r="K183" s="157"/>
      <c r="L183" s="137"/>
      <c r="M183" s="137"/>
      <c r="N183" s="137"/>
      <c r="O183" s="137"/>
      <c r="P183" s="137"/>
      <c r="Q183" s="137"/>
      <c r="R183" s="137"/>
      <c r="S183" s="55"/>
    </row>
    <row r="184" spans="1:19" ht="28.5" customHeight="1">
      <c r="A184" s="136"/>
      <c r="B184" s="216"/>
      <c r="C184" s="216"/>
      <c r="D184" s="201" t="s">
        <v>1177</v>
      </c>
      <c r="E184" s="135" t="s">
        <v>1172</v>
      </c>
      <c r="F184" s="209" t="s">
        <v>1172</v>
      </c>
      <c r="G184" s="156" t="s">
        <v>361</v>
      </c>
      <c r="H184" s="189" t="s">
        <v>1178</v>
      </c>
      <c r="I184" s="135" t="s">
        <v>1179</v>
      </c>
      <c r="J184" s="188" t="s">
        <v>1172</v>
      </c>
      <c r="K184" s="157"/>
      <c r="L184" s="137"/>
      <c r="M184" s="137"/>
      <c r="N184" s="137"/>
      <c r="O184" s="137"/>
      <c r="P184" s="137"/>
      <c r="Q184" s="137"/>
      <c r="R184" s="137"/>
      <c r="S184" s="55"/>
    </row>
    <row r="185" spans="1:19" ht="28.5" customHeight="1">
      <c r="A185" s="136"/>
      <c r="B185" s="216"/>
      <c r="C185" s="216"/>
      <c r="D185" s="200" t="s">
        <v>360</v>
      </c>
      <c r="E185" s="135" t="s">
        <v>1172</v>
      </c>
      <c r="F185" s="209" t="s">
        <v>1172</v>
      </c>
      <c r="G185" s="156" t="s">
        <v>365</v>
      </c>
      <c r="H185" s="135" t="s">
        <v>1180</v>
      </c>
      <c r="I185" s="135"/>
      <c r="J185" s="188" t="s">
        <v>1172</v>
      </c>
      <c r="K185" s="157"/>
      <c r="L185" s="137"/>
      <c r="M185" s="137"/>
      <c r="N185" s="137"/>
      <c r="O185" s="137"/>
      <c r="P185" s="137"/>
      <c r="Q185" s="137"/>
      <c r="R185" s="137"/>
      <c r="S185" s="55"/>
    </row>
    <row r="186" spans="1:19" ht="28.5" customHeight="1">
      <c r="A186" s="136"/>
      <c r="B186" s="216"/>
      <c r="C186" s="216" t="s">
        <v>362</v>
      </c>
      <c r="D186" s="219" t="s">
        <v>363</v>
      </c>
      <c r="E186" s="158" t="s">
        <v>364</v>
      </c>
      <c r="F186" s="210"/>
      <c r="G186" s="134" t="s">
        <v>365</v>
      </c>
      <c r="H186" s="190" t="s">
        <v>1181</v>
      </c>
      <c r="I186" s="159" t="s">
        <v>1182</v>
      </c>
      <c r="J186" s="188" t="s">
        <v>1183</v>
      </c>
      <c r="K186" s="157"/>
      <c r="L186" s="137"/>
      <c r="M186" s="137"/>
      <c r="N186" s="137"/>
      <c r="O186" s="137"/>
      <c r="P186" s="137"/>
      <c r="Q186" s="137"/>
      <c r="R186" s="137"/>
      <c r="S186" s="55"/>
    </row>
    <row r="187" spans="1:19" ht="28.5" customHeight="1">
      <c r="A187" s="136"/>
      <c r="B187" s="216"/>
      <c r="C187" s="216"/>
      <c r="D187" s="219"/>
      <c r="E187" s="158" t="s">
        <v>366</v>
      </c>
      <c r="F187" s="210"/>
      <c r="G187" s="134" t="s">
        <v>367</v>
      </c>
      <c r="H187" s="189" t="s">
        <v>1184</v>
      </c>
      <c r="I187" s="159" t="s">
        <v>1185</v>
      </c>
      <c r="J187" s="188" t="s">
        <v>1186</v>
      </c>
      <c r="K187" s="157"/>
      <c r="L187" s="137"/>
      <c r="M187" s="137"/>
      <c r="N187" s="137"/>
      <c r="O187" s="137"/>
      <c r="P187" s="137"/>
      <c r="Q187" s="137"/>
      <c r="R187" s="137"/>
      <c r="S187" s="55"/>
    </row>
    <row r="188" spans="1:19" ht="28.5" customHeight="1">
      <c r="A188" s="136"/>
      <c r="B188" s="216"/>
      <c r="C188" s="216"/>
      <c r="D188" s="219"/>
      <c r="E188" s="158" t="s">
        <v>368</v>
      </c>
      <c r="F188" s="210"/>
      <c r="G188" s="134" t="s">
        <v>369</v>
      </c>
      <c r="H188" s="191" t="s">
        <v>1172</v>
      </c>
      <c r="I188" s="159" t="s">
        <v>1172</v>
      </c>
      <c r="J188" s="188" t="s">
        <v>1172</v>
      </c>
      <c r="K188" s="157"/>
      <c r="L188" s="137"/>
      <c r="M188" s="137"/>
      <c r="N188" s="137"/>
      <c r="O188" s="137"/>
      <c r="P188" s="137"/>
      <c r="Q188" s="137"/>
      <c r="R188" s="137"/>
      <c r="S188" s="55"/>
    </row>
    <row r="189" spans="1:19" ht="97.5">
      <c r="A189" s="136"/>
      <c r="B189" s="216"/>
      <c r="C189" s="216"/>
      <c r="D189" s="158" t="s">
        <v>370</v>
      </c>
      <c r="E189" s="160" t="s">
        <v>371</v>
      </c>
      <c r="F189" s="210"/>
      <c r="G189" s="134" t="s">
        <v>372</v>
      </c>
      <c r="H189" s="191" t="s">
        <v>1187</v>
      </c>
      <c r="I189" s="135" t="s">
        <v>1188</v>
      </c>
      <c r="J189" s="168" t="s">
        <v>1189</v>
      </c>
      <c r="K189" s="157"/>
      <c r="L189" s="137"/>
      <c r="M189" s="137"/>
      <c r="N189" s="137"/>
      <c r="O189" s="137"/>
      <c r="P189" s="137"/>
      <c r="Q189" s="137"/>
      <c r="R189" s="137"/>
      <c r="S189" s="55"/>
    </row>
    <row r="190" spans="1:19" ht="28.5" customHeight="1">
      <c r="A190" s="136"/>
      <c r="B190" s="216"/>
      <c r="C190" s="216"/>
      <c r="D190" s="135" t="s">
        <v>373</v>
      </c>
      <c r="E190" s="145"/>
      <c r="F190" s="210"/>
      <c r="G190" s="134" t="s">
        <v>374</v>
      </c>
      <c r="H190" s="189" t="s">
        <v>1190</v>
      </c>
      <c r="I190" s="189" t="s">
        <v>1191</v>
      </c>
      <c r="J190" s="168" t="s">
        <v>1172</v>
      </c>
      <c r="K190" s="157"/>
      <c r="L190" s="137"/>
      <c r="M190" s="137"/>
      <c r="N190" s="137"/>
      <c r="O190" s="137"/>
      <c r="P190" s="137"/>
      <c r="Q190" s="137"/>
      <c r="R190" s="137"/>
      <c r="S190" s="55"/>
    </row>
    <row r="191" spans="1:19" ht="28.5" customHeight="1">
      <c r="A191" s="136"/>
      <c r="B191" s="216"/>
      <c r="C191" s="216"/>
      <c r="D191" s="135" t="s">
        <v>1192</v>
      </c>
      <c r="E191" s="145"/>
      <c r="F191" s="210"/>
      <c r="G191" s="134" t="s">
        <v>375</v>
      </c>
      <c r="H191" s="191" t="s">
        <v>1172</v>
      </c>
      <c r="I191" s="191" t="s">
        <v>1172</v>
      </c>
      <c r="J191" s="168" t="s">
        <v>1193</v>
      </c>
      <c r="K191" s="157"/>
      <c r="L191" s="137"/>
      <c r="M191" s="137"/>
      <c r="N191" s="137"/>
      <c r="O191" s="137"/>
      <c r="P191" s="137"/>
      <c r="Q191" s="137"/>
      <c r="R191" s="137"/>
      <c r="S191" s="55"/>
    </row>
    <row r="192" spans="1:19" ht="28.5" customHeight="1">
      <c r="A192" s="136"/>
      <c r="B192" s="216"/>
      <c r="C192" s="216"/>
      <c r="D192" s="135" t="s">
        <v>1194</v>
      </c>
      <c r="E192" s="145"/>
      <c r="F192" s="210"/>
      <c r="G192" s="134" t="s">
        <v>376</v>
      </c>
      <c r="H192" s="189" t="s">
        <v>1195</v>
      </c>
      <c r="I192" s="189" t="s">
        <v>1196</v>
      </c>
      <c r="J192" s="188" t="s">
        <v>1172</v>
      </c>
      <c r="K192" s="157"/>
      <c r="L192" s="137"/>
      <c r="M192" s="137"/>
      <c r="N192" s="137"/>
      <c r="O192" s="137"/>
      <c r="P192" s="137"/>
      <c r="Q192" s="137"/>
      <c r="R192" s="137"/>
      <c r="S192" s="55"/>
    </row>
    <row r="193" spans="1:19" ht="28.5" customHeight="1">
      <c r="A193" s="136"/>
      <c r="B193" s="216"/>
      <c r="C193" s="216"/>
      <c r="D193" s="135" t="s">
        <v>377</v>
      </c>
      <c r="E193" s="145"/>
      <c r="F193" s="210"/>
      <c r="G193" s="134" t="s">
        <v>378</v>
      </c>
      <c r="H193" s="191" t="s">
        <v>1172</v>
      </c>
      <c r="I193" s="191" t="s">
        <v>1172</v>
      </c>
      <c r="J193" s="192"/>
      <c r="K193" s="157"/>
      <c r="L193" s="137"/>
      <c r="M193" s="137"/>
      <c r="N193" s="137"/>
      <c r="O193" s="137"/>
      <c r="P193" s="137"/>
      <c r="Q193" s="137"/>
      <c r="R193" s="137"/>
      <c r="S193" s="55"/>
    </row>
    <row r="194" spans="1:19" ht="28.5" customHeight="1">
      <c r="A194" s="136"/>
      <c r="B194" s="216"/>
      <c r="C194" s="216"/>
      <c r="D194" s="159" t="s">
        <v>379</v>
      </c>
      <c r="E194" s="145"/>
      <c r="F194" s="210"/>
      <c r="G194" s="134" t="s">
        <v>380</v>
      </c>
      <c r="H194" s="191" t="s">
        <v>1172</v>
      </c>
      <c r="I194" s="191" t="s">
        <v>1172</v>
      </c>
      <c r="J194" s="188" t="s">
        <v>1172</v>
      </c>
      <c r="K194" s="157"/>
      <c r="L194" s="137"/>
      <c r="M194" s="137"/>
      <c r="N194" s="137"/>
      <c r="O194" s="137"/>
      <c r="P194" s="137"/>
      <c r="Q194" s="137"/>
      <c r="R194" s="137"/>
      <c r="S194" s="55"/>
    </row>
    <row r="195" spans="1:19" ht="36">
      <c r="A195" s="136"/>
      <c r="B195" s="216"/>
      <c r="C195" s="216"/>
      <c r="D195" s="159" t="s">
        <v>381</v>
      </c>
      <c r="E195" s="145"/>
      <c r="F195" s="210"/>
      <c r="G195" s="134" t="s">
        <v>382</v>
      </c>
      <c r="H195" s="189" t="s">
        <v>1197</v>
      </c>
      <c r="I195" s="189" t="s">
        <v>1198</v>
      </c>
      <c r="J195" s="188" t="s">
        <v>1199</v>
      </c>
      <c r="K195" s="157"/>
      <c r="L195" s="137"/>
      <c r="M195" s="137"/>
      <c r="N195" s="137"/>
      <c r="O195" s="137"/>
      <c r="P195" s="137"/>
      <c r="Q195" s="137"/>
      <c r="R195" s="137"/>
      <c r="S195" s="55"/>
    </row>
    <row r="196" spans="1:19" ht="28.5" customHeight="1">
      <c r="A196" s="136"/>
      <c r="B196" s="216"/>
      <c r="C196" s="216"/>
      <c r="D196" s="135" t="s">
        <v>383</v>
      </c>
      <c r="E196" s="145"/>
      <c r="F196" s="210"/>
      <c r="G196" s="134" t="s">
        <v>384</v>
      </c>
      <c r="H196" s="51" t="s">
        <v>1200</v>
      </c>
      <c r="J196" s="51" t="s">
        <v>1201</v>
      </c>
      <c r="K196" s="157"/>
      <c r="L196" s="137"/>
      <c r="M196" s="137"/>
      <c r="N196" s="137"/>
      <c r="O196" s="137"/>
      <c r="P196" s="137"/>
      <c r="Q196" s="137"/>
      <c r="R196" s="137"/>
      <c r="S196" s="55"/>
    </row>
    <row r="197" spans="1:19" ht="28.5" customHeight="1">
      <c r="A197" s="136"/>
      <c r="B197" s="216"/>
      <c r="C197" s="216"/>
      <c r="D197" s="155" t="s">
        <v>385</v>
      </c>
      <c r="E197" s="145"/>
      <c r="F197" s="210"/>
      <c r="G197" s="134" t="s">
        <v>386</v>
      </c>
      <c r="J197" s="51"/>
      <c r="K197" s="157"/>
      <c r="L197" s="137"/>
      <c r="M197" s="137"/>
      <c r="N197" s="137"/>
      <c r="O197" s="137"/>
      <c r="P197" s="137"/>
      <c r="Q197" s="137"/>
      <c r="R197" s="137"/>
      <c r="S197" s="55"/>
    </row>
    <row r="198" spans="1:19" ht="28.5" customHeight="1">
      <c r="A198" s="136"/>
      <c r="B198" s="216"/>
      <c r="C198" s="216" t="s">
        <v>387</v>
      </c>
      <c r="D198" s="135" t="s">
        <v>1202</v>
      </c>
      <c r="E198" s="158"/>
      <c r="F198" s="210"/>
      <c r="G198" s="134" t="s">
        <v>388</v>
      </c>
      <c r="H198" s="189" t="s">
        <v>1203</v>
      </c>
      <c r="I198" s="191" t="s">
        <v>1204</v>
      </c>
      <c r="J198" s="169" t="s">
        <v>1205</v>
      </c>
      <c r="K198" s="157"/>
      <c r="L198" s="137"/>
      <c r="M198" s="137"/>
      <c r="N198" s="137"/>
      <c r="O198" s="137"/>
      <c r="P198" s="137"/>
      <c r="Q198" s="137"/>
      <c r="R198" s="137"/>
      <c r="S198" s="55"/>
    </row>
    <row r="199" spans="1:19" ht="28.5" customHeight="1">
      <c r="A199" s="136"/>
      <c r="B199" s="136"/>
      <c r="C199" s="216"/>
      <c r="D199" s="135" t="s">
        <v>1206</v>
      </c>
      <c r="E199" s="137"/>
      <c r="F199" s="210"/>
      <c r="G199" s="134" t="s">
        <v>389</v>
      </c>
      <c r="H199" s="189" t="s">
        <v>1203</v>
      </c>
      <c r="I199" s="189" t="s">
        <v>1207</v>
      </c>
      <c r="J199" s="188" t="s">
        <v>1172</v>
      </c>
      <c r="K199" s="157"/>
      <c r="L199" s="137"/>
      <c r="M199" s="137"/>
      <c r="N199" s="137"/>
      <c r="O199" s="137"/>
      <c r="P199" s="137"/>
      <c r="Q199" s="137"/>
      <c r="R199" s="137"/>
      <c r="S199" s="55"/>
    </row>
    <row r="200" spans="1:19" ht="28.5" customHeight="1">
      <c r="A200" s="136"/>
      <c r="B200" s="136"/>
      <c r="C200" s="216"/>
      <c r="D200" s="135" t="s">
        <v>1208</v>
      </c>
      <c r="E200" s="137"/>
      <c r="F200" s="210"/>
      <c r="G200" s="134"/>
      <c r="H200" s="189" t="s">
        <v>1209</v>
      </c>
      <c r="I200" s="189" t="s">
        <v>1210</v>
      </c>
      <c r="J200" s="188" t="s">
        <v>1172</v>
      </c>
      <c r="K200" s="157"/>
      <c r="L200" s="137"/>
      <c r="M200" s="137"/>
      <c r="N200" s="137"/>
      <c r="O200" s="137"/>
      <c r="P200" s="137"/>
      <c r="Q200" s="137"/>
      <c r="R200" s="137"/>
      <c r="S200" s="55"/>
    </row>
    <row r="201" spans="1:19" ht="28.5" customHeight="1">
      <c r="A201" s="136"/>
      <c r="B201" s="136"/>
      <c r="C201" s="216"/>
      <c r="D201" s="135" t="s">
        <v>1211</v>
      </c>
      <c r="E201" s="137"/>
      <c r="F201" s="210"/>
      <c r="G201" s="134" t="s">
        <v>390</v>
      </c>
      <c r="H201" s="189" t="s">
        <v>1212</v>
      </c>
      <c r="I201" s="189"/>
      <c r="J201" s="188" t="s">
        <v>1172</v>
      </c>
      <c r="K201" s="157"/>
      <c r="L201" s="137"/>
      <c r="M201" s="137"/>
      <c r="N201" s="137"/>
      <c r="O201" s="137"/>
      <c r="P201" s="137"/>
      <c r="Q201" s="137"/>
      <c r="R201" s="137"/>
      <c r="S201" s="55"/>
    </row>
    <row r="202" spans="1:19" ht="56.25" customHeight="1">
      <c r="A202" s="136"/>
      <c r="B202" s="136"/>
      <c r="C202" s="90" t="s">
        <v>391</v>
      </c>
      <c r="D202" s="137" t="s">
        <v>392</v>
      </c>
      <c r="E202" s="137"/>
      <c r="F202" s="210"/>
      <c r="G202" s="134" t="s">
        <v>393</v>
      </c>
      <c r="H202" s="189"/>
      <c r="I202" s="189"/>
      <c r="J202" s="193" t="s">
        <v>1213</v>
      </c>
      <c r="K202" s="137"/>
      <c r="L202" s="137"/>
      <c r="M202" s="137"/>
      <c r="N202" s="137"/>
      <c r="O202" s="137"/>
      <c r="P202" s="137"/>
      <c r="Q202" s="137"/>
      <c r="R202" s="137"/>
      <c r="S202" s="55"/>
    </row>
    <row r="203" spans="1:19" ht="242.25">
      <c r="A203" s="136"/>
      <c r="B203" s="90" t="s">
        <v>394</v>
      </c>
      <c r="C203" s="90" t="s">
        <v>533</v>
      </c>
      <c r="D203" s="150" t="s">
        <v>395</v>
      </c>
      <c r="E203" s="150"/>
      <c r="F203" s="142" t="s">
        <v>534</v>
      </c>
      <c r="G203" s="134" t="s">
        <v>1214</v>
      </c>
      <c r="H203" s="189"/>
      <c r="I203" s="191" t="s">
        <v>1172</v>
      </c>
      <c r="J203" s="168" t="s">
        <v>785</v>
      </c>
      <c r="K203" s="162"/>
      <c r="L203" s="161" t="s">
        <v>786</v>
      </c>
      <c r="M203" s="137"/>
      <c r="N203" s="137"/>
      <c r="O203" s="137"/>
      <c r="P203" s="137"/>
      <c r="Q203" s="137"/>
      <c r="R203" s="137"/>
      <c r="S203" s="55"/>
    </row>
    <row r="204" spans="1:19" ht="13.5" customHeight="1">
      <c r="A204" s="136"/>
      <c r="B204" s="136"/>
      <c r="C204" s="137"/>
      <c r="D204" s="137"/>
      <c r="E204" s="137"/>
      <c r="F204" s="210"/>
      <c r="G204" s="137"/>
      <c r="H204" s="155" t="s">
        <v>1172</v>
      </c>
      <c r="I204" s="155" t="s">
        <v>1172</v>
      </c>
      <c r="J204" s="193"/>
      <c r="K204" s="137"/>
      <c r="L204" s="137"/>
      <c r="M204" s="137"/>
      <c r="N204" s="137"/>
      <c r="O204" s="137"/>
      <c r="P204" s="137"/>
      <c r="Q204" s="137"/>
      <c r="R204" s="137"/>
      <c r="S204" s="55"/>
    </row>
    <row r="205" spans="1:19" ht="13.5" customHeight="1">
      <c r="A205" s="136"/>
      <c r="B205" s="136"/>
      <c r="C205" s="137"/>
      <c r="D205" s="137"/>
      <c r="E205" s="137"/>
      <c r="F205" s="210"/>
      <c r="G205" s="137"/>
      <c r="H205" s="168" t="s">
        <v>1172</v>
      </c>
      <c r="I205" s="194" t="s">
        <v>1172</v>
      </c>
      <c r="J205" s="194"/>
      <c r="K205" s="137"/>
      <c r="L205" s="137"/>
      <c r="M205" s="137"/>
      <c r="N205" s="137"/>
      <c r="O205" s="137"/>
      <c r="P205" s="137"/>
      <c r="Q205" s="137"/>
      <c r="R205" s="137"/>
      <c r="S205" s="55"/>
    </row>
    <row r="206" spans="1:19" ht="13.5" customHeight="1">
      <c r="C206" s="55"/>
      <c r="D206" s="55"/>
      <c r="E206" s="55"/>
      <c r="F206" s="53"/>
      <c r="G206" s="55"/>
      <c r="H206" s="55"/>
      <c r="I206" s="55"/>
      <c r="J206" s="163"/>
      <c r="K206" s="55"/>
      <c r="L206" s="55"/>
      <c r="M206" s="55"/>
      <c r="N206" s="55"/>
      <c r="O206" s="55"/>
      <c r="P206" s="55"/>
      <c r="Q206" s="55"/>
      <c r="R206" s="55"/>
      <c r="S206" s="55"/>
    </row>
    <row r="207" spans="1:19" ht="13.5" customHeight="1">
      <c r="C207" s="55"/>
      <c r="D207" s="55"/>
      <c r="E207" s="55"/>
      <c r="F207" s="53"/>
      <c r="G207" s="55"/>
      <c r="H207" s="55"/>
      <c r="I207" s="55"/>
      <c r="J207" s="163"/>
      <c r="K207" s="55"/>
      <c r="L207" s="55"/>
      <c r="M207" s="55"/>
      <c r="N207" s="55"/>
      <c r="O207" s="55"/>
      <c r="P207" s="55"/>
      <c r="Q207" s="55"/>
      <c r="R207" s="55"/>
      <c r="S207" s="55"/>
    </row>
    <row r="208" spans="1:19" ht="13.5" customHeight="1">
      <c r="C208" s="55"/>
      <c r="D208" s="55"/>
      <c r="E208" s="55"/>
      <c r="F208" s="53"/>
      <c r="G208" s="55"/>
      <c r="H208" s="55"/>
      <c r="I208" s="55"/>
      <c r="J208" s="163"/>
      <c r="K208" s="55"/>
      <c r="L208" s="55"/>
      <c r="M208" s="55"/>
      <c r="N208" s="55"/>
      <c r="O208" s="55"/>
      <c r="P208" s="55"/>
      <c r="Q208" s="55"/>
      <c r="R208" s="55"/>
      <c r="S208" s="55"/>
    </row>
    <row r="209" spans="3:19" ht="13.5" customHeight="1">
      <c r="C209" s="55"/>
      <c r="D209" s="55"/>
      <c r="E209" s="55"/>
      <c r="F209" s="53"/>
      <c r="G209" s="55"/>
      <c r="H209" s="55"/>
      <c r="I209" s="55"/>
      <c r="J209" s="163"/>
      <c r="K209" s="55"/>
      <c r="L209" s="55"/>
      <c r="M209" s="55"/>
      <c r="N209" s="55"/>
      <c r="O209" s="55"/>
      <c r="P209" s="55"/>
      <c r="Q209" s="55"/>
      <c r="R209" s="55"/>
      <c r="S209" s="55"/>
    </row>
    <row r="210" spans="3:19" ht="13.5" customHeight="1">
      <c r="C210" s="55"/>
      <c r="D210" s="55"/>
      <c r="E210" s="55"/>
      <c r="F210" s="53"/>
      <c r="G210" s="55"/>
      <c r="H210" s="55"/>
      <c r="I210" s="55"/>
      <c r="J210" s="163"/>
      <c r="K210" s="55"/>
      <c r="L210" s="55"/>
      <c r="M210" s="55"/>
      <c r="N210" s="55"/>
      <c r="O210" s="55"/>
      <c r="P210" s="55"/>
      <c r="Q210" s="55"/>
      <c r="R210" s="55"/>
      <c r="S210" s="55"/>
    </row>
    <row r="211" spans="3:19" ht="13.5" customHeight="1">
      <c r="C211" s="55"/>
      <c r="D211" s="55"/>
      <c r="E211" s="55"/>
      <c r="F211" s="53"/>
      <c r="G211" s="55"/>
      <c r="H211" s="55"/>
      <c r="I211" s="55"/>
      <c r="J211" s="163"/>
      <c r="K211" s="55"/>
      <c r="L211" s="55"/>
      <c r="M211" s="55"/>
      <c r="N211" s="55"/>
      <c r="O211" s="55"/>
      <c r="P211" s="55"/>
      <c r="Q211" s="55"/>
      <c r="R211" s="55"/>
      <c r="S211" s="55"/>
    </row>
    <row r="212" spans="3:19" ht="13.5" customHeight="1">
      <c r="C212" s="55"/>
      <c r="D212" s="55"/>
      <c r="E212" s="55"/>
      <c r="F212" s="53"/>
      <c r="G212" s="55"/>
      <c r="H212" s="55"/>
      <c r="I212" s="55"/>
      <c r="J212" s="163"/>
      <c r="K212" s="55"/>
      <c r="L212" s="55"/>
      <c r="M212" s="55"/>
      <c r="N212" s="55"/>
      <c r="O212" s="55"/>
      <c r="P212" s="55"/>
      <c r="Q212" s="55"/>
      <c r="R212" s="55"/>
      <c r="S212" s="55"/>
    </row>
    <row r="213" spans="3:19" ht="13.5" customHeight="1">
      <c r="C213" s="55"/>
      <c r="D213" s="55"/>
      <c r="E213" s="55"/>
      <c r="F213" s="53"/>
      <c r="G213" s="55"/>
      <c r="H213" s="55"/>
      <c r="I213" s="55"/>
      <c r="J213" s="163"/>
      <c r="K213" s="55"/>
      <c r="L213" s="55"/>
      <c r="M213" s="55"/>
      <c r="N213" s="55"/>
      <c r="O213" s="55"/>
      <c r="P213" s="55"/>
      <c r="Q213" s="55"/>
      <c r="R213" s="55"/>
      <c r="S213" s="55"/>
    </row>
    <row r="214" spans="3:19" ht="13.5" customHeight="1">
      <c r="C214" s="55"/>
      <c r="D214" s="55"/>
      <c r="E214" s="55"/>
      <c r="F214" s="53"/>
      <c r="G214" s="55"/>
      <c r="H214" s="55"/>
      <c r="I214" s="55"/>
      <c r="J214" s="163"/>
      <c r="K214" s="55"/>
      <c r="L214" s="55"/>
      <c r="M214" s="55"/>
      <c r="N214" s="55"/>
      <c r="O214" s="55"/>
      <c r="P214" s="55"/>
      <c r="Q214" s="55"/>
      <c r="R214" s="55"/>
      <c r="S214" s="55"/>
    </row>
    <row r="215" spans="3:19" ht="13.5" customHeight="1">
      <c r="C215" s="55"/>
      <c r="D215" s="55"/>
      <c r="E215" s="55"/>
      <c r="F215" s="53"/>
      <c r="G215" s="55"/>
      <c r="H215" s="55"/>
      <c r="I215" s="55"/>
      <c r="J215" s="163"/>
      <c r="K215" s="55"/>
      <c r="L215" s="55"/>
      <c r="M215" s="55"/>
      <c r="N215" s="55"/>
      <c r="O215" s="55"/>
      <c r="P215" s="55"/>
      <c r="Q215" s="55"/>
      <c r="R215" s="55"/>
      <c r="S215" s="55"/>
    </row>
    <row r="216" spans="3:19" ht="13.5" customHeight="1">
      <c r="C216" s="55"/>
      <c r="D216" s="55"/>
      <c r="E216" s="55"/>
      <c r="F216" s="53"/>
      <c r="G216" s="55"/>
      <c r="H216" s="55"/>
      <c r="I216" s="55"/>
      <c r="J216" s="163"/>
      <c r="K216" s="55"/>
      <c r="L216" s="55"/>
      <c r="M216" s="55"/>
      <c r="N216" s="55"/>
      <c r="O216" s="55"/>
      <c r="P216" s="55"/>
      <c r="Q216" s="55"/>
      <c r="R216" s="55"/>
      <c r="S216" s="55"/>
    </row>
    <row r="217" spans="3:19" ht="13.5" customHeight="1">
      <c r="C217" s="55"/>
      <c r="D217" s="55"/>
      <c r="E217" s="55"/>
      <c r="F217" s="53"/>
      <c r="G217" s="55"/>
      <c r="H217" s="55"/>
      <c r="I217" s="55"/>
      <c r="J217" s="163"/>
      <c r="K217" s="55"/>
      <c r="L217" s="55"/>
      <c r="M217" s="55"/>
      <c r="N217" s="55"/>
      <c r="O217" s="55"/>
      <c r="P217" s="55"/>
      <c r="Q217" s="55"/>
      <c r="R217" s="55"/>
      <c r="S217" s="55"/>
    </row>
    <row r="218" spans="3:19" ht="13.5" customHeight="1">
      <c r="C218" s="55"/>
      <c r="D218" s="55"/>
      <c r="E218" s="55"/>
      <c r="F218" s="53"/>
      <c r="G218" s="55"/>
      <c r="H218" s="55"/>
      <c r="I218" s="55"/>
      <c r="J218" s="163"/>
      <c r="K218" s="55"/>
      <c r="L218" s="55"/>
      <c r="M218" s="55"/>
      <c r="N218" s="55"/>
      <c r="O218" s="55"/>
      <c r="P218" s="55"/>
      <c r="Q218" s="55"/>
      <c r="R218" s="55"/>
      <c r="S218" s="55"/>
    </row>
    <row r="219" spans="3:19" ht="13.5" customHeight="1">
      <c r="C219" s="55"/>
      <c r="D219" s="55"/>
      <c r="E219" s="55"/>
      <c r="F219" s="53"/>
      <c r="G219" s="55"/>
      <c r="H219" s="55"/>
      <c r="I219" s="55"/>
      <c r="J219" s="163"/>
      <c r="K219" s="55"/>
      <c r="L219" s="55"/>
      <c r="M219" s="55"/>
      <c r="N219" s="55"/>
      <c r="O219" s="55"/>
      <c r="P219" s="55"/>
      <c r="Q219" s="55"/>
      <c r="R219" s="55"/>
      <c r="S219" s="55"/>
    </row>
    <row r="220" spans="3:19" ht="13.5" customHeight="1">
      <c r="C220" s="55"/>
      <c r="D220" s="55"/>
      <c r="E220" s="55"/>
      <c r="F220" s="53"/>
      <c r="G220" s="55"/>
      <c r="H220" s="55"/>
      <c r="I220" s="55"/>
      <c r="J220" s="163"/>
      <c r="K220" s="55"/>
      <c r="L220" s="55"/>
      <c r="M220" s="55"/>
      <c r="N220" s="55"/>
      <c r="O220" s="55"/>
      <c r="P220" s="55"/>
      <c r="Q220" s="55"/>
      <c r="R220" s="55"/>
      <c r="S220" s="55"/>
    </row>
    <row r="221" spans="3:19" ht="13.5" customHeight="1">
      <c r="C221" s="55"/>
      <c r="D221" s="55"/>
      <c r="E221" s="55"/>
      <c r="F221" s="53"/>
      <c r="G221" s="55"/>
      <c r="H221" s="55"/>
      <c r="I221" s="55"/>
      <c r="J221" s="163"/>
      <c r="K221" s="55"/>
      <c r="L221" s="55"/>
      <c r="M221" s="55"/>
      <c r="N221" s="55"/>
      <c r="O221" s="55"/>
      <c r="P221" s="55"/>
      <c r="Q221" s="55"/>
      <c r="R221" s="55"/>
      <c r="S221" s="55"/>
    </row>
    <row r="222" spans="3:19" ht="13.5" customHeight="1">
      <c r="C222" s="55"/>
      <c r="D222" s="55"/>
      <c r="E222" s="55"/>
      <c r="F222" s="53"/>
      <c r="G222" s="55"/>
      <c r="H222" s="55"/>
      <c r="I222" s="55"/>
      <c r="J222" s="163"/>
      <c r="K222" s="55"/>
      <c r="L222" s="55"/>
      <c r="M222" s="55"/>
      <c r="N222" s="55"/>
      <c r="O222" s="55"/>
      <c r="P222" s="55"/>
      <c r="Q222" s="55"/>
      <c r="R222" s="55"/>
      <c r="S222" s="55"/>
    </row>
    <row r="223" spans="3:19" ht="13.5" customHeight="1">
      <c r="C223" s="55"/>
      <c r="D223" s="55"/>
      <c r="E223" s="55"/>
      <c r="F223" s="53"/>
      <c r="G223" s="55"/>
      <c r="H223" s="55"/>
      <c r="I223" s="55"/>
      <c r="J223" s="163"/>
      <c r="K223" s="55"/>
      <c r="L223" s="55"/>
      <c r="M223" s="55"/>
      <c r="N223" s="55"/>
      <c r="O223" s="55"/>
      <c r="P223" s="55"/>
      <c r="Q223" s="55"/>
      <c r="R223" s="55"/>
      <c r="S223" s="55"/>
    </row>
    <row r="224" spans="3:19" ht="13.5" customHeight="1">
      <c r="C224" s="55"/>
      <c r="D224" s="55"/>
      <c r="E224" s="55"/>
      <c r="F224" s="53"/>
      <c r="G224" s="55"/>
      <c r="H224" s="55"/>
      <c r="I224" s="55"/>
      <c r="J224" s="163"/>
      <c r="K224" s="55"/>
      <c r="L224" s="55"/>
      <c r="M224" s="55"/>
      <c r="N224" s="55"/>
      <c r="O224" s="55"/>
      <c r="P224" s="55"/>
      <c r="Q224" s="55"/>
      <c r="R224" s="55"/>
      <c r="S224" s="55"/>
    </row>
    <row r="225" spans="3:19" ht="13.5" customHeight="1">
      <c r="C225" s="55"/>
      <c r="D225" s="55"/>
      <c r="E225" s="55"/>
      <c r="F225" s="53"/>
      <c r="G225" s="55"/>
      <c r="H225" s="55"/>
      <c r="I225" s="55"/>
      <c r="J225" s="163"/>
      <c r="K225" s="55"/>
      <c r="L225" s="55"/>
      <c r="M225" s="55"/>
      <c r="N225" s="55"/>
      <c r="O225" s="55"/>
      <c r="P225" s="55"/>
      <c r="Q225" s="55"/>
      <c r="R225" s="55"/>
      <c r="S225" s="55"/>
    </row>
    <row r="226" spans="3:19" ht="13.5" customHeight="1">
      <c r="C226" s="55"/>
      <c r="D226" s="55"/>
      <c r="E226" s="55"/>
      <c r="F226" s="53"/>
      <c r="G226" s="55"/>
      <c r="H226" s="55"/>
      <c r="I226" s="55"/>
      <c r="J226" s="163"/>
      <c r="K226" s="55"/>
      <c r="L226" s="55"/>
      <c r="M226" s="55"/>
      <c r="N226" s="55"/>
      <c r="O226" s="55"/>
      <c r="P226" s="55"/>
      <c r="Q226" s="55"/>
      <c r="R226" s="55"/>
      <c r="S226" s="55"/>
    </row>
    <row r="227" spans="3:19" ht="13.5" customHeight="1">
      <c r="C227" s="55"/>
      <c r="D227" s="55"/>
      <c r="E227" s="55"/>
      <c r="F227" s="53"/>
      <c r="G227" s="55"/>
      <c r="H227" s="55"/>
      <c r="I227" s="55"/>
      <c r="J227" s="163"/>
      <c r="K227" s="55"/>
      <c r="L227" s="55"/>
      <c r="M227" s="55"/>
      <c r="N227" s="55"/>
      <c r="O227" s="55"/>
      <c r="P227" s="55"/>
      <c r="Q227" s="55"/>
      <c r="R227" s="55"/>
      <c r="S227" s="55"/>
    </row>
    <row r="228" spans="3:19" ht="13.5" customHeight="1">
      <c r="C228" s="55"/>
      <c r="D228" s="55"/>
      <c r="E228" s="55"/>
      <c r="F228" s="53"/>
      <c r="G228" s="55"/>
      <c r="H228" s="55"/>
      <c r="I228" s="55"/>
      <c r="J228" s="163"/>
      <c r="K228" s="55"/>
      <c r="L228" s="55"/>
      <c r="M228" s="55"/>
      <c r="N228" s="55"/>
      <c r="O228" s="55"/>
      <c r="P228" s="55"/>
      <c r="Q228" s="55"/>
      <c r="R228" s="55"/>
      <c r="S228" s="55"/>
    </row>
    <row r="229" spans="3:19" ht="13.5" customHeight="1">
      <c r="C229" s="55"/>
      <c r="D229" s="55"/>
      <c r="E229" s="55"/>
      <c r="F229" s="53"/>
      <c r="G229" s="55"/>
      <c r="H229" s="55"/>
      <c r="I229" s="55"/>
      <c r="J229" s="163"/>
      <c r="K229" s="55"/>
      <c r="L229" s="55"/>
      <c r="M229" s="55"/>
      <c r="N229" s="55"/>
      <c r="O229" s="55"/>
      <c r="P229" s="55"/>
      <c r="Q229" s="55"/>
      <c r="R229" s="55"/>
      <c r="S229" s="55"/>
    </row>
    <row r="230" spans="3:19" ht="13.5" customHeight="1">
      <c r="C230" s="55"/>
      <c r="D230" s="55"/>
      <c r="E230" s="55"/>
      <c r="F230" s="53"/>
      <c r="G230" s="55"/>
      <c r="H230" s="55"/>
      <c r="I230" s="55"/>
      <c r="J230" s="163"/>
      <c r="K230" s="55"/>
      <c r="L230" s="55"/>
      <c r="M230" s="55"/>
      <c r="N230" s="55"/>
      <c r="O230" s="55"/>
      <c r="P230" s="55"/>
      <c r="Q230" s="55"/>
      <c r="R230" s="55"/>
      <c r="S230" s="55"/>
    </row>
    <row r="231" spans="3:19" ht="13.5" customHeight="1">
      <c r="C231" s="55"/>
      <c r="D231" s="55"/>
      <c r="E231" s="55"/>
      <c r="F231" s="53"/>
      <c r="G231" s="55"/>
      <c r="H231" s="55"/>
      <c r="I231" s="55"/>
      <c r="J231" s="163"/>
      <c r="K231" s="55"/>
      <c r="L231" s="55"/>
      <c r="M231" s="55"/>
      <c r="N231" s="55"/>
      <c r="O231" s="55"/>
      <c r="P231" s="55"/>
      <c r="Q231" s="55"/>
      <c r="R231" s="55"/>
      <c r="S231" s="55"/>
    </row>
    <row r="232" spans="3:19" ht="13.5" customHeight="1">
      <c r="C232" s="55"/>
      <c r="D232" s="55"/>
      <c r="E232" s="55"/>
      <c r="F232" s="53"/>
      <c r="G232" s="55"/>
      <c r="H232" s="55"/>
      <c r="I232" s="55"/>
      <c r="J232" s="163"/>
      <c r="K232" s="55"/>
      <c r="L232" s="55"/>
      <c r="M232" s="55"/>
      <c r="N232" s="55"/>
      <c r="O232" s="55"/>
      <c r="P232" s="55"/>
      <c r="Q232" s="55"/>
      <c r="R232" s="55"/>
      <c r="S232" s="55"/>
    </row>
    <row r="233" spans="3:19" ht="13.5" customHeight="1">
      <c r="C233" s="55"/>
      <c r="D233" s="55"/>
      <c r="E233" s="55"/>
      <c r="F233" s="53"/>
      <c r="G233" s="55"/>
      <c r="H233" s="55"/>
      <c r="I233" s="55"/>
      <c r="J233" s="163"/>
      <c r="K233" s="55"/>
      <c r="L233" s="55"/>
      <c r="M233" s="55"/>
      <c r="N233" s="55"/>
      <c r="O233" s="55"/>
      <c r="P233" s="55"/>
      <c r="Q233" s="55"/>
      <c r="R233" s="55"/>
      <c r="S233" s="55"/>
    </row>
    <row r="234" spans="3:19" ht="13.5" customHeight="1">
      <c r="C234" s="55"/>
      <c r="D234" s="55"/>
      <c r="E234" s="55"/>
      <c r="F234" s="53"/>
      <c r="G234" s="55"/>
      <c r="H234" s="55"/>
      <c r="I234" s="55"/>
      <c r="J234" s="163"/>
      <c r="K234" s="55"/>
      <c r="L234" s="55"/>
      <c r="M234" s="55"/>
      <c r="N234" s="55"/>
      <c r="O234" s="55"/>
      <c r="P234" s="55"/>
      <c r="Q234" s="55"/>
      <c r="R234" s="55"/>
      <c r="S234" s="55"/>
    </row>
    <row r="235" spans="3:19" ht="13.5" customHeight="1">
      <c r="C235" s="55"/>
      <c r="D235" s="55"/>
      <c r="E235" s="55"/>
      <c r="F235" s="53"/>
      <c r="G235" s="55"/>
      <c r="H235" s="55"/>
      <c r="I235" s="55"/>
      <c r="J235" s="163"/>
      <c r="K235" s="55"/>
      <c r="L235" s="55"/>
      <c r="M235" s="55"/>
      <c r="N235" s="55"/>
      <c r="O235" s="55"/>
      <c r="P235" s="55"/>
      <c r="Q235" s="55"/>
      <c r="R235" s="55"/>
      <c r="S235" s="55"/>
    </row>
    <row r="236" spans="3:19" ht="13.5" customHeight="1">
      <c r="C236" s="55"/>
      <c r="D236" s="55"/>
      <c r="E236" s="55"/>
      <c r="F236" s="53"/>
      <c r="G236" s="55"/>
      <c r="H236" s="55"/>
      <c r="I236" s="55"/>
      <c r="J236" s="163"/>
      <c r="K236" s="55"/>
      <c r="L236" s="55"/>
      <c r="M236" s="55"/>
      <c r="N236" s="55"/>
      <c r="O236" s="55"/>
      <c r="P236" s="55"/>
      <c r="Q236" s="55"/>
      <c r="R236" s="55"/>
      <c r="S236" s="55"/>
    </row>
    <row r="237" spans="3:19" ht="13.5" customHeight="1">
      <c r="C237" s="55"/>
      <c r="D237" s="55"/>
      <c r="E237" s="55"/>
      <c r="F237" s="53"/>
      <c r="G237" s="55"/>
      <c r="H237" s="55"/>
      <c r="I237" s="55"/>
      <c r="J237" s="163"/>
      <c r="K237" s="55"/>
      <c r="L237" s="55"/>
      <c r="M237" s="55"/>
      <c r="N237" s="55"/>
      <c r="O237" s="55"/>
      <c r="P237" s="55"/>
      <c r="Q237" s="55"/>
      <c r="R237" s="55"/>
      <c r="S237" s="55"/>
    </row>
    <row r="238" spans="3:19" ht="13.5" customHeight="1">
      <c r="C238" s="55"/>
      <c r="D238" s="55"/>
      <c r="E238" s="55"/>
      <c r="F238" s="53"/>
      <c r="G238" s="55"/>
      <c r="H238" s="55"/>
      <c r="I238" s="55"/>
      <c r="J238" s="163"/>
      <c r="K238" s="55"/>
      <c r="L238" s="55"/>
      <c r="M238" s="55"/>
      <c r="N238" s="55"/>
      <c r="O238" s="55"/>
      <c r="P238" s="55"/>
      <c r="Q238" s="55"/>
      <c r="R238" s="55"/>
      <c r="S238" s="55"/>
    </row>
    <row r="239" spans="3:19" ht="13.5" customHeight="1">
      <c r="C239" s="55"/>
      <c r="D239" s="55"/>
      <c r="E239" s="55"/>
      <c r="F239" s="53"/>
      <c r="G239" s="55"/>
      <c r="H239" s="55"/>
      <c r="I239" s="55"/>
      <c r="J239" s="163"/>
      <c r="K239" s="55"/>
      <c r="L239" s="55"/>
      <c r="M239" s="55"/>
      <c r="N239" s="55"/>
      <c r="O239" s="55"/>
      <c r="P239" s="55"/>
      <c r="Q239" s="55"/>
      <c r="R239" s="55"/>
      <c r="S239" s="55"/>
    </row>
    <row r="240" spans="3:19" ht="13.5" customHeight="1">
      <c r="C240" s="55"/>
      <c r="D240" s="55"/>
      <c r="E240" s="55"/>
      <c r="F240" s="53"/>
      <c r="G240" s="55"/>
      <c r="H240" s="55"/>
      <c r="I240" s="55"/>
      <c r="J240" s="163"/>
      <c r="K240" s="55"/>
      <c r="L240" s="55"/>
      <c r="M240" s="55"/>
      <c r="N240" s="55"/>
      <c r="O240" s="55"/>
      <c r="P240" s="55"/>
      <c r="Q240" s="55"/>
      <c r="R240" s="55"/>
      <c r="S240" s="55"/>
    </row>
    <row r="241" spans="3:19" ht="13.5" customHeight="1">
      <c r="C241" s="55"/>
      <c r="D241" s="55"/>
      <c r="E241" s="55"/>
      <c r="F241" s="53"/>
      <c r="G241" s="55"/>
      <c r="H241" s="55"/>
      <c r="I241" s="55"/>
      <c r="J241" s="163"/>
      <c r="K241" s="55"/>
      <c r="L241" s="55"/>
      <c r="M241" s="55"/>
      <c r="N241" s="55"/>
      <c r="O241" s="55"/>
      <c r="P241" s="55"/>
      <c r="Q241" s="55"/>
      <c r="R241" s="55"/>
      <c r="S241" s="55"/>
    </row>
    <row r="242" spans="3:19" ht="13.5" customHeight="1">
      <c r="C242" s="55"/>
      <c r="D242" s="55"/>
      <c r="E242" s="55"/>
      <c r="F242" s="53"/>
      <c r="G242" s="55"/>
      <c r="H242" s="55"/>
      <c r="I242" s="55"/>
      <c r="J242" s="163"/>
      <c r="K242" s="55"/>
      <c r="L242" s="55"/>
      <c r="M242" s="55"/>
      <c r="N242" s="55"/>
      <c r="O242" s="55"/>
      <c r="P242" s="55"/>
      <c r="Q242" s="55"/>
      <c r="R242" s="55"/>
      <c r="S242" s="55"/>
    </row>
    <row r="243" spans="3:19" ht="13.5" customHeight="1">
      <c r="C243" s="55"/>
      <c r="D243" s="55"/>
      <c r="E243" s="55"/>
      <c r="F243" s="53"/>
      <c r="G243" s="55"/>
      <c r="H243" s="55"/>
      <c r="I243" s="55"/>
      <c r="J243" s="163"/>
      <c r="K243" s="55"/>
      <c r="L243" s="55"/>
      <c r="M243" s="55"/>
      <c r="N243" s="55"/>
      <c r="O243" s="55"/>
      <c r="P243" s="55"/>
      <c r="Q243" s="55"/>
      <c r="R243" s="55"/>
      <c r="S243" s="55"/>
    </row>
    <row r="244" spans="3:19" ht="13.5" customHeight="1">
      <c r="C244" s="55"/>
      <c r="D244" s="55"/>
      <c r="E244" s="55"/>
      <c r="F244" s="53"/>
      <c r="G244" s="55"/>
      <c r="H244" s="55"/>
      <c r="I244" s="55"/>
      <c r="J244" s="163"/>
      <c r="K244" s="55"/>
      <c r="L244" s="55"/>
      <c r="M244" s="55"/>
      <c r="N244" s="55"/>
      <c r="O244" s="55"/>
      <c r="P244" s="55"/>
      <c r="Q244" s="55"/>
      <c r="R244" s="55"/>
      <c r="S244" s="55"/>
    </row>
    <row r="245" spans="3:19" ht="13.5" customHeight="1">
      <c r="C245" s="55"/>
      <c r="D245" s="55"/>
      <c r="E245" s="55"/>
      <c r="F245" s="53"/>
      <c r="G245" s="55"/>
      <c r="H245" s="55"/>
      <c r="I245" s="55"/>
      <c r="J245" s="163"/>
      <c r="K245" s="55"/>
      <c r="L245" s="55"/>
      <c r="M245" s="55"/>
      <c r="N245" s="55"/>
      <c r="O245" s="55"/>
      <c r="P245" s="55"/>
      <c r="Q245" s="55"/>
      <c r="R245" s="55"/>
      <c r="S245" s="55"/>
    </row>
    <row r="246" spans="3:19" ht="13.5" customHeight="1">
      <c r="C246" s="55"/>
      <c r="D246" s="55"/>
      <c r="E246" s="55"/>
      <c r="F246" s="53"/>
      <c r="G246" s="55"/>
      <c r="H246" s="55"/>
      <c r="I246" s="55"/>
      <c r="J246" s="163"/>
      <c r="K246" s="55"/>
      <c r="L246" s="55"/>
      <c r="M246" s="55"/>
      <c r="N246" s="55"/>
      <c r="O246" s="55"/>
      <c r="P246" s="55"/>
      <c r="Q246" s="55"/>
      <c r="R246" s="55"/>
      <c r="S246" s="55"/>
    </row>
    <row r="247" spans="3:19" ht="13.5" customHeight="1">
      <c r="C247" s="55"/>
      <c r="D247" s="55"/>
      <c r="E247" s="55"/>
      <c r="F247" s="53"/>
      <c r="G247" s="55"/>
      <c r="H247" s="55"/>
      <c r="I247" s="55"/>
      <c r="J247" s="163"/>
      <c r="K247" s="55"/>
      <c r="L247" s="55"/>
      <c r="M247" s="55"/>
      <c r="N247" s="55"/>
      <c r="O247" s="55"/>
      <c r="P247" s="55"/>
      <c r="Q247" s="55"/>
      <c r="R247" s="55"/>
      <c r="S247" s="55"/>
    </row>
    <row r="248" spans="3:19" ht="13.5" customHeight="1">
      <c r="C248" s="55"/>
      <c r="D248" s="55"/>
      <c r="E248" s="55"/>
      <c r="F248" s="53"/>
      <c r="G248" s="55"/>
      <c r="H248" s="55"/>
      <c r="I248" s="55"/>
      <c r="J248" s="163"/>
      <c r="K248" s="55"/>
      <c r="L248" s="55"/>
      <c r="M248" s="55"/>
      <c r="N248" s="55"/>
      <c r="O248" s="55"/>
      <c r="P248" s="55"/>
      <c r="Q248" s="55"/>
      <c r="R248" s="55"/>
      <c r="S248" s="55"/>
    </row>
    <row r="249" spans="3:19" ht="13.5" customHeight="1">
      <c r="C249" s="55"/>
      <c r="D249" s="55"/>
      <c r="E249" s="55"/>
      <c r="F249" s="53"/>
      <c r="G249" s="55"/>
      <c r="H249" s="55"/>
      <c r="I249" s="55"/>
      <c r="J249" s="163"/>
      <c r="K249" s="55"/>
      <c r="L249" s="55"/>
      <c r="M249" s="55"/>
      <c r="N249" s="55"/>
      <c r="O249" s="55"/>
      <c r="P249" s="55"/>
      <c r="Q249" s="55"/>
      <c r="R249" s="55"/>
      <c r="S249" s="55"/>
    </row>
    <row r="250" spans="3:19" ht="13.5" customHeight="1">
      <c r="C250" s="55"/>
      <c r="D250" s="55"/>
      <c r="E250" s="55"/>
      <c r="F250" s="53"/>
      <c r="G250" s="55"/>
      <c r="H250" s="55"/>
      <c r="I250" s="55"/>
      <c r="J250" s="163"/>
      <c r="K250" s="55"/>
      <c r="L250" s="55"/>
      <c r="M250" s="55"/>
      <c r="N250" s="55"/>
      <c r="O250" s="55"/>
      <c r="P250" s="55"/>
      <c r="Q250" s="55"/>
      <c r="R250" s="55"/>
      <c r="S250" s="55"/>
    </row>
    <row r="251" spans="3:19" ht="13.5" customHeight="1">
      <c r="C251" s="55"/>
      <c r="D251" s="55"/>
      <c r="E251" s="55"/>
      <c r="F251" s="53"/>
      <c r="G251" s="55"/>
      <c r="H251" s="55"/>
      <c r="I251" s="55"/>
      <c r="J251" s="163"/>
      <c r="K251" s="55"/>
      <c r="L251" s="55"/>
      <c r="M251" s="55"/>
      <c r="N251" s="55"/>
      <c r="O251" s="55"/>
      <c r="P251" s="55"/>
      <c r="Q251" s="55"/>
      <c r="R251" s="55"/>
      <c r="S251" s="55"/>
    </row>
    <row r="252" spans="3:19" ht="13.5" customHeight="1">
      <c r="C252" s="55"/>
      <c r="D252" s="55"/>
      <c r="E252" s="55"/>
      <c r="F252" s="53"/>
      <c r="G252" s="55"/>
      <c r="H252" s="55"/>
      <c r="I252" s="55"/>
      <c r="J252" s="163"/>
      <c r="K252" s="55"/>
      <c r="L252" s="55"/>
      <c r="M252" s="55"/>
      <c r="N252" s="55"/>
      <c r="O252" s="55"/>
      <c r="P252" s="55"/>
      <c r="Q252" s="55"/>
      <c r="R252" s="55"/>
      <c r="S252" s="55"/>
    </row>
    <row r="253" spans="3:19" ht="13.5" customHeight="1">
      <c r="C253" s="55"/>
      <c r="D253" s="55"/>
      <c r="E253" s="55"/>
      <c r="F253" s="53"/>
      <c r="G253" s="55"/>
      <c r="H253" s="55"/>
      <c r="I253" s="55"/>
      <c r="J253" s="163"/>
      <c r="K253" s="55"/>
      <c r="L253" s="55"/>
      <c r="M253" s="55"/>
      <c r="N253" s="55"/>
      <c r="O253" s="55"/>
      <c r="P253" s="55"/>
      <c r="Q253" s="55"/>
      <c r="R253" s="55"/>
      <c r="S253" s="55"/>
    </row>
    <row r="254" spans="3:19" ht="13.5" customHeight="1">
      <c r="C254" s="55"/>
      <c r="D254" s="55"/>
      <c r="E254" s="55"/>
      <c r="F254" s="53"/>
      <c r="G254" s="55"/>
      <c r="H254" s="55"/>
      <c r="I254" s="55"/>
      <c r="J254" s="163"/>
      <c r="K254" s="55"/>
      <c r="L254" s="55"/>
      <c r="M254" s="55"/>
      <c r="N254" s="55"/>
      <c r="O254" s="55"/>
      <c r="P254" s="55"/>
      <c r="Q254" s="55"/>
      <c r="R254" s="55"/>
      <c r="S254" s="55"/>
    </row>
    <row r="255" spans="3:19" ht="13.5" customHeight="1">
      <c r="C255" s="55"/>
      <c r="D255" s="55"/>
      <c r="E255" s="55"/>
      <c r="F255" s="53"/>
      <c r="G255" s="55"/>
      <c r="H255" s="55"/>
      <c r="I255" s="55"/>
      <c r="J255" s="163"/>
      <c r="K255" s="55"/>
      <c r="L255" s="55"/>
      <c r="M255" s="55"/>
      <c r="N255" s="55"/>
      <c r="O255" s="55"/>
      <c r="P255" s="55"/>
      <c r="Q255" s="55"/>
      <c r="R255" s="55"/>
      <c r="S255" s="55"/>
    </row>
    <row r="256" spans="3:19" ht="13.5" customHeight="1">
      <c r="C256" s="55"/>
      <c r="D256" s="55"/>
      <c r="E256" s="55"/>
      <c r="F256" s="53"/>
      <c r="G256" s="55"/>
      <c r="H256" s="55"/>
      <c r="I256" s="55"/>
      <c r="J256" s="163"/>
      <c r="K256" s="55"/>
      <c r="L256" s="55"/>
      <c r="M256" s="55"/>
      <c r="N256" s="55"/>
      <c r="O256" s="55"/>
      <c r="P256" s="55"/>
      <c r="Q256" s="55"/>
      <c r="R256" s="55"/>
      <c r="S256" s="55"/>
    </row>
    <row r="257" spans="3:19" ht="13.5" customHeight="1">
      <c r="C257" s="55"/>
      <c r="D257" s="55"/>
      <c r="E257" s="55"/>
      <c r="F257" s="53"/>
      <c r="G257" s="55"/>
      <c r="H257" s="55"/>
      <c r="I257" s="55"/>
      <c r="J257" s="163"/>
      <c r="K257" s="55"/>
      <c r="L257" s="55"/>
      <c r="M257" s="55"/>
      <c r="N257" s="55"/>
      <c r="O257" s="55"/>
      <c r="P257" s="55"/>
      <c r="Q257" s="55"/>
      <c r="R257" s="55"/>
      <c r="S257" s="55"/>
    </row>
    <row r="258" spans="3:19" ht="13.5" customHeight="1">
      <c r="C258" s="55"/>
      <c r="D258" s="55"/>
      <c r="E258" s="55"/>
      <c r="F258" s="53"/>
      <c r="G258" s="55"/>
      <c r="H258" s="55"/>
      <c r="I258" s="55"/>
      <c r="J258" s="163"/>
      <c r="K258" s="55"/>
      <c r="L258" s="55"/>
      <c r="M258" s="55"/>
      <c r="N258" s="55"/>
      <c r="O258" s="55"/>
      <c r="P258" s="55"/>
      <c r="Q258" s="55"/>
      <c r="R258" s="55"/>
      <c r="S258" s="55"/>
    </row>
    <row r="259" spans="3:19" ht="13.5" customHeight="1">
      <c r="C259" s="55"/>
      <c r="D259" s="55"/>
      <c r="E259" s="55"/>
      <c r="F259" s="53"/>
      <c r="G259" s="55"/>
      <c r="H259" s="55"/>
      <c r="I259" s="55"/>
      <c r="J259" s="163"/>
      <c r="K259" s="55"/>
      <c r="L259" s="55"/>
      <c r="M259" s="55"/>
      <c r="N259" s="55"/>
      <c r="O259" s="55"/>
      <c r="P259" s="55"/>
      <c r="Q259" s="55"/>
      <c r="R259" s="55"/>
      <c r="S259" s="55"/>
    </row>
    <row r="260" spans="3:19" ht="13.5" customHeight="1">
      <c r="C260" s="55"/>
      <c r="D260" s="55"/>
      <c r="E260" s="55"/>
      <c r="F260" s="53"/>
      <c r="G260" s="55"/>
      <c r="H260" s="55"/>
      <c r="I260" s="55"/>
      <c r="J260" s="163"/>
      <c r="K260" s="55"/>
      <c r="L260" s="55"/>
      <c r="M260" s="55"/>
      <c r="N260" s="55"/>
      <c r="O260" s="55"/>
      <c r="P260" s="55"/>
      <c r="Q260" s="55"/>
      <c r="R260" s="55"/>
      <c r="S260" s="55"/>
    </row>
    <row r="261" spans="3:19" ht="13.5" customHeight="1">
      <c r="C261" s="55"/>
      <c r="D261" s="55"/>
      <c r="E261" s="55"/>
      <c r="F261" s="53"/>
      <c r="G261" s="55"/>
      <c r="H261" s="55"/>
      <c r="I261" s="55"/>
      <c r="J261" s="163"/>
      <c r="K261" s="55"/>
      <c r="L261" s="55"/>
      <c r="M261" s="55"/>
      <c r="N261" s="55"/>
      <c r="O261" s="55"/>
      <c r="P261" s="55"/>
      <c r="Q261" s="55"/>
      <c r="R261" s="55"/>
      <c r="S261" s="55"/>
    </row>
    <row r="262" spans="3:19" ht="13.5" customHeight="1">
      <c r="C262" s="55"/>
      <c r="D262" s="55"/>
      <c r="E262" s="55"/>
      <c r="F262" s="53"/>
      <c r="G262" s="55"/>
      <c r="H262" s="55"/>
      <c r="I262" s="55"/>
      <c r="J262" s="163"/>
      <c r="K262" s="55"/>
      <c r="L262" s="55"/>
      <c r="M262" s="55"/>
      <c r="N262" s="55"/>
      <c r="O262" s="55"/>
      <c r="P262" s="55"/>
      <c r="Q262" s="55"/>
      <c r="R262" s="55"/>
      <c r="S262" s="55"/>
    </row>
    <row r="263" spans="3:19" ht="13.5" customHeight="1">
      <c r="C263" s="55"/>
      <c r="D263" s="55"/>
      <c r="E263" s="55"/>
      <c r="F263" s="53"/>
      <c r="G263" s="55"/>
      <c r="H263" s="55"/>
      <c r="I263" s="55"/>
      <c r="J263" s="163"/>
      <c r="K263" s="55"/>
      <c r="L263" s="55"/>
      <c r="M263" s="55"/>
      <c r="N263" s="55"/>
      <c r="O263" s="55"/>
      <c r="P263" s="55"/>
      <c r="Q263" s="55"/>
      <c r="R263" s="55"/>
      <c r="S263" s="55"/>
    </row>
    <row r="264" spans="3:19" ht="13.5" customHeight="1">
      <c r="C264" s="55"/>
      <c r="D264" s="55"/>
      <c r="E264" s="55"/>
      <c r="F264" s="53"/>
      <c r="G264" s="55"/>
      <c r="H264" s="55"/>
      <c r="I264" s="55"/>
      <c r="J264" s="163"/>
      <c r="K264" s="55"/>
      <c r="L264" s="55"/>
      <c r="M264" s="55"/>
      <c r="N264" s="55"/>
      <c r="O264" s="55"/>
      <c r="P264" s="55"/>
      <c r="Q264" s="55"/>
      <c r="R264" s="55"/>
      <c r="S264" s="55"/>
    </row>
    <row r="265" spans="3:19" ht="13.5" customHeight="1">
      <c r="C265" s="55"/>
      <c r="D265" s="55"/>
      <c r="E265" s="55"/>
      <c r="F265" s="53"/>
      <c r="G265" s="55"/>
      <c r="H265" s="55"/>
      <c r="I265" s="55"/>
      <c r="J265" s="163"/>
      <c r="K265" s="55"/>
      <c r="L265" s="55"/>
      <c r="M265" s="55"/>
      <c r="N265" s="55"/>
      <c r="O265" s="55"/>
      <c r="P265" s="55"/>
      <c r="Q265" s="55"/>
      <c r="R265" s="55"/>
      <c r="S265" s="55"/>
    </row>
    <row r="266" spans="3:19" ht="13.5" customHeight="1">
      <c r="C266" s="55"/>
      <c r="D266" s="55"/>
      <c r="E266" s="55"/>
      <c r="F266" s="53"/>
      <c r="G266" s="55"/>
      <c r="H266" s="55"/>
      <c r="I266" s="55"/>
      <c r="J266" s="163"/>
      <c r="K266" s="55"/>
      <c r="L266" s="55"/>
      <c r="M266" s="55"/>
      <c r="N266" s="55"/>
      <c r="O266" s="55"/>
      <c r="P266" s="55"/>
      <c r="Q266" s="55"/>
      <c r="R266" s="55"/>
      <c r="S266" s="55"/>
    </row>
    <row r="267" spans="3:19" ht="13.5" customHeight="1">
      <c r="C267" s="55"/>
      <c r="D267" s="55"/>
      <c r="E267" s="55"/>
      <c r="F267" s="53"/>
      <c r="G267" s="55"/>
      <c r="H267" s="55"/>
      <c r="I267" s="55"/>
      <c r="J267" s="163"/>
      <c r="K267" s="55"/>
      <c r="L267" s="55"/>
      <c r="M267" s="55"/>
      <c r="N267" s="55"/>
      <c r="O267" s="55"/>
      <c r="P267" s="55"/>
      <c r="Q267" s="55"/>
      <c r="R267" s="55"/>
      <c r="S267" s="55"/>
    </row>
    <row r="268" spans="3:19" ht="13.5" customHeight="1">
      <c r="C268" s="55"/>
      <c r="D268" s="55"/>
      <c r="E268" s="55"/>
      <c r="F268" s="53"/>
      <c r="G268" s="55"/>
      <c r="H268" s="55"/>
      <c r="I268" s="55"/>
      <c r="J268" s="163"/>
      <c r="K268" s="55"/>
      <c r="L268" s="55"/>
      <c r="M268" s="55"/>
      <c r="N268" s="55"/>
      <c r="O268" s="55"/>
      <c r="P268" s="55"/>
      <c r="Q268" s="55"/>
      <c r="R268" s="55"/>
      <c r="S268" s="55"/>
    </row>
    <row r="269" spans="3:19" ht="13.5" customHeight="1">
      <c r="C269" s="55"/>
      <c r="D269" s="55"/>
      <c r="E269" s="55"/>
      <c r="F269" s="53"/>
      <c r="G269" s="55"/>
      <c r="H269" s="55"/>
      <c r="I269" s="55"/>
      <c r="J269" s="163"/>
      <c r="K269" s="55"/>
      <c r="L269" s="55"/>
      <c r="M269" s="55"/>
      <c r="N269" s="55"/>
      <c r="O269" s="55"/>
      <c r="P269" s="55"/>
      <c r="Q269" s="55"/>
      <c r="R269" s="55"/>
      <c r="S269" s="55"/>
    </row>
    <row r="270" spans="3:19" ht="13.5" customHeight="1">
      <c r="C270" s="55"/>
      <c r="D270" s="55"/>
      <c r="E270" s="55"/>
      <c r="F270" s="53"/>
      <c r="G270" s="55"/>
      <c r="H270" s="55"/>
      <c r="I270" s="55"/>
      <c r="J270" s="163"/>
      <c r="K270" s="55"/>
      <c r="L270" s="55"/>
      <c r="M270" s="55"/>
      <c r="N270" s="55"/>
      <c r="O270" s="55"/>
      <c r="P270" s="55"/>
      <c r="Q270" s="55"/>
      <c r="R270" s="55"/>
      <c r="S270" s="55"/>
    </row>
    <row r="271" spans="3:19" ht="13.5" customHeight="1">
      <c r="C271" s="55"/>
      <c r="D271" s="55"/>
      <c r="E271" s="55"/>
      <c r="F271" s="53"/>
      <c r="G271" s="55"/>
      <c r="H271" s="55"/>
      <c r="I271" s="55"/>
      <c r="J271" s="163"/>
      <c r="K271" s="55"/>
      <c r="L271" s="55"/>
      <c r="M271" s="55"/>
      <c r="N271" s="55"/>
      <c r="O271" s="55"/>
      <c r="P271" s="55"/>
      <c r="Q271" s="55"/>
      <c r="R271" s="55"/>
      <c r="S271" s="55"/>
    </row>
    <row r="272" spans="3:19" ht="13.5" customHeight="1">
      <c r="C272" s="55"/>
      <c r="D272" s="55"/>
      <c r="E272" s="55"/>
      <c r="F272" s="53"/>
      <c r="G272" s="55"/>
      <c r="H272" s="55"/>
      <c r="I272" s="55"/>
      <c r="J272" s="163"/>
      <c r="K272" s="55"/>
      <c r="L272" s="55"/>
      <c r="M272" s="55"/>
      <c r="N272" s="55"/>
      <c r="O272" s="55"/>
      <c r="P272" s="55"/>
      <c r="Q272" s="55"/>
      <c r="R272" s="55"/>
      <c r="S272" s="55"/>
    </row>
    <row r="273" spans="3:19" ht="13.5" customHeight="1">
      <c r="C273" s="55"/>
      <c r="D273" s="55"/>
      <c r="E273" s="55"/>
      <c r="F273" s="53"/>
      <c r="G273" s="55"/>
      <c r="H273" s="55"/>
      <c r="I273" s="55"/>
      <c r="J273" s="163"/>
      <c r="K273" s="55"/>
      <c r="L273" s="55"/>
      <c r="M273" s="55"/>
      <c r="N273" s="55"/>
      <c r="O273" s="55"/>
      <c r="P273" s="55"/>
      <c r="Q273" s="55"/>
      <c r="R273" s="55"/>
      <c r="S273" s="55"/>
    </row>
    <row r="274" spans="3:19" ht="13.5" customHeight="1">
      <c r="C274" s="55"/>
      <c r="D274" s="55"/>
      <c r="E274" s="55"/>
      <c r="F274" s="53"/>
      <c r="G274" s="55"/>
      <c r="H274" s="55"/>
      <c r="I274" s="55"/>
      <c r="J274" s="163"/>
      <c r="K274" s="55"/>
      <c r="L274" s="55"/>
      <c r="M274" s="55"/>
      <c r="N274" s="55"/>
      <c r="O274" s="55"/>
      <c r="P274" s="55"/>
      <c r="Q274" s="55"/>
      <c r="R274" s="55"/>
      <c r="S274" s="55"/>
    </row>
    <row r="275" spans="3:19" ht="13.5" customHeight="1">
      <c r="C275" s="55"/>
      <c r="D275" s="55"/>
      <c r="E275" s="55"/>
      <c r="F275" s="53"/>
      <c r="G275" s="55"/>
      <c r="H275" s="55"/>
      <c r="I275" s="55"/>
      <c r="J275" s="163"/>
      <c r="K275" s="55"/>
      <c r="L275" s="55"/>
      <c r="M275" s="55"/>
      <c r="N275" s="55"/>
      <c r="O275" s="55"/>
      <c r="P275" s="55"/>
      <c r="Q275" s="55"/>
      <c r="R275" s="55"/>
      <c r="S275" s="55"/>
    </row>
    <row r="276" spans="3:19" ht="13.5" customHeight="1">
      <c r="C276" s="55"/>
      <c r="D276" s="55"/>
      <c r="E276" s="55"/>
      <c r="F276" s="53"/>
      <c r="G276" s="55"/>
      <c r="H276" s="55"/>
      <c r="I276" s="55"/>
      <c r="J276" s="163"/>
      <c r="K276" s="55"/>
      <c r="L276" s="55"/>
      <c r="M276" s="55"/>
      <c r="N276" s="55"/>
      <c r="O276" s="55"/>
      <c r="P276" s="55"/>
      <c r="Q276" s="55"/>
      <c r="R276" s="55"/>
      <c r="S276" s="55"/>
    </row>
    <row r="277" spans="3:19" ht="13.5" customHeight="1">
      <c r="C277" s="55"/>
      <c r="D277" s="55"/>
      <c r="E277" s="55"/>
      <c r="F277" s="53"/>
      <c r="G277" s="55"/>
      <c r="H277" s="55"/>
      <c r="I277" s="55"/>
      <c r="J277" s="163"/>
      <c r="K277" s="55"/>
      <c r="L277" s="55"/>
      <c r="M277" s="55"/>
      <c r="N277" s="55"/>
      <c r="O277" s="55"/>
      <c r="P277" s="55"/>
      <c r="Q277" s="55"/>
      <c r="R277" s="55"/>
      <c r="S277" s="55"/>
    </row>
    <row r="278" spans="3:19" ht="13.5" customHeight="1">
      <c r="C278" s="55"/>
      <c r="D278" s="55"/>
      <c r="E278" s="55"/>
      <c r="F278" s="53"/>
      <c r="G278" s="55"/>
      <c r="H278" s="55"/>
      <c r="I278" s="55"/>
      <c r="J278" s="163"/>
      <c r="K278" s="55"/>
      <c r="L278" s="55"/>
      <c r="M278" s="55"/>
      <c r="N278" s="55"/>
      <c r="O278" s="55"/>
      <c r="P278" s="55"/>
      <c r="Q278" s="55"/>
      <c r="R278" s="55"/>
      <c r="S278" s="55"/>
    </row>
    <row r="279" spans="3:19" ht="13.5" customHeight="1">
      <c r="C279" s="55"/>
      <c r="D279" s="55"/>
      <c r="E279" s="55"/>
      <c r="F279" s="53"/>
      <c r="G279" s="55"/>
      <c r="H279" s="55"/>
      <c r="I279" s="55"/>
      <c r="J279" s="163"/>
      <c r="K279" s="55"/>
      <c r="L279" s="55"/>
      <c r="M279" s="55"/>
      <c r="N279" s="55"/>
      <c r="O279" s="55"/>
      <c r="P279" s="55"/>
      <c r="Q279" s="55"/>
      <c r="R279" s="55"/>
      <c r="S279" s="55"/>
    </row>
    <row r="280" spans="3:19" ht="13.5" customHeight="1">
      <c r="C280" s="55"/>
      <c r="D280" s="55"/>
      <c r="E280" s="55"/>
      <c r="F280" s="53"/>
      <c r="G280" s="55"/>
      <c r="H280" s="55"/>
      <c r="I280" s="55"/>
      <c r="J280" s="163"/>
      <c r="K280" s="55"/>
      <c r="L280" s="55"/>
      <c r="M280" s="55"/>
      <c r="N280" s="55"/>
      <c r="O280" s="55"/>
      <c r="P280" s="55"/>
      <c r="Q280" s="55"/>
      <c r="R280" s="55"/>
      <c r="S280" s="55"/>
    </row>
    <row r="281" spans="3:19" ht="13.5" customHeight="1">
      <c r="C281" s="55"/>
      <c r="D281" s="55"/>
      <c r="E281" s="55"/>
      <c r="F281" s="53"/>
      <c r="G281" s="55"/>
      <c r="H281" s="55"/>
      <c r="I281" s="55"/>
      <c r="J281" s="163"/>
      <c r="K281" s="55"/>
      <c r="L281" s="55"/>
      <c r="M281" s="55"/>
      <c r="N281" s="55"/>
      <c r="O281" s="55"/>
      <c r="P281" s="55"/>
      <c r="Q281" s="55"/>
      <c r="R281" s="55"/>
      <c r="S281" s="55"/>
    </row>
    <row r="282" spans="3:19" ht="13.5" customHeight="1">
      <c r="C282" s="55"/>
      <c r="D282" s="55"/>
      <c r="E282" s="55"/>
      <c r="F282" s="53"/>
      <c r="G282" s="55"/>
      <c r="H282" s="55"/>
      <c r="I282" s="55"/>
      <c r="J282" s="163"/>
      <c r="K282" s="55"/>
      <c r="L282" s="55"/>
      <c r="M282" s="55"/>
      <c r="N282" s="55"/>
      <c r="O282" s="55"/>
      <c r="P282" s="55"/>
      <c r="Q282" s="55"/>
      <c r="R282" s="55"/>
      <c r="S282" s="55"/>
    </row>
    <row r="283" spans="3:19" ht="13.5" customHeight="1">
      <c r="C283" s="55"/>
      <c r="D283" s="55"/>
      <c r="E283" s="55"/>
      <c r="F283" s="53"/>
      <c r="G283" s="55"/>
      <c r="H283" s="55"/>
      <c r="I283" s="55"/>
      <c r="J283" s="163"/>
      <c r="K283" s="55"/>
      <c r="L283" s="55"/>
      <c r="M283" s="55"/>
      <c r="N283" s="55"/>
      <c r="O283" s="55"/>
      <c r="P283" s="55"/>
      <c r="Q283" s="55"/>
      <c r="R283" s="55"/>
      <c r="S283" s="55"/>
    </row>
    <row r="284" spans="3:19" ht="13.5" customHeight="1">
      <c r="C284" s="55"/>
      <c r="D284" s="55"/>
      <c r="E284" s="55"/>
      <c r="F284" s="53"/>
      <c r="G284" s="55"/>
      <c r="H284" s="55"/>
      <c r="I284" s="55"/>
      <c r="J284" s="163"/>
      <c r="K284" s="55"/>
      <c r="L284" s="55"/>
      <c r="M284" s="55"/>
      <c r="N284" s="55"/>
      <c r="O284" s="55"/>
      <c r="P284" s="55"/>
      <c r="Q284" s="55"/>
      <c r="R284" s="55"/>
      <c r="S284" s="55"/>
    </row>
    <row r="285" spans="3:19" ht="13.5" customHeight="1">
      <c r="C285" s="55"/>
      <c r="D285" s="55"/>
      <c r="E285" s="55"/>
      <c r="F285" s="53"/>
      <c r="G285" s="55"/>
      <c r="H285" s="55"/>
      <c r="I285" s="55"/>
      <c r="J285" s="163"/>
      <c r="K285" s="55"/>
      <c r="L285" s="55"/>
      <c r="M285" s="55"/>
      <c r="N285" s="55"/>
      <c r="O285" s="55"/>
      <c r="P285" s="55"/>
      <c r="Q285" s="55"/>
      <c r="R285" s="55"/>
      <c r="S285" s="55"/>
    </row>
    <row r="286" spans="3:19" ht="13.5" customHeight="1">
      <c r="C286" s="55"/>
      <c r="D286" s="55"/>
      <c r="E286" s="55"/>
      <c r="F286" s="53"/>
      <c r="G286" s="55"/>
      <c r="H286" s="55"/>
      <c r="I286" s="55"/>
      <c r="J286" s="163"/>
      <c r="K286" s="55"/>
      <c r="L286" s="55"/>
      <c r="M286" s="55"/>
      <c r="N286" s="55"/>
      <c r="O286" s="55"/>
      <c r="P286" s="55"/>
      <c r="Q286" s="55"/>
      <c r="R286" s="55"/>
      <c r="S286" s="55"/>
    </row>
    <row r="287" spans="3:19" ht="13.5" customHeight="1">
      <c r="C287" s="55"/>
      <c r="D287" s="55"/>
      <c r="E287" s="55"/>
      <c r="F287" s="53"/>
      <c r="G287" s="55"/>
      <c r="H287" s="55"/>
      <c r="I287" s="55"/>
      <c r="J287" s="163"/>
      <c r="K287" s="55"/>
      <c r="L287" s="55"/>
      <c r="M287" s="55"/>
      <c r="N287" s="55"/>
      <c r="O287" s="55"/>
      <c r="P287" s="55"/>
      <c r="Q287" s="55"/>
      <c r="R287" s="55"/>
      <c r="S287" s="55"/>
    </row>
    <row r="288" spans="3:19" ht="13.5" customHeight="1">
      <c r="C288" s="55"/>
      <c r="D288" s="55"/>
      <c r="E288" s="55"/>
      <c r="F288" s="53"/>
      <c r="G288" s="55"/>
      <c r="H288" s="55"/>
      <c r="I288" s="55"/>
      <c r="J288" s="163"/>
      <c r="K288" s="55"/>
      <c r="L288" s="55"/>
      <c r="M288" s="55"/>
      <c r="N288" s="55"/>
      <c r="O288" s="55"/>
      <c r="P288" s="55"/>
      <c r="Q288" s="55"/>
      <c r="R288" s="55"/>
      <c r="S288" s="55"/>
    </row>
    <row r="289" spans="3:19" ht="13.5" customHeight="1">
      <c r="C289" s="55"/>
      <c r="D289" s="55"/>
      <c r="E289" s="55"/>
      <c r="F289" s="53"/>
      <c r="G289" s="55"/>
      <c r="H289" s="55"/>
      <c r="I289" s="55"/>
      <c r="J289" s="163"/>
      <c r="K289" s="55"/>
      <c r="L289" s="55"/>
      <c r="M289" s="55"/>
      <c r="N289" s="55"/>
      <c r="O289" s="55"/>
      <c r="P289" s="55"/>
      <c r="Q289" s="55"/>
      <c r="R289" s="55"/>
      <c r="S289" s="55"/>
    </row>
    <row r="290" spans="3:19" ht="13.5" customHeight="1">
      <c r="C290" s="55"/>
      <c r="D290" s="55"/>
      <c r="E290" s="55"/>
      <c r="F290" s="53"/>
      <c r="G290" s="55"/>
      <c r="H290" s="55"/>
      <c r="I290" s="55"/>
      <c r="J290" s="163"/>
      <c r="K290" s="55"/>
      <c r="L290" s="55"/>
      <c r="M290" s="55"/>
      <c r="N290" s="55"/>
      <c r="O290" s="55"/>
      <c r="P290" s="55"/>
      <c r="Q290" s="55"/>
      <c r="R290" s="55"/>
      <c r="S290" s="55"/>
    </row>
    <row r="291" spans="3:19" ht="13.5" customHeight="1">
      <c r="C291" s="55"/>
      <c r="D291" s="55"/>
      <c r="E291" s="55"/>
      <c r="F291" s="53"/>
      <c r="G291" s="55"/>
      <c r="H291" s="55"/>
      <c r="I291" s="55"/>
      <c r="J291" s="163"/>
      <c r="K291" s="55"/>
      <c r="L291" s="55"/>
      <c r="M291" s="55"/>
      <c r="N291" s="55"/>
      <c r="O291" s="55"/>
      <c r="P291" s="55"/>
      <c r="Q291" s="55"/>
      <c r="R291" s="55"/>
      <c r="S291" s="55"/>
    </row>
    <row r="292" spans="3:19" ht="13.5" customHeight="1">
      <c r="C292" s="55"/>
      <c r="D292" s="55"/>
      <c r="E292" s="55"/>
      <c r="F292" s="53"/>
      <c r="G292" s="55"/>
      <c r="H292" s="55"/>
      <c r="I292" s="55"/>
      <c r="J292" s="163"/>
      <c r="K292" s="55"/>
      <c r="L292" s="55"/>
      <c r="M292" s="55"/>
      <c r="N292" s="55"/>
      <c r="O292" s="55"/>
      <c r="P292" s="55"/>
      <c r="Q292" s="55"/>
      <c r="R292" s="55"/>
      <c r="S292" s="55"/>
    </row>
    <row r="293" spans="3:19" ht="13.5" customHeight="1">
      <c r="C293" s="55"/>
      <c r="D293" s="55"/>
      <c r="E293" s="55"/>
      <c r="F293" s="53"/>
      <c r="G293" s="55"/>
      <c r="H293" s="55"/>
      <c r="I293" s="55"/>
      <c r="J293" s="163"/>
      <c r="K293" s="55"/>
      <c r="L293" s="55"/>
      <c r="M293" s="55"/>
      <c r="N293" s="55"/>
      <c r="O293" s="55"/>
      <c r="P293" s="55"/>
      <c r="Q293" s="55"/>
      <c r="R293" s="55"/>
      <c r="S293" s="55"/>
    </row>
    <row r="294" spans="3:19" ht="13.5" customHeight="1">
      <c r="C294" s="55"/>
      <c r="D294" s="55"/>
      <c r="E294" s="55"/>
      <c r="F294" s="53"/>
      <c r="G294" s="55"/>
      <c r="H294" s="55"/>
      <c r="I294" s="55"/>
      <c r="J294" s="163"/>
      <c r="K294" s="55"/>
      <c r="L294" s="55"/>
      <c r="M294" s="55"/>
      <c r="N294" s="55"/>
      <c r="O294" s="55"/>
      <c r="P294" s="55"/>
      <c r="Q294" s="55"/>
      <c r="R294" s="55"/>
      <c r="S294" s="55"/>
    </row>
    <row r="295" spans="3:19" ht="13.5" customHeight="1">
      <c r="C295" s="55"/>
      <c r="D295" s="55"/>
      <c r="E295" s="55"/>
      <c r="F295" s="53"/>
      <c r="G295" s="55"/>
      <c r="H295" s="55"/>
      <c r="I295" s="55"/>
      <c r="J295" s="163"/>
      <c r="K295" s="55"/>
      <c r="L295" s="55"/>
      <c r="M295" s="55"/>
      <c r="N295" s="55"/>
      <c r="O295" s="55"/>
      <c r="P295" s="55"/>
      <c r="Q295" s="55"/>
      <c r="R295" s="55"/>
      <c r="S295" s="55"/>
    </row>
    <row r="296" spans="3:19" ht="13.5" customHeight="1">
      <c r="C296" s="55"/>
      <c r="D296" s="55"/>
      <c r="E296" s="55"/>
      <c r="F296" s="53"/>
      <c r="G296" s="55"/>
      <c r="H296" s="55"/>
      <c r="I296" s="55"/>
      <c r="J296" s="163"/>
      <c r="K296" s="55"/>
      <c r="L296" s="55"/>
      <c r="M296" s="55"/>
      <c r="N296" s="55"/>
      <c r="O296" s="55"/>
      <c r="P296" s="55"/>
      <c r="Q296" s="55"/>
      <c r="R296" s="55"/>
      <c r="S296" s="55"/>
    </row>
    <row r="297" spans="3:19" ht="13.5" customHeight="1">
      <c r="C297" s="55"/>
      <c r="D297" s="55"/>
      <c r="E297" s="55"/>
      <c r="F297" s="53"/>
      <c r="G297" s="55"/>
      <c r="H297" s="55"/>
      <c r="I297" s="55"/>
      <c r="J297" s="163"/>
      <c r="K297" s="55"/>
      <c r="L297" s="55"/>
      <c r="M297" s="55"/>
      <c r="N297" s="55"/>
      <c r="O297" s="55"/>
      <c r="P297" s="55"/>
      <c r="Q297" s="55"/>
      <c r="R297" s="55"/>
      <c r="S297" s="55"/>
    </row>
    <row r="298" spans="3:19" ht="13.5" customHeight="1">
      <c r="C298" s="55"/>
      <c r="D298" s="55"/>
      <c r="E298" s="55"/>
      <c r="F298" s="53"/>
      <c r="G298" s="55"/>
      <c r="H298" s="55"/>
      <c r="I298" s="55"/>
      <c r="J298" s="163"/>
      <c r="K298" s="55"/>
      <c r="L298" s="55"/>
      <c r="M298" s="55"/>
      <c r="N298" s="55"/>
      <c r="O298" s="55"/>
      <c r="P298" s="55"/>
      <c r="Q298" s="55"/>
      <c r="R298" s="55"/>
      <c r="S298" s="55"/>
    </row>
    <row r="299" spans="3:19" ht="13.5" customHeight="1">
      <c r="C299" s="55"/>
      <c r="D299" s="55"/>
      <c r="E299" s="55"/>
      <c r="F299" s="53"/>
      <c r="G299" s="55"/>
      <c r="H299" s="55"/>
      <c r="I299" s="55"/>
      <c r="J299" s="163"/>
      <c r="K299" s="55"/>
      <c r="L299" s="55"/>
      <c r="M299" s="55"/>
      <c r="N299" s="55"/>
      <c r="O299" s="55"/>
      <c r="P299" s="55"/>
      <c r="Q299" s="55"/>
      <c r="R299" s="55"/>
      <c r="S299" s="55"/>
    </row>
    <row r="300" spans="3:19" ht="13.5" customHeight="1">
      <c r="C300" s="55"/>
      <c r="D300" s="55"/>
      <c r="E300" s="55"/>
      <c r="F300" s="53"/>
      <c r="G300" s="55"/>
      <c r="H300" s="55"/>
      <c r="I300" s="55"/>
      <c r="J300" s="163"/>
      <c r="K300" s="55"/>
      <c r="L300" s="55"/>
      <c r="M300" s="55"/>
      <c r="N300" s="55"/>
      <c r="O300" s="55"/>
      <c r="P300" s="55"/>
      <c r="Q300" s="55"/>
      <c r="R300" s="55"/>
      <c r="S300" s="55"/>
    </row>
    <row r="301" spans="3:19" ht="13.5" customHeight="1">
      <c r="C301" s="55"/>
      <c r="D301" s="55"/>
      <c r="E301" s="55"/>
      <c r="F301" s="53"/>
      <c r="G301" s="55"/>
      <c r="H301" s="55"/>
      <c r="I301" s="55"/>
      <c r="J301" s="163"/>
      <c r="K301" s="55"/>
      <c r="L301" s="55"/>
      <c r="M301" s="55"/>
      <c r="N301" s="55"/>
      <c r="O301" s="55"/>
      <c r="P301" s="55"/>
      <c r="Q301" s="55"/>
      <c r="R301" s="55"/>
      <c r="S301" s="55"/>
    </row>
    <row r="302" spans="3:19" ht="13.5" customHeight="1">
      <c r="C302" s="55"/>
      <c r="D302" s="55"/>
      <c r="E302" s="55"/>
      <c r="F302" s="53"/>
      <c r="G302" s="55"/>
      <c r="H302" s="55"/>
      <c r="I302" s="55"/>
      <c r="J302" s="163"/>
      <c r="K302" s="55"/>
      <c r="L302" s="55"/>
      <c r="M302" s="55"/>
      <c r="N302" s="55"/>
      <c r="O302" s="55"/>
      <c r="P302" s="55"/>
      <c r="Q302" s="55"/>
      <c r="R302" s="55"/>
      <c r="S302" s="55"/>
    </row>
    <row r="303" spans="3:19" ht="13.5" customHeight="1">
      <c r="C303" s="55"/>
      <c r="D303" s="55"/>
      <c r="E303" s="55"/>
      <c r="F303" s="53"/>
      <c r="G303" s="55"/>
      <c r="H303" s="55"/>
      <c r="I303" s="55"/>
      <c r="J303" s="163"/>
      <c r="K303" s="55"/>
      <c r="L303" s="55"/>
      <c r="M303" s="55"/>
      <c r="N303" s="55"/>
      <c r="O303" s="55"/>
      <c r="P303" s="55"/>
      <c r="Q303" s="55"/>
      <c r="R303" s="55"/>
      <c r="S303" s="55"/>
    </row>
    <row r="304" spans="3:19" ht="13.5" customHeight="1">
      <c r="C304" s="55"/>
      <c r="D304" s="55"/>
      <c r="E304" s="55"/>
      <c r="F304" s="53"/>
      <c r="G304" s="55"/>
      <c r="H304" s="55"/>
      <c r="I304" s="55"/>
      <c r="J304" s="163"/>
      <c r="K304" s="55"/>
      <c r="L304" s="55"/>
      <c r="M304" s="55"/>
      <c r="N304" s="55"/>
      <c r="O304" s="55"/>
      <c r="P304" s="55"/>
      <c r="Q304" s="55"/>
      <c r="R304" s="55"/>
      <c r="S304" s="55"/>
    </row>
    <row r="305" spans="3:19" ht="13.5" customHeight="1">
      <c r="C305" s="55"/>
      <c r="D305" s="55"/>
      <c r="E305" s="55"/>
      <c r="F305" s="53"/>
      <c r="G305" s="55"/>
      <c r="H305" s="55"/>
      <c r="I305" s="55"/>
      <c r="J305" s="163"/>
      <c r="K305" s="55"/>
      <c r="L305" s="55"/>
      <c r="M305" s="55"/>
      <c r="N305" s="55"/>
      <c r="O305" s="55"/>
      <c r="P305" s="55"/>
      <c r="Q305" s="55"/>
      <c r="R305" s="55"/>
      <c r="S305" s="55"/>
    </row>
    <row r="306" spans="3:19" ht="13.5" customHeight="1">
      <c r="C306" s="55"/>
      <c r="D306" s="55"/>
      <c r="E306" s="55"/>
      <c r="F306" s="53"/>
      <c r="G306" s="55"/>
      <c r="H306" s="55"/>
      <c r="I306" s="55"/>
      <c r="J306" s="163"/>
      <c r="K306" s="55"/>
      <c r="L306" s="55"/>
      <c r="M306" s="55"/>
      <c r="N306" s="55"/>
      <c r="O306" s="55"/>
      <c r="P306" s="55"/>
      <c r="Q306" s="55"/>
      <c r="R306" s="55"/>
      <c r="S306" s="55"/>
    </row>
    <row r="307" spans="3:19" ht="13.5" customHeight="1">
      <c r="C307" s="55"/>
      <c r="D307" s="55"/>
      <c r="E307" s="55"/>
      <c r="F307" s="53"/>
      <c r="G307" s="55"/>
      <c r="H307" s="55"/>
      <c r="I307" s="55"/>
      <c r="J307" s="163"/>
      <c r="K307" s="55"/>
      <c r="L307" s="55"/>
      <c r="M307" s="55"/>
      <c r="N307" s="55"/>
      <c r="O307" s="55"/>
      <c r="P307" s="55"/>
      <c r="Q307" s="55"/>
      <c r="R307" s="55"/>
      <c r="S307" s="55"/>
    </row>
    <row r="308" spans="3:19" ht="13.5" customHeight="1">
      <c r="C308" s="55"/>
      <c r="D308" s="55"/>
      <c r="E308" s="55"/>
      <c r="F308" s="53"/>
      <c r="G308" s="55"/>
      <c r="H308" s="55"/>
      <c r="I308" s="55"/>
      <c r="J308" s="163"/>
      <c r="K308" s="55"/>
      <c r="L308" s="55"/>
      <c r="M308" s="55"/>
      <c r="N308" s="55"/>
      <c r="O308" s="55"/>
      <c r="P308" s="55"/>
      <c r="Q308" s="55"/>
      <c r="R308" s="55"/>
      <c r="S308" s="55"/>
    </row>
    <row r="309" spans="3:19" ht="13.5" customHeight="1">
      <c r="C309" s="55"/>
      <c r="D309" s="55"/>
      <c r="E309" s="55"/>
      <c r="F309" s="53"/>
      <c r="G309" s="55"/>
      <c r="H309" s="55"/>
      <c r="I309" s="55"/>
      <c r="J309" s="163"/>
      <c r="K309" s="55"/>
      <c r="L309" s="55"/>
      <c r="M309" s="55"/>
      <c r="N309" s="55"/>
      <c r="O309" s="55"/>
      <c r="P309" s="55"/>
      <c r="Q309" s="55"/>
      <c r="R309" s="55"/>
      <c r="S309" s="55"/>
    </row>
    <row r="310" spans="3:19" ht="13.5" customHeight="1">
      <c r="C310" s="55"/>
      <c r="D310" s="55"/>
      <c r="E310" s="55"/>
      <c r="F310" s="53"/>
      <c r="G310" s="55"/>
      <c r="H310" s="55"/>
      <c r="I310" s="55"/>
      <c r="J310" s="163"/>
      <c r="K310" s="55"/>
      <c r="L310" s="55"/>
      <c r="M310" s="55"/>
      <c r="N310" s="55"/>
      <c r="O310" s="55"/>
      <c r="P310" s="55"/>
      <c r="Q310" s="55"/>
      <c r="R310" s="55"/>
      <c r="S310" s="55"/>
    </row>
    <row r="311" spans="3:19" ht="13.5" customHeight="1">
      <c r="C311" s="55"/>
      <c r="D311" s="55"/>
      <c r="E311" s="55"/>
      <c r="F311" s="53"/>
      <c r="G311" s="55"/>
      <c r="H311" s="55"/>
      <c r="I311" s="55"/>
      <c r="J311" s="163"/>
      <c r="K311" s="55"/>
      <c r="L311" s="55"/>
      <c r="M311" s="55"/>
      <c r="N311" s="55"/>
      <c r="O311" s="55"/>
      <c r="P311" s="55"/>
      <c r="Q311" s="55"/>
      <c r="R311" s="55"/>
      <c r="S311" s="55"/>
    </row>
    <row r="312" spans="3:19" ht="13.5" customHeight="1">
      <c r="C312" s="55"/>
      <c r="D312" s="55"/>
      <c r="E312" s="55"/>
      <c r="F312" s="53"/>
      <c r="G312" s="55"/>
      <c r="H312" s="55"/>
      <c r="I312" s="55"/>
      <c r="J312" s="163"/>
      <c r="K312" s="55"/>
      <c r="L312" s="55"/>
      <c r="M312" s="55"/>
      <c r="N312" s="55"/>
      <c r="O312" s="55"/>
      <c r="P312" s="55"/>
      <c r="Q312" s="55"/>
      <c r="R312" s="55"/>
      <c r="S312" s="55"/>
    </row>
    <row r="313" spans="3:19" ht="13.5" customHeight="1">
      <c r="C313" s="55"/>
      <c r="D313" s="55"/>
      <c r="E313" s="55"/>
      <c r="F313" s="53"/>
      <c r="G313" s="55"/>
      <c r="H313" s="55"/>
      <c r="I313" s="55"/>
      <c r="J313" s="163"/>
      <c r="K313" s="55"/>
      <c r="L313" s="55"/>
      <c r="M313" s="55"/>
      <c r="N313" s="55"/>
      <c r="O313" s="55"/>
      <c r="P313" s="55"/>
      <c r="Q313" s="55"/>
      <c r="R313" s="55"/>
      <c r="S313" s="55"/>
    </row>
    <row r="314" spans="3:19" ht="13.5" customHeight="1">
      <c r="C314" s="55"/>
      <c r="D314" s="55"/>
      <c r="E314" s="55"/>
      <c r="F314" s="53"/>
      <c r="G314" s="55"/>
      <c r="H314" s="55"/>
      <c r="I314" s="55"/>
      <c r="J314" s="163"/>
      <c r="K314" s="55"/>
      <c r="L314" s="55"/>
      <c r="M314" s="55"/>
      <c r="N314" s="55"/>
      <c r="O314" s="55"/>
      <c r="P314" s="55"/>
      <c r="Q314" s="55"/>
      <c r="R314" s="55"/>
      <c r="S314" s="55"/>
    </row>
    <row r="315" spans="3:19" ht="13.5" customHeight="1">
      <c r="C315" s="55"/>
      <c r="D315" s="55"/>
      <c r="E315" s="55"/>
      <c r="F315" s="53"/>
      <c r="G315" s="55"/>
      <c r="H315" s="55"/>
      <c r="I315" s="55"/>
      <c r="J315" s="163"/>
      <c r="K315" s="55"/>
      <c r="L315" s="55"/>
      <c r="M315" s="55"/>
      <c r="N315" s="55"/>
      <c r="O315" s="55"/>
      <c r="P315" s="55"/>
      <c r="Q315" s="55"/>
      <c r="R315" s="55"/>
      <c r="S315" s="55"/>
    </row>
    <row r="316" spans="3:19" ht="13.5" customHeight="1">
      <c r="C316" s="55"/>
      <c r="D316" s="55"/>
      <c r="E316" s="55"/>
      <c r="F316" s="53"/>
      <c r="G316" s="55"/>
      <c r="H316" s="55"/>
      <c r="I316" s="55"/>
      <c r="J316" s="163"/>
      <c r="K316" s="55"/>
      <c r="L316" s="55"/>
      <c r="M316" s="55"/>
      <c r="N316" s="55"/>
      <c r="O316" s="55"/>
      <c r="P316" s="55"/>
      <c r="Q316" s="55"/>
      <c r="R316" s="55"/>
      <c r="S316" s="55"/>
    </row>
    <row r="317" spans="3:19" ht="13.5" customHeight="1">
      <c r="C317" s="55"/>
      <c r="D317" s="55"/>
      <c r="E317" s="55"/>
      <c r="F317" s="53"/>
      <c r="G317" s="55"/>
      <c r="H317" s="55"/>
      <c r="I317" s="55"/>
      <c r="J317" s="163"/>
      <c r="K317" s="55"/>
      <c r="L317" s="55"/>
      <c r="M317" s="55"/>
      <c r="N317" s="55"/>
      <c r="O317" s="55"/>
      <c r="P317" s="55"/>
      <c r="Q317" s="55"/>
      <c r="R317" s="55"/>
      <c r="S317" s="55"/>
    </row>
    <row r="318" spans="3:19" ht="13.5" customHeight="1">
      <c r="C318" s="55"/>
      <c r="D318" s="55"/>
      <c r="E318" s="55"/>
      <c r="F318" s="53"/>
      <c r="G318" s="55"/>
      <c r="H318" s="55"/>
      <c r="I318" s="55"/>
      <c r="J318" s="163"/>
      <c r="K318" s="55"/>
      <c r="L318" s="55"/>
      <c r="M318" s="55"/>
      <c r="N318" s="55"/>
      <c r="O318" s="55"/>
      <c r="P318" s="55"/>
      <c r="Q318" s="55"/>
      <c r="R318" s="55"/>
      <c r="S318" s="55"/>
    </row>
    <row r="319" spans="3:19" ht="13.5" customHeight="1">
      <c r="C319" s="55"/>
      <c r="D319" s="55"/>
      <c r="E319" s="55"/>
      <c r="F319" s="53"/>
      <c r="G319" s="55"/>
      <c r="H319" s="55"/>
      <c r="I319" s="55"/>
      <c r="J319" s="163"/>
      <c r="K319" s="55"/>
      <c r="L319" s="55"/>
      <c r="M319" s="55"/>
      <c r="N319" s="55"/>
      <c r="O319" s="55"/>
      <c r="P319" s="55"/>
      <c r="Q319" s="55"/>
      <c r="R319" s="55"/>
      <c r="S319" s="55"/>
    </row>
    <row r="320" spans="3:19" ht="13.5" customHeight="1">
      <c r="C320" s="55"/>
      <c r="D320" s="55"/>
      <c r="E320" s="55"/>
      <c r="F320" s="53"/>
      <c r="G320" s="55"/>
      <c r="H320" s="55"/>
      <c r="I320" s="55"/>
      <c r="J320" s="163"/>
      <c r="K320" s="55"/>
      <c r="L320" s="55"/>
      <c r="M320" s="55"/>
      <c r="N320" s="55"/>
      <c r="O320" s="55"/>
      <c r="P320" s="55"/>
      <c r="Q320" s="55"/>
      <c r="R320" s="55"/>
      <c r="S320" s="55"/>
    </row>
    <row r="321" spans="3:19" ht="13.5" customHeight="1">
      <c r="C321" s="55"/>
      <c r="D321" s="55"/>
      <c r="E321" s="55"/>
      <c r="F321" s="53"/>
      <c r="G321" s="55"/>
      <c r="H321" s="55"/>
      <c r="I321" s="55"/>
      <c r="J321" s="163"/>
      <c r="K321" s="55"/>
      <c r="L321" s="55"/>
      <c r="M321" s="55"/>
      <c r="N321" s="55"/>
      <c r="O321" s="55"/>
      <c r="P321" s="55"/>
      <c r="Q321" s="55"/>
      <c r="R321" s="55"/>
      <c r="S321" s="55"/>
    </row>
    <row r="322" spans="3:19" ht="13.5" customHeight="1">
      <c r="C322" s="55"/>
      <c r="D322" s="55"/>
      <c r="E322" s="55"/>
      <c r="F322" s="53"/>
      <c r="G322" s="55"/>
      <c r="H322" s="55"/>
      <c r="I322" s="55"/>
      <c r="J322" s="163"/>
      <c r="K322" s="55"/>
      <c r="L322" s="55"/>
      <c r="M322" s="55"/>
      <c r="N322" s="55"/>
      <c r="O322" s="55"/>
      <c r="P322" s="55"/>
      <c r="Q322" s="55"/>
      <c r="R322" s="55"/>
      <c r="S322" s="55"/>
    </row>
    <row r="323" spans="3:19" ht="13.5" customHeight="1">
      <c r="C323" s="55"/>
      <c r="D323" s="55"/>
      <c r="E323" s="55"/>
      <c r="F323" s="53"/>
      <c r="G323" s="55"/>
      <c r="H323" s="55"/>
      <c r="I323" s="55"/>
      <c r="J323" s="163"/>
      <c r="K323" s="55"/>
      <c r="L323" s="55"/>
      <c r="M323" s="55"/>
      <c r="N323" s="55"/>
      <c r="O323" s="55"/>
      <c r="P323" s="55"/>
      <c r="Q323" s="55"/>
      <c r="R323" s="55"/>
      <c r="S323" s="55"/>
    </row>
    <row r="324" spans="3:19" ht="13.5" customHeight="1">
      <c r="C324" s="55"/>
      <c r="D324" s="55"/>
      <c r="E324" s="55"/>
      <c r="F324" s="53"/>
      <c r="G324" s="55"/>
      <c r="H324" s="55"/>
      <c r="I324" s="55"/>
      <c r="J324" s="163"/>
      <c r="K324" s="55"/>
      <c r="L324" s="55"/>
      <c r="M324" s="55"/>
      <c r="N324" s="55"/>
      <c r="O324" s="55"/>
      <c r="P324" s="55"/>
      <c r="Q324" s="55"/>
      <c r="R324" s="55"/>
      <c r="S324" s="55"/>
    </row>
    <row r="325" spans="3:19" ht="13.5" customHeight="1">
      <c r="C325" s="55"/>
      <c r="D325" s="55"/>
      <c r="E325" s="55"/>
      <c r="F325" s="53"/>
      <c r="G325" s="55"/>
      <c r="H325" s="55"/>
      <c r="I325" s="55"/>
      <c r="J325" s="163"/>
      <c r="K325" s="55"/>
      <c r="L325" s="55"/>
      <c r="M325" s="55"/>
      <c r="N325" s="55"/>
      <c r="O325" s="55"/>
      <c r="P325" s="55"/>
      <c r="Q325" s="55"/>
      <c r="R325" s="55"/>
      <c r="S325" s="55"/>
    </row>
    <row r="326" spans="3:19" ht="13.5" customHeight="1">
      <c r="C326" s="55"/>
      <c r="D326" s="55"/>
      <c r="E326" s="55"/>
      <c r="F326" s="53"/>
      <c r="G326" s="55"/>
      <c r="H326" s="55"/>
      <c r="I326" s="55"/>
      <c r="J326" s="163"/>
      <c r="K326" s="55"/>
      <c r="L326" s="55"/>
      <c r="M326" s="55"/>
      <c r="N326" s="55"/>
      <c r="O326" s="55"/>
      <c r="P326" s="55"/>
      <c r="Q326" s="55"/>
      <c r="R326" s="55"/>
      <c r="S326" s="55"/>
    </row>
    <row r="327" spans="3:19" ht="13.5" customHeight="1">
      <c r="C327" s="55"/>
      <c r="D327" s="55"/>
      <c r="E327" s="55"/>
      <c r="F327" s="53"/>
      <c r="G327" s="55"/>
      <c r="H327" s="55"/>
      <c r="I327" s="55"/>
      <c r="J327" s="163"/>
      <c r="K327" s="55"/>
      <c r="L327" s="55"/>
      <c r="M327" s="55"/>
      <c r="N327" s="55"/>
      <c r="O327" s="55"/>
      <c r="P327" s="55"/>
      <c r="Q327" s="55"/>
      <c r="R327" s="55"/>
      <c r="S327" s="55"/>
    </row>
    <row r="328" spans="3:19" ht="13.5" customHeight="1">
      <c r="C328" s="55"/>
      <c r="D328" s="55"/>
      <c r="E328" s="55"/>
      <c r="F328" s="53"/>
      <c r="G328" s="55"/>
      <c r="H328" s="55"/>
      <c r="I328" s="55"/>
      <c r="J328" s="163"/>
      <c r="K328" s="55"/>
      <c r="L328" s="55"/>
      <c r="M328" s="55"/>
      <c r="N328" s="55"/>
      <c r="O328" s="55"/>
      <c r="P328" s="55"/>
      <c r="Q328" s="55"/>
      <c r="R328" s="55"/>
      <c r="S328" s="55"/>
    </row>
    <row r="329" spans="3:19" ht="13.5" customHeight="1">
      <c r="C329" s="55"/>
      <c r="D329" s="55"/>
      <c r="E329" s="55"/>
      <c r="F329" s="53"/>
      <c r="G329" s="55"/>
      <c r="H329" s="55"/>
      <c r="I329" s="55"/>
      <c r="J329" s="163"/>
      <c r="K329" s="55"/>
      <c r="L329" s="55"/>
      <c r="M329" s="55"/>
      <c r="N329" s="55"/>
      <c r="O329" s="55"/>
      <c r="P329" s="55"/>
      <c r="Q329" s="55"/>
      <c r="R329" s="55"/>
      <c r="S329" s="55"/>
    </row>
    <row r="330" spans="3:19" ht="13.5" customHeight="1">
      <c r="C330" s="55"/>
      <c r="D330" s="55"/>
      <c r="E330" s="55"/>
      <c r="F330" s="53"/>
      <c r="G330" s="55"/>
      <c r="H330" s="55"/>
      <c r="I330" s="55"/>
      <c r="J330" s="163"/>
      <c r="K330" s="55"/>
      <c r="L330" s="55"/>
      <c r="M330" s="55"/>
      <c r="N330" s="55"/>
      <c r="O330" s="55"/>
      <c r="P330" s="55"/>
      <c r="Q330" s="55"/>
      <c r="R330" s="55"/>
      <c r="S330" s="55"/>
    </row>
    <row r="331" spans="3:19" ht="13.5" customHeight="1">
      <c r="C331" s="55"/>
      <c r="D331" s="55"/>
      <c r="E331" s="55"/>
      <c r="F331" s="53"/>
      <c r="G331" s="55"/>
      <c r="H331" s="55"/>
      <c r="I331" s="55"/>
      <c r="J331" s="163"/>
      <c r="K331" s="55"/>
      <c r="L331" s="55"/>
      <c r="M331" s="55"/>
      <c r="N331" s="55"/>
      <c r="O331" s="55"/>
      <c r="P331" s="55"/>
      <c r="Q331" s="55"/>
      <c r="R331" s="55"/>
      <c r="S331" s="55"/>
    </row>
    <row r="332" spans="3:19" ht="13.5" customHeight="1">
      <c r="C332" s="55"/>
      <c r="D332" s="55"/>
      <c r="E332" s="55"/>
      <c r="F332" s="53"/>
      <c r="G332" s="55"/>
      <c r="H332" s="55"/>
      <c r="I332" s="55"/>
      <c r="J332" s="163"/>
      <c r="K332" s="55"/>
      <c r="L332" s="55"/>
      <c r="M332" s="55"/>
      <c r="N332" s="55"/>
      <c r="O332" s="55"/>
      <c r="P332" s="55"/>
      <c r="Q332" s="55"/>
      <c r="R332" s="55"/>
      <c r="S332" s="55"/>
    </row>
    <row r="333" spans="3:19" ht="13.5" customHeight="1">
      <c r="C333" s="55"/>
      <c r="D333" s="55"/>
      <c r="E333" s="55"/>
      <c r="F333" s="53"/>
      <c r="G333" s="55"/>
      <c r="H333" s="55"/>
      <c r="I333" s="55"/>
      <c r="J333" s="163"/>
      <c r="K333" s="55"/>
      <c r="L333" s="55"/>
      <c r="M333" s="55"/>
      <c r="N333" s="55"/>
      <c r="O333" s="55"/>
      <c r="P333" s="55"/>
      <c r="Q333" s="55"/>
      <c r="R333" s="55"/>
      <c r="S333" s="55"/>
    </row>
    <row r="334" spans="3:19" ht="13.5" customHeight="1">
      <c r="C334" s="55"/>
      <c r="D334" s="55"/>
      <c r="E334" s="55"/>
      <c r="F334" s="53"/>
      <c r="G334" s="55"/>
      <c r="H334" s="55"/>
      <c r="I334" s="55"/>
      <c r="J334" s="163"/>
      <c r="K334" s="55"/>
      <c r="L334" s="55"/>
      <c r="M334" s="55"/>
      <c r="N334" s="55"/>
      <c r="O334" s="55"/>
      <c r="P334" s="55"/>
      <c r="Q334" s="55"/>
      <c r="R334" s="55"/>
      <c r="S334" s="55"/>
    </row>
    <row r="335" spans="3:19" ht="13.5" customHeight="1">
      <c r="C335" s="55"/>
      <c r="D335" s="55"/>
      <c r="E335" s="55"/>
      <c r="F335" s="53"/>
      <c r="G335" s="55"/>
      <c r="H335" s="55"/>
      <c r="I335" s="55"/>
      <c r="J335" s="163"/>
      <c r="K335" s="55"/>
      <c r="L335" s="55"/>
      <c r="M335" s="55"/>
      <c r="N335" s="55"/>
      <c r="O335" s="55"/>
      <c r="P335" s="55"/>
      <c r="Q335" s="55"/>
      <c r="R335" s="55"/>
      <c r="S335" s="55"/>
    </row>
    <row r="336" spans="3:19" ht="13.5" customHeight="1">
      <c r="C336" s="55"/>
      <c r="D336" s="55"/>
      <c r="E336" s="55"/>
      <c r="F336" s="53"/>
      <c r="G336" s="55"/>
      <c r="H336" s="55"/>
      <c r="I336" s="55"/>
      <c r="J336" s="163"/>
      <c r="K336" s="55"/>
      <c r="L336" s="55"/>
      <c r="M336" s="55"/>
      <c r="N336" s="55"/>
      <c r="O336" s="55"/>
      <c r="P336" s="55"/>
      <c r="Q336" s="55"/>
      <c r="R336" s="55"/>
      <c r="S336" s="55"/>
    </row>
    <row r="337" spans="3:19" ht="13.5" customHeight="1">
      <c r="C337" s="55"/>
      <c r="D337" s="55"/>
      <c r="E337" s="55"/>
      <c r="F337" s="53"/>
      <c r="G337" s="55"/>
      <c r="H337" s="55"/>
      <c r="I337" s="55"/>
      <c r="J337" s="163"/>
      <c r="K337" s="55"/>
      <c r="L337" s="55"/>
      <c r="M337" s="55"/>
      <c r="N337" s="55"/>
      <c r="O337" s="55"/>
      <c r="P337" s="55"/>
      <c r="Q337" s="55"/>
      <c r="R337" s="55"/>
      <c r="S337" s="55"/>
    </row>
    <row r="338" spans="3:19" ht="13.5" customHeight="1">
      <c r="C338" s="55"/>
      <c r="D338" s="55"/>
      <c r="E338" s="55"/>
      <c r="F338" s="53"/>
      <c r="G338" s="55"/>
      <c r="H338" s="55"/>
      <c r="I338" s="55"/>
      <c r="J338" s="163"/>
      <c r="K338" s="55"/>
      <c r="L338" s="55"/>
      <c r="M338" s="55"/>
      <c r="N338" s="55"/>
      <c r="O338" s="55"/>
      <c r="P338" s="55"/>
      <c r="Q338" s="55"/>
      <c r="R338" s="55"/>
      <c r="S338" s="55"/>
    </row>
    <row r="339" spans="3:19" ht="13.5" customHeight="1">
      <c r="C339" s="55"/>
      <c r="D339" s="55"/>
      <c r="E339" s="55"/>
      <c r="F339" s="53"/>
      <c r="G339" s="55"/>
      <c r="H339" s="55"/>
      <c r="I339" s="55"/>
      <c r="J339" s="163"/>
      <c r="K339" s="55"/>
      <c r="L339" s="55"/>
      <c r="M339" s="55"/>
      <c r="N339" s="55"/>
      <c r="O339" s="55"/>
      <c r="P339" s="55"/>
      <c r="Q339" s="55"/>
      <c r="R339" s="55"/>
      <c r="S339" s="55"/>
    </row>
    <row r="340" spans="3:19" ht="13.5" customHeight="1">
      <c r="C340" s="55"/>
      <c r="D340" s="55"/>
      <c r="E340" s="55"/>
      <c r="F340" s="53"/>
      <c r="G340" s="55"/>
      <c r="H340" s="55"/>
      <c r="I340" s="55"/>
      <c r="J340" s="163"/>
      <c r="K340" s="55"/>
      <c r="L340" s="55"/>
      <c r="M340" s="55"/>
      <c r="N340" s="55"/>
      <c r="O340" s="55"/>
      <c r="P340" s="55"/>
      <c r="Q340" s="55"/>
      <c r="R340" s="55"/>
      <c r="S340" s="55"/>
    </row>
    <row r="341" spans="3:19" ht="13.5" customHeight="1">
      <c r="C341" s="55"/>
      <c r="D341" s="55"/>
      <c r="E341" s="55"/>
      <c r="F341" s="53"/>
      <c r="G341" s="55"/>
      <c r="H341" s="55"/>
      <c r="I341" s="55"/>
      <c r="J341" s="163"/>
      <c r="K341" s="55"/>
      <c r="L341" s="55"/>
      <c r="M341" s="55"/>
      <c r="N341" s="55"/>
      <c r="O341" s="55"/>
      <c r="P341" s="55"/>
      <c r="Q341" s="55"/>
      <c r="R341" s="55"/>
      <c r="S341" s="55"/>
    </row>
    <row r="342" spans="3:19" ht="13.5" customHeight="1">
      <c r="C342" s="55"/>
      <c r="D342" s="55"/>
      <c r="E342" s="55"/>
      <c r="F342" s="53"/>
      <c r="G342" s="55"/>
      <c r="H342" s="55"/>
      <c r="I342" s="55"/>
      <c r="J342" s="163"/>
      <c r="K342" s="55"/>
      <c r="L342" s="55"/>
      <c r="M342" s="55"/>
      <c r="N342" s="55"/>
      <c r="O342" s="55"/>
      <c r="P342" s="55"/>
      <c r="Q342" s="55"/>
      <c r="R342" s="55"/>
      <c r="S342" s="55"/>
    </row>
    <row r="343" spans="3:19" ht="13.5" customHeight="1">
      <c r="C343" s="55"/>
      <c r="D343" s="55"/>
      <c r="E343" s="55"/>
      <c r="F343" s="53"/>
      <c r="G343" s="55"/>
      <c r="H343" s="55"/>
      <c r="I343" s="55"/>
      <c r="J343" s="163"/>
      <c r="K343" s="55"/>
      <c r="L343" s="55"/>
      <c r="M343" s="55"/>
      <c r="N343" s="55"/>
      <c r="O343" s="55"/>
      <c r="P343" s="55"/>
      <c r="Q343" s="55"/>
      <c r="R343" s="55"/>
      <c r="S343" s="55"/>
    </row>
    <row r="344" spans="3:19" ht="13.5" customHeight="1">
      <c r="C344" s="55"/>
      <c r="D344" s="55"/>
      <c r="E344" s="55"/>
      <c r="F344" s="53"/>
      <c r="G344" s="55"/>
      <c r="H344" s="55"/>
      <c r="I344" s="55"/>
      <c r="J344" s="163"/>
      <c r="K344" s="55"/>
      <c r="L344" s="55"/>
      <c r="M344" s="55"/>
      <c r="N344" s="55"/>
      <c r="O344" s="55"/>
      <c r="P344" s="55"/>
      <c r="Q344" s="55"/>
      <c r="R344" s="55"/>
      <c r="S344" s="55"/>
    </row>
    <row r="345" spans="3:19" ht="13.5" customHeight="1">
      <c r="C345" s="55"/>
      <c r="D345" s="55"/>
      <c r="E345" s="55"/>
      <c r="F345" s="53"/>
      <c r="G345" s="55"/>
      <c r="H345" s="55"/>
      <c r="I345" s="55"/>
      <c r="J345" s="163"/>
      <c r="K345" s="55"/>
      <c r="L345" s="55"/>
      <c r="M345" s="55"/>
      <c r="N345" s="55"/>
      <c r="O345" s="55"/>
      <c r="P345" s="55"/>
      <c r="Q345" s="55"/>
      <c r="R345" s="55"/>
      <c r="S345" s="55"/>
    </row>
    <row r="346" spans="3:19" ht="13.5" customHeight="1">
      <c r="C346" s="55"/>
      <c r="D346" s="55"/>
      <c r="E346" s="55"/>
      <c r="F346" s="53"/>
      <c r="G346" s="55"/>
      <c r="H346" s="55"/>
      <c r="I346" s="55"/>
      <c r="J346" s="163"/>
      <c r="K346" s="55"/>
      <c r="L346" s="55"/>
      <c r="M346" s="55"/>
      <c r="N346" s="55"/>
      <c r="O346" s="55"/>
      <c r="P346" s="55"/>
      <c r="Q346" s="55"/>
      <c r="R346" s="55"/>
      <c r="S346" s="55"/>
    </row>
    <row r="347" spans="3:19" ht="13.5" customHeight="1">
      <c r="C347" s="55"/>
      <c r="D347" s="55"/>
      <c r="E347" s="55"/>
      <c r="F347" s="53"/>
      <c r="G347" s="55"/>
      <c r="H347" s="55"/>
      <c r="I347" s="55"/>
      <c r="J347" s="163"/>
      <c r="K347" s="55"/>
      <c r="L347" s="55"/>
      <c r="M347" s="55"/>
      <c r="N347" s="55"/>
      <c r="O347" s="55"/>
      <c r="P347" s="55"/>
      <c r="Q347" s="55"/>
      <c r="R347" s="55"/>
      <c r="S347" s="55"/>
    </row>
    <row r="348" spans="3:19" ht="13.5" customHeight="1">
      <c r="C348" s="55"/>
      <c r="D348" s="55"/>
      <c r="E348" s="55"/>
      <c r="F348" s="53"/>
      <c r="G348" s="55"/>
      <c r="H348" s="55"/>
      <c r="I348" s="55"/>
      <c r="J348" s="163"/>
      <c r="K348" s="55"/>
      <c r="L348" s="55"/>
      <c r="M348" s="55"/>
      <c r="N348" s="55"/>
      <c r="O348" s="55"/>
      <c r="P348" s="55"/>
      <c r="Q348" s="55"/>
      <c r="R348" s="55"/>
      <c r="S348" s="55"/>
    </row>
    <row r="349" spans="3:19" ht="13.5" customHeight="1">
      <c r="C349" s="55"/>
      <c r="D349" s="55"/>
      <c r="E349" s="55"/>
      <c r="F349" s="53"/>
      <c r="G349" s="55"/>
      <c r="H349" s="55"/>
      <c r="I349" s="55"/>
      <c r="J349" s="163"/>
      <c r="K349" s="55"/>
      <c r="L349" s="55"/>
      <c r="M349" s="55"/>
      <c r="N349" s="55"/>
      <c r="O349" s="55"/>
      <c r="P349" s="55"/>
      <c r="Q349" s="55"/>
      <c r="R349" s="55"/>
      <c r="S349" s="55"/>
    </row>
    <row r="350" spans="3:19" ht="13.5" customHeight="1">
      <c r="C350" s="55"/>
      <c r="D350" s="55"/>
      <c r="E350" s="55"/>
      <c r="F350" s="53"/>
      <c r="G350" s="55"/>
      <c r="H350" s="55"/>
      <c r="I350" s="55"/>
      <c r="J350" s="163"/>
      <c r="K350" s="55"/>
      <c r="L350" s="55"/>
      <c r="M350" s="55"/>
      <c r="N350" s="55"/>
      <c r="O350" s="55"/>
      <c r="P350" s="55"/>
      <c r="Q350" s="55"/>
      <c r="R350" s="55"/>
      <c r="S350" s="55"/>
    </row>
    <row r="351" spans="3:19" ht="13.5" customHeight="1">
      <c r="C351" s="55"/>
      <c r="D351" s="55"/>
      <c r="E351" s="55"/>
      <c r="F351" s="53"/>
      <c r="G351" s="55"/>
      <c r="H351" s="55"/>
      <c r="I351" s="55"/>
      <c r="J351" s="163"/>
      <c r="K351" s="55"/>
      <c r="L351" s="55"/>
      <c r="M351" s="55"/>
      <c r="N351" s="55"/>
      <c r="O351" s="55"/>
      <c r="P351" s="55"/>
      <c r="Q351" s="55"/>
      <c r="R351" s="55"/>
      <c r="S351" s="55"/>
    </row>
    <row r="352" spans="3:19" ht="13.5" customHeight="1">
      <c r="C352" s="55"/>
      <c r="D352" s="55"/>
      <c r="E352" s="55"/>
      <c r="F352" s="53"/>
      <c r="G352" s="55"/>
      <c r="H352" s="55"/>
      <c r="I352" s="55"/>
      <c r="J352" s="163"/>
      <c r="K352" s="55"/>
      <c r="L352" s="55"/>
      <c r="M352" s="55"/>
      <c r="N352" s="55"/>
      <c r="O352" s="55"/>
      <c r="P352" s="55"/>
      <c r="Q352" s="55"/>
      <c r="R352" s="55"/>
      <c r="S352" s="55"/>
    </row>
    <row r="353" spans="3:19" ht="13.5" customHeight="1">
      <c r="C353" s="55"/>
      <c r="D353" s="55"/>
      <c r="E353" s="55"/>
      <c r="F353" s="53"/>
      <c r="G353" s="55"/>
      <c r="H353" s="55"/>
      <c r="I353" s="55"/>
      <c r="J353" s="163"/>
      <c r="K353" s="55"/>
      <c r="L353" s="55"/>
      <c r="M353" s="55"/>
      <c r="N353" s="55"/>
      <c r="O353" s="55"/>
      <c r="P353" s="55"/>
      <c r="Q353" s="55"/>
      <c r="R353" s="55"/>
      <c r="S353" s="55"/>
    </row>
    <row r="354" spans="3:19" ht="13.5" customHeight="1">
      <c r="C354" s="55"/>
      <c r="D354" s="55"/>
      <c r="E354" s="55"/>
      <c r="F354" s="53"/>
      <c r="G354" s="55"/>
      <c r="H354" s="55"/>
      <c r="I354" s="55"/>
      <c r="J354" s="163"/>
      <c r="K354" s="55"/>
      <c r="L354" s="55"/>
      <c r="M354" s="55"/>
      <c r="N354" s="55"/>
      <c r="O354" s="55"/>
      <c r="P354" s="55"/>
      <c r="Q354" s="55"/>
      <c r="R354" s="55"/>
      <c r="S354" s="55"/>
    </row>
    <row r="355" spans="3:19" ht="13.5" customHeight="1">
      <c r="C355" s="55"/>
      <c r="D355" s="55"/>
      <c r="E355" s="55"/>
      <c r="F355" s="53"/>
      <c r="G355" s="55"/>
      <c r="H355" s="55"/>
      <c r="I355" s="55"/>
      <c r="J355" s="163"/>
      <c r="K355" s="55"/>
      <c r="L355" s="55"/>
      <c r="M355" s="55"/>
      <c r="N355" s="55"/>
      <c r="O355" s="55"/>
      <c r="P355" s="55"/>
      <c r="Q355" s="55"/>
      <c r="R355" s="55"/>
      <c r="S355" s="55"/>
    </row>
    <row r="356" spans="3:19" ht="13.5" customHeight="1">
      <c r="C356" s="55"/>
      <c r="D356" s="55"/>
      <c r="E356" s="55"/>
      <c r="F356" s="53"/>
      <c r="G356" s="55"/>
      <c r="H356" s="55"/>
      <c r="I356" s="55"/>
      <c r="J356" s="163"/>
      <c r="K356" s="55"/>
      <c r="L356" s="55"/>
      <c r="M356" s="55"/>
      <c r="N356" s="55"/>
      <c r="O356" s="55"/>
      <c r="P356" s="55"/>
      <c r="Q356" s="55"/>
      <c r="R356" s="55"/>
      <c r="S356" s="55"/>
    </row>
    <row r="357" spans="3:19" ht="13.5" customHeight="1">
      <c r="C357" s="55"/>
      <c r="D357" s="55"/>
      <c r="E357" s="55"/>
      <c r="F357" s="53"/>
      <c r="G357" s="55"/>
      <c r="H357" s="55"/>
      <c r="I357" s="55"/>
      <c r="J357" s="163"/>
      <c r="K357" s="55"/>
      <c r="L357" s="55"/>
      <c r="M357" s="55"/>
      <c r="N357" s="55"/>
      <c r="O357" s="55"/>
      <c r="P357" s="55"/>
      <c r="Q357" s="55"/>
      <c r="R357" s="55"/>
      <c r="S357" s="55"/>
    </row>
    <row r="358" spans="3:19" ht="13.5" customHeight="1">
      <c r="C358" s="55"/>
      <c r="D358" s="55"/>
      <c r="E358" s="55"/>
      <c r="F358" s="53"/>
      <c r="G358" s="55"/>
      <c r="H358" s="55"/>
      <c r="I358" s="55"/>
      <c r="J358" s="163"/>
      <c r="K358" s="55"/>
      <c r="L358" s="55"/>
      <c r="M358" s="55"/>
      <c r="N358" s="55"/>
      <c r="O358" s="55"/>
      <c r="P358" s="55"/>
      <c r="Q358" s="55"/>
      <c r="R358" s="55"/>
      <c r="S358" s="55"/>
    </row>
    <row r="359" spans="3:19" ht="13.5" customHeight="1">
      <c r="C359" s="55"/>
      <c r="D359" s="55"/>
      <c r="E359" s="55"/>
      <c r="F359" s="53"/>
      <c r="G359" s="55"/>
      <c r="H359" s="55"/>
      <c r="I359" s="55"/>
      <c r="J359" s="163"/>
      <c r="K359" s="55"/>
      <c r="L359" s="55"/>
      <c r="M359" s="55"/>
      <c r="N359" s="55"/>
      <c r="O359" s="55"/>
      <c r="P359" s="55"/>
      <c r="Q359" s="55"/>
      <c r="R359" s="55"/>
      <c r="S359" s="55"/>
    </row>
    <row r="360" spans="3:19" ht="13.5" customHeight="1">
      <c r="C360" s="55"/>
      <c r="D360" s="55"/>
      <c r="E360" s="55"/>
      <c r="F360" s="53"/>
      <c r="G360" s="55"/>
      <c r="H360" s="55"/>
      <c r="I360" s="55"/>
      <c r="J360" s="163"/>
      <c r="K360" s="55"/>
      <c r="L360" s="55"/>
      <c r="M360" s="55"/>
      <c r="N360" s="55"/>
      <c r="O360" s="55"/>
      <c r="P360" s="55"/>
      <c r="Q360" s="55"/>
      <c r="R360" s="55"/>
      <c r="S360" s="55"/>
    </row>
    <row r="361" spans="3:19" ht="13.5" customHeight="1">
      <c r="C361" s="55"/>
      <c r="D361" s="55"/>
      <c r="E361" s="55"/>
      <c r="F361" s="53"/>
      <c r="G361" s="55"/>
      <c r="H361" s="55"/>
      <c r="I361" s="55"/>
      <c r="J361" s="163"/>
      <c r="K361" s="55"/>
      <c r="L361" s="55"/>
      <c r="M361" s="55"/>
      <c r="N361" s="55"/>
      <c r="O361" s="55"/>
      <c r="P361" s="55"/>
      <c r="Q361" s="55"/>
      <c r="R361" s="55"/>
      <c r="S361" s="55"/>
    </row>
    <row r="362" spans="3:19" ht="13.5" customHeight="1">
      <c r="C362" s="55"/>
      <c r="D362" s="55"/>
      <c r="E362" s="55"/>
      <c r="F362" s="53"/>
      <c r="G362" s="55"/>
      <c r="H362" s="55"/>
      <c r="I362" s="55"/>
      <c r="J362" s="163"/>
      <c r="K362" s="55"/>
      <c r="L362" s="55"/>
      <c r="M362" s="55"/>
      <c r="N362" s="55"/>
      <c r="O362" s="55"/>
      <c r="P362" s="55"/>
      <c r="Q362" s="55"/>
      <c r="R362" s="55"/>
      <c r="S362" s="55"/>
    </row>
    <row r="363" spans="3:19" ht="13.5" customHeight="1">
      <c r="C363" s="55"/>
      <c r="D363" s="55"/>
      <c r="E363" s="55"/>
      <c r="F363" s="53"/>
      <c r="G363" s="55"/>
      <c r="H363" s="55"/>
      <c r="I363" s="55"/>
      <c r="J363" s="163"/>
      <c r="K363" s="55"/>
      <c r="L363" s="55"/>
      <c r="M363" s="55"/>
      <c r="N363" s="55"/>
      <c r="O363" s="55"/>
      <c r="P363" s="55"/>
      <c r="Q363" s="55"/>
      <c r="R363" s="55"/>
      <c r="S363" s="55"/>
    </row>
    <row r="364" spans="3:19" ht="13.5" customHeight="1">
      <c r="C364" s="55"/>
      <c r="D364" s="55"/>
      <c r="E364" s="55"/>
      <c r="F364" s="53"/>
      <c r="G364" s="55"/>
      <c r="H364" s="55"/>
      <c r="I364" s="55"/>
      <c r="J364" s="163"/>
      <c r="K364" s="55"/>
      <c r="L364" s="55"/>
      <c r="M364" s="55"/>
      <c r="N364" s="55"/>
      <c r="O364" s="55"/>
      <c r="P364" s="55"/>
      <c r="Q364" s="55"/>
      <c r="R364" s="55"/>
      <c r="S364" s="55"/>
    </row>
    <row r="365" spans="3:19" ht="13.5" customHeight="1">
      <c r="C365" s="55"/>
      <c r="D365" s="55"/>
      <c r="E365" s="55"/>
      <c r="F365" s="53"/>
      <c r="G365" s="55"/>
      <c r="H365" s="55"/>
      <c r="I365" s="55"/>
      <c r="J365" s="163"/>
      <c r="K365" s="55"/>
      <c r="L365" s="55"/>
      <c r="M365" s="55"/>
      <c r="N365" s="55"/>
      <c r="O365" s="55"/>
      <c r="P365" s="55"/>
      <c r="Q365" s="55"/>
      <c r="R365" s="55"/>
      <c r="S365" s="55"/>
    </row>
    <row r="366" spans="3:19" ht="13.5" customHeight="1">
      <c r="C366" s="55"/>
      <c r="D366" s="55"/>
      <c r="E366" s="55"/>
      <c r="F366" s="53"/>
      <c r="G366" s="55"/>
      <c r="H366" s="55"/>
      <c r="I366" s="55"/>
      <c r="J366" s="163"/>
      <c r="K366" s="55"/>
      <c r="L366" s="55"/>
      <c r="M366" s="55"/>
      <c r="N366" s="55"/>
      <c r="O366" s="55"/>
      <c r="P366" s="55"/>
      <c r="Q366" s="55"/>
      <c r="R366" s="55"/>
      <c r="S366" s="55"/>
    </row>
    <row r="367" spans="3:19" ht="13.5" customHeight="1">
      <c r="C367" s="55"/>
      <c r="D367" s="55"/>
      <c r="E367" s="55"/>
      <c r="F367" s="53"/>
      <c r="G367" s="55"/>
      <c r="H367" s="55"/>
      <c r="I367" s="55"/>
      <c r="J367" s="163"/>
      <c r="K367" s="55"/>
      <c r="L367" s="55"/>
      <c r="M367" s="55"/>
      <c r="N367" s="55"/>
      <c r="O367" s="55"/>
      <c r="P367" s="55"/>
      <c r="Q367" s="55"/>
      <c r="R367" s="55"/>
      <c r="S367" s="55"/>
    </row>
    <row r="368" spans="3:19" ht="13.5" customHeight="1">
      <c r="C368" s="55"/>
      <c r="D368" s="55"/>
      <c r="E368" s="55"/>
      <c r="F368" s="53"/>
      <c r="G368" s="55"/>
      <c r="H368" s="55"/>
      <c r="I368" s="55"/>
      <c r="J368" s="163"/>
      <c r="K368" s="55"/>
      <c r="L368" s="55"/>
      <c r="M368" s="55"/>
      <c r="N368" s="55"/>
      <c r="O368" s="55"/>
      <c r="P368" s="55"/>
      <c r="Q368" s="55"/>
      <c r="R368" s="55"/>
      <c r="S368" s="55"/>
    </row>
    <row r="369" spans="3:19" ht="13.5" customHeight="1">
      <c r="C369" s="55"/>
      <c r="D369" s="55"/>
      <c r="E369" s="55"/>
      <c r="F369" s="53"/>
      <c r="G369" s="55"/>
      <c r="H369" s="55"/>
      <c r="I369" s="55"/>
      <c r="J369" s="163"/>
      <c r="K369" s="55"/>
      <c r="L369" s="55"/>
      <c r="M369" s="55"/>
      <c r="N369" s="55"/>
      <c r="O369" s="55"/>
      <c r="P369" s="55"/>
      <c r="Q369" s="55"/>
      <c r="R369" s="55"/>
      <c r="S369" s="55"/>
    </row>
    <row r="370" spans="3:19" ht="13.5" customHeight="1">
      <c r="C370" s="55"/>
      <c r="D370" s="55"/>
      <c r="E370" s="55"/>
      <c r="F370" s="53"/>
      <c r="G370" s="55"/>
      <c r="H370" s="55"/>
      <c r="I370" s="55"/>
      <c r="J370" s="163"/>
      <c r="K370" s="55"/>
      <c r="L370" s="55"/>
      <c r="M370" s="55"/>
      <c r="N370" s="55"/>
      <c r="O370" s="55"/>
      <c r="P370" s="55"/>
      <c r="Q370" s="55"/>
      <c r="R370" s="55"/>
      <c r="S370" s="55"/>
    </row>
    <row r="371" spans="3:19" ht="13.5" customHeight="1">
      <c r="C371" s="55"/>
      <c r="D371" s="55"/>
      <c r="E371" s="55"/>
      <c r="F371" s="53"/>
      <c r="G371" s="55"/>
      <c r="H371" s="55"/>
      <c r="I371" s="55"/>
      <c r="J371" s="163"/>
      <c r="K371" s="55"/>
      <c r="L371" s="55"/>
      <c r="M371" s="55"/>
      <c r="N371" s="55"/>
      <c r="O371" s="55"/>
      <c r="P371" s="55"/>
      <c r="Q371" s="55"/>
      <c r="R371" s="55"/>
      <c r="S371" s="55"/>
    </row>
    <row r="372" spans="3:19" ht="13.5" customHeight="1">
      <c r="C372" s="55"/>
      <c r="D372" s="55"/>
      <c r="E372" s="55"/>
      <c r="F372" s="53"/>
      <c r="G372" s="55"/>
      <c r="H372" s="55"/>
      <c r="I372" s="55"/>
      <c r="J372" s="163"/>
      <c r="K372" s="55"/>
      <c r="L372" s="55"/>
      <c r="M372" s="55"/>
      <c r="N372" s="55"/>
      <c r="O372" s="55"/>
      <c r="P372" s="55"/>
      <c r="Q372" s="55"/>
      <c r="R372" s="55"/>
      <c r="S372" s="55"/>
    </row>
    <row r="373" spans="3:19" ht="13.5" customHeight="1">
      <c r="C373" s="55"/>
      <c r="D373" s="55"/>
      <c r="E373" s="55"/>
      <c r="F373" s="53"/>
      <c r="G373" s="55"/>
      <c r="H373" s="55"/>
      <c r="I373" s="55"/>
      <c r="J373" s="163"/>
      <c r="K373" s="55"/>
      <c r="L373" s="55"/>
      <c r="M373" s="55"/>
      <c r="N373" s="55"/>
      <c r="O373" s="55"/>
      <c r="P373" s="55"/>
      <c r="Q373" s="55"/>
      <c r="R373" s="55"/>
      <c r="S373" s="55"/>
    </row>
    <row r="374" spans="3:19" ht="13.5" customHeight="1">
      <c r="C374" s="55"/>
      <c r="D374" s="55"/>
      <c r="E374" s="55"/>
      <c r="F374" s="53"/>
      <c r="G374" s="55"/>
      <c r="H374" s="55"/>
      <c r="I374" s="55"/>
      <c r="J374" s="163"/>
      <c r="K374" s="55"/>
      <c r="L374" s="55"/>
      <c r="M374" s="55"/>
      <c r="N374" s="55"/>
      <c r="O374" s="55"/>
      <c r="P374" s="55"/>
      <c r="Q374" s="55"/>
      <c r="R374" s="55"/>
      <c r="S374" s="55"/>
    </row>
    <row r="375" spans="3:19" ht="13.5" customHeight="1">
      <c r="C375" s="55"/>
      <c r="D375" s="55"/>
      <c r="E375" s="55"/>
      <c r="F375" s="53"/>
      <c r="G375" s="55"/>
      <c r="H375" s="55"/>
      <c r="I375" s="55"/>
      <c r="J375" s="163"/>
      <c r="K375" s="55"/>
      <c r="L375" s="55"/>
      <c r="M375" s="55"/>
      <c r="N375" s="55"/>
      <c r="O375" s="55"/>
      <c r="P375" s="55"/>
      <c r="Q375" s="55"/>
      <c r="R375" s="55"/>
      <c r="S375" s="55"/>
    </row>
    <row r="376" spans="3:19" ht="13.5" customHeight="1">
      <c r="C376" s="55"/>
      <c r="D376" s="55"/>
      <c r="E376" s="55"/>
      <c r="F376" s="53"/>
      <c r="G376" s="55"/>
      <c r="H376" s="55"/>
      <c r="I376" s="55"/>
      <c r="J376" s="163"/>
      <c r="K376" s="55"/>
      <c r="L376" s="55"/>
      <c r="M376" s="55"/>
      <c r="N376" s="55"/>
      <c r="O376" s="55"/>
      <c r="P376" s="55"/>
      <c r="Q376" s="55"/>
      <c r="R376" s="55"/>
      <c r="S376" s="55"/>
    </row>
    <row r="377" spans="3:19" ht="13.5" customHeight="1">
      <c r="C377" s="55"/>
      <c r="D377" s="55"/>
      <c r="E377" s="55"/>
      <c r="F377" s="53"/>
      <c r="G377" s="55"/>
      <c r="H377" s="55"/>
      <c r="I377" s="55"/>
      <c r="J377" s="163"/>
      <c r="K377" s="55"/>
      <c r="L377" s="55"/>
      <c r="M377" s="55"/>
      <c r="N377" s="55"/>
      <c r="O377" s="55"/>
      <c r="P377" s="55"/>
      <c r="Q377" s="55"/>
      <c r="R377" s="55"/>
      <c r="S377" s="55"/>
    </row>
    <row r="378" spans="3:19" ht="13.5" customHeight="1">
      <c r="C378" s="55"/>
      <c r="D378" s="55"/>
      <c r="E378" s="55"/>
      <c r="F378" s="53"/>
      <c r="G378" s="55"/>
      <c r="H378" s="55"/>
      <c r="I378" s="55"/>
      <c r="J378" s="163"/>
      <c r="K378" s="55"/>
      <c r="L378" s="55"/>
      <c r="M378" s="55"/>
      <c r="N378" s="55"/>
      <c r="O378" s="55"/>
      <c r="P378" s="55"/>
      <c r="Q378" s="55"/>
      <c r="R378" s="55"/>
      <c r="S378" s="55"/>
    </row>
    <row r="379" spans="3:19" ht="13.5" customHeight="1">
      <c r="C379" s="55"/>
      <c r="D379" s="55"/>
      <c r="E379" s="55"/>
      <c r="F379" s="53"/>
      <c r="G379" s="55"/>
      <c r="H379" s="55"/>
      <c r="I379" s="55"/>
      <c r="J379" s="163"/>
      <c r="K379" s="55"/>
      <c r="L379" s="55"/>
      <c r="M379" s="55"/>
      <c r="N379" s="55"/>
      <c r="O379" s="55"/>
      <c r="P379" s="55"/>
      <c r="Q379" s="55"/>
      <c r="R379" s="55"/>
      <c r="S379" s="55"/>
    </row>
    <row r="380" spans="3:19" ht="13.5" customHeight="1">
      <c r="C380" s="55"/>
      <c r="D380" s="55"/>
      <c r="E380" s="55"/>
      <c r="F380" s="53"/>
      <c r="G380" s="55"/>
      <c r="H380" s="55"/>
      <c r="I380" s="55"/>
      <c r="J380" s="163"/>
      <c r="K380" s="55"/>
      <c r="L380" s="55"/>
      <c r="M380" s="55"/>
      <c r="N380" s="55"/>
      <c r="O380" s="55"/>
      <c r="P380" s="55"/>
      <c r="Q380" s="55"/>
      <c r="R380" s="55"/>
      <c r="S380" s="55"/>
    </row>
    <row r="381" spans="3:19" ht="13.5" customHeight="1">
      <c r="C381" s="55"/>
      <c r="D381" s="55"/>
      <c r="E381" s="55"/>
      <c r="F381" s="53"/>
      <c r="G381" s="55"/>
      <c r="H381" s="55"/>
      <c r="I381" s="55"/>
      <c r="J381" s="163"/>
      <c r="K381" s="55"/>
      <c r="L381" s="55"/>
      <c r="M381" s="55"/>
      <c r="N381" s="55"/>
      <c r="O381" s="55"/>
      <c r="P381" s="55"/>
      <c r="Q381" s="55"/>
      <c r="R381" s="55"/>
      <c r="S381" s="55"/>
    </row>
    <row r="382" spans="3:19" ht="13.5" customHeight="1">
      <c r="C382" s="55"/>
      <c r="D382" s="55"/>
      <c r="E382" s="55"/>
      <c r="F382" s="53"/>
      <c r="G382" s="55"/>
      <c r="H382" s="55"/>
      <c r="I382" s="55"/>
      <c r="J382" s="163"/>
      <c r="K382" s="55"/>
      <c r="L382" s="55"/>
      <c r="M382" s="55"/>
      <c r="N382" s="55"/>
      <c r="O382" s="55"/>
      <c r="P382" s="55"/>
      <c r="Q382" s="55"/>
      <c r="R382" s="55"/>
      <c r="S382" s="55"/>
    </row>
    <row r="383" spans="3:19" ht="13.5" customHeight="1">
      <c r="C383" s="55"/>
      <c r="D383" s="55"/>
      <c r="E383" s="55"/>
      <c r="F383" s="53"/>
      <c r="G383" s="55"/>
      <c r="H383" s="55"/>
      <c r="I383" s="55"/>
      <c r="J383" s="163"/>
      <c r="K383" s="55"/>
      <c r="L383" s="55"/>
      <c r="M383" s="55"/>
      <c r="N383" s="55"/>
      <c r="O383" s="55"/>
      <c r="P383" s="55"/>
      <c r="Q383" s="55"/>
      <c r="R383" s="55"/>
      <c r="S383" s="55"/>
    </row>
    <row r="384" spans="3:19" ht="13.5" customHeight="1">
      <c r="C384" s="55"/>
      <c r="D384" s="55"/>
      <c r="E384" s="55"/>
      <c r="F384" s="53"/>
      <c r="G384" s="55"/>
      <c r="H384" s="55"/>
      <c r="I384" s="55"/>
      <c r="J384" s="163"/>
      <c r="K384" s="55"/>
      <c r="L384" s="55"/>
      <c r="M384" s="55"/>
      <c r="N384" s="55"/>
      <c r="O384" s="55"/>
      <c r="P384" s="55"/>
      <c r="Q384" s="55"/>
      <c r="R384" s="55"/>
      <c r="S384" s="55"/>
    </row>
    <row r="385" spans="3:19" ht="13.5" customHeight="1">
      <c r="C385" s="55"/>
      <c r="D385" s="55"/>
      <c r="E385" s="55"/>
      <c r="F385" s="53"/>
      <c r="G385" s="55"/>
      <c r="H385" s="55"/>
      <c r="I385" s="55"/>
      <c r="J385" s="163"/>
      <c r="K385" s="55"/>
      <c r="L385" s="55"/>
      <c r="M385" s="55"/>
      <c r="N385" s="55"/>
      <c r="O385" s="55"/>
      <c r="P385" s="55"/>
      <c r="Q385" s="55"/>
      <c r="R385" s="55"/>
      <c r="S385" s="55"/>
    </row>
    <row r="386" spans="3:19" ht="13.5" customHeight="1">
      <c r="C386" s="55"/>
      <c r="D386" s="55"/>
      <c r="E386" s="55"/>
      <c r="F386" s="53"/>
      <c r="G386" s="55"/>
      <c r="H386" s="55"/>
      <c r="I386" s="55"/>
      <c r="J386" s="163"/>
      <c r="K386" s="55"/>
      <c r="L386" s="55"/>
      <c r="M386" s="55"/>
      <c r="N386" s="55"/>
      <c r="O386" s="55"/>
      <c r="P386" s="55"/>
      <c r="Q386" s="55"/>
      <c r="R386" s="55"/>
      <c r="S386" s="55"/>
    </row>
    <row r="387" spans="3:19" ht="13.5" customHeight="1">
      <c r="C387" s="55"/>
      <c r="D387" s="55"/>
      <c r="E387" s="55"/>
      <c r="F387" s="53"/>
      <c r="G387" s="55"/>
      <c r="H387" s="55"/>
      <c r="I387" s="55"/>
      <c r="J387" s="163"/>
      <c r="K387" s="55"/>
      <c r="L387" s="55"/>
      <c r="M387" s="55"/>
      <c r="N387" s="55"/>
      <c r="O387" s="55"/>
      <c r="P387" s="55"/>
      <c r="Q387" s="55"/>
      <c r="R387" s="55"/>
      <c r="S387" s="55"/>
    </row>
    <row r="388" spans="3:19" ht="13.5" customHeight="1">
      <c r="C388" s="55"/>
      <c r="D388" s="55"/>
      <c r="E388" s="55"/>
      <c r="F388" s="53"/>
      <c r="G388" s="55"/>
      <c r="H388" s="55"/>
      <c r="I388" s="55"/>
      <c r="J388" s="163"/>
      <c r="K388" s="55"/>
      <c r="L388" s="55"/>
      <c r="M388" s="55"/>
      <c r="N388" s="55"/>
      <c r="O388" s="55"/>
      <c r="P388" s="55"/>
      <c r="Q388" s="55"/>
      <c r="R388" s="55"/>
      <c r="S388" s="55"/>
    </row>
    <row r="389" spans="3:19" ht="13.5" customHeight="1">
      <c r="C389" s="55"/>
      <c r="D389" s="55"/>
      <c r="E389" s="55"/>
      <c r="F389" s="53"/>
      <c r="G389" s="55"/>
      <c r="H389" s="55"/>
      <c r="I389" s="55"/>
      <c r="J389" s="163"/>
      <c r="K389" s="55"/>
      <c r="L389" s="55"/>
      <c r="M389" s="55"/>
      <c r="N389" s="55"/>
      <c r="O389" s="55"/>
      <c r="P389" s="55"/>
      <c r="Q389" s="55"/>
      <c r="R389" s="55"/>
      <c r="S389" s="55"/>
    </row>
    <row r="390" spans="3:19" ht="13.5" customHeight="1">
      <c r="C390" s="55"/>
      <c r="D390" s="55"/>
      <c r="E390" s="55"/>
      <c r="F390" s="53"/>
      <c r="G390" s="55"/>
      <c r="H390" s="55"/>
      <c r="I390" s="55"/>
      <c r="J390" s="163"/>
      <c r="K390" s="55"/>
      <c r="L390" s="55"/>
      <c r="M390" s="55"/>
      <c r="N390" s="55"/>
      <c r="O390" s="55"/>
      <c r="P390" s="55"/>
      <c r="Q390" s="55"/>
      <c r="R390" s="55"/>
      <c r="S390" s="55"/>
    </row>
    <row r="391" spans="3:19" ht="13.5" customHeight="1">
      <c r="C391" s="55"/>
      <c r="D391" s="55"/>
      <c r="E391" s="55"/>
      <c r="F391" s="53"/>
      <c r="G391" s="55"/>
      <c r="H391" s="55"/>
      <c r="I391" s="55"/>
      <c r="J391" s="163"/>
      <c r="K391" s="55"/>
      <c r="L391" s="55"/>
      <c r="M391" s="55"/>
      <c r="N391" s="55"/>
      <c r="O391" s="55"/>
      <c r="P391" s="55"/>
      <c r="Q391" s="55"/>
      <c r="R391" s="55"/>
      <c r="S391" s="55"/>
    </row>
    <row r="392" spans="3:19" ht="13.5" customHeight="1">
      <c r="C392" s="55"/>
      <c r="D392" s="55"/>
      <c r="E392" s="55"/>
      <c r="F392" s="53"/>
      <c r="G392" s="55"/>
      <c r="H392" s="55"/>
      <c r="I392" s="55"/>
      <c r="J392" s="163"/>
      <c r="K392" s="55"/>
      <c r="L392" s="55"/>
      <c r="M392" s="55"/>
      <c r="N392" s="55"/>
      <c r="O392" s="55"/>
      <c r="P392" s="55"/>
      <c r="Q392" s="55"/>
      <c r="R392" s="55"/>
      <c r="S392" s="55"/>
    </row>
    <row r="393" spans="3:19" ht="13.5" customHeight="1">
      <c r="C393" s="55"/>
      <c r="D393" s="55"/>
      <c r="E393" s="55"/>
      <c r="F393" s="53"/>
      <c r="G393" s="55"/>
      <c r="H393" s="55"/>
      <c r="I393" s="55"/>
      <c r="J393" s="163"/>
      <c r="K393" s="55"/>
      <c r="L393" s="55"/>
      <c r="M393" s="55"/>
      <c r="N393" s="55"/>
      <c r="O393" s="55"/>
      <c r="P393" s="55"/>
      <c r="Q393" s="55"/>
      <c r="R393" s="55"/>
      <c r="S393" s="55"/>
    </row>
    <row r="394" spans="3:19" ht="13.5" customHeight="1">
      <c r="C394" s="55"/>
      <c r="D394" s="55"/>
      <c r="E394" s="55"/>
      <c r="F394" s="53"/>
      <c r="G394" s="55"/>
      <c r="H394" s="55"/>
      <c r="I394" s="55"/>
      <c r="J394" s="163"/>
      <c r="K394" s="55"/>
      <c r="L394" s="55"/>
      <c r="M394" s="55"/>
      <c r="N394" s="55"/>
      <c r="O394" s="55"/>
      <c r="P394" s="55"/>
      <c r="Q394" s="55"/>
      <c r="R394" s="55"/>
      <c r="S394" s="55"/>
    </row>
    <row r="395" spans="3:19" ht="13.5" customHeight="1">
      <c r="C395" s="55"/>
      <c r="D395" s="55"/>
      <c r="E395" s="55"/>
      <c r="F395" s="53"/>
      <c r="G395" s="55"/>
      <c r="H395" s="55"/>
      <c r="I395" s="55"/>
      <c r="J395" s="163"/>
      <c r="K395" s="55"/>
      <c r="L395" s="55"/>
      <c r="M395" s="55"/>
      <c r="N395" s="55"/>
      <c r="O395" s="55"/>
      <c r="P395" s="55"/>
      <c r="Q395" s="55"/>
      <c r="R395" s="55"/>
      <c r="S395" s="55"/>
    </row>
    <row r="396" spans="3:19" ht="13.5" customHeight="1">
      <c r="C396" s="55"/>
      <c r="D396" s="55"/>
      <c r="E396" s="55"/>
      <c r="F396" s="53"/>
      <c r="G396" s="55"/>
      <c r="H396" s="55"/>
      <c r="I396" s="55"/>
      <c r="J396" s="163"/>
      <c r="K396" s="55"/>
      <c r="L396" s="55"/>
      <c r="M396" s="55"/>
      <c r="N396" s="55"/>
      <c r="O396" s="55"/>
      <c r="P396" s="55"/>
      <c r="Q396" s="55"/>
      <c r="R396" s="55"/>
      <c r="S396" s="55"/>
    </row>
    <row r="397" spans="3:19" ht="13.5" customHeight="1">
      <c r="C397" s="55"/>
      <c r="D397" s="55"/>
      <c r="E397" s="55"/>
      <c r="F397" s="53"/>
      <c r="G397" s="55"/>
      <c r="H397" s="55"/>
      <c r="I397" s="55"/>
      <c r="J397" s="163"/>
      <c r="K397" s="55"/>
      <c r="L397" s="55"/>
      <c r="M397" s="55"/>
      <c r="N397" s="55"/>
      <c r="O397" s="55"/>
      <c r="P397" s="55"/>
      <c r="Q397" s="55"/>
      <c r="R397" s="55"/>
      <c r="S397" s="55"/>
    </row>
    <row r="398" spans="3:19" ht="13.5" customHeight="1">
      <c r="C398" s="55"/>
      <c r="D398" s="55"/>
      <c r="E398" s="55"/>
      <c r="F398" s="53"/>
      <c r="G398" s="55"/>
      <c r="H398" s="55"/>
      <c r="I398" s="55"/>
      <c r="J398" s="163"/>
      <c r="K398" s="55"/>
      <c r="L398" s="55"/>
      <c r="M398" s="55"/>
      <c r="N398" s="55"/>
      <c r="O398" s="55"/>
      <c r="P398" s="55"/>
      <c r="Q398" s="55"/>
      <c r="R398" s="55"/>
      <c r="S398" s="55"/>
    </row>
    <row r="399" spans="3:19" ht="13.5" customHeight="1">
      <c r="C399" s="55"/>
      <c r="D399" s="55"/>
      <c r="E399" s="55"/>
      <c r="F399" s="53"/>
      <c r="G399" s="55"/>
      <c r="H399" s="55"/>
      <c r="I399" s="55"/>
      <c r="J399" s="163"/>
      <c r="K399" s="55"/>
      <c r="L399" s="55"/>
      <c r="M399" s="55"/>
      <c r="N399" s="55"/>
      <c r="O399" s="55"/>
      <c r="P399" s="55"/>
      <c r="Q399" s="55"/>
      <c r="R399" s="55"/>
      <c r="S399" s="55"/>
    </row>
    <row r="400" spans="3:19" ht="13.5" customHeight="1">
      <c r="C400" s="55"/>
      <c r="D400" s="55"/>
      <c r="E400" s="55"/>
      <c r="F400" s="53"/>
      <c r="G400" s="55"/>
      <c r="H400" s="55"/>
      <c r="I400" s="55"/>
      <c r="J400" s="163"/>
      <c r="K400" s="55"/>
      <c r="L400" s="55"/>
      <c r="M400" s="55"/>
      <c r="N400" s="55"/>
      <c r="O400" s="55"/>
      <c r="P400" s="55"/>
      <c r="Q400" s="55"/>
      <c r="R400" s="55"/>
      <c r="S400" s="55"/>
    </row>
    <row r="401" spans="3:19" ht="13.5" customHeight="1">
      <c r="C401" s="55"/>
      <c r="D401" s="55"/>
      <c r="E401" s="55"/>
      <c r="F401" s="53"/>
      <c r="G401" s="55"/>
      <c r="H401" s="55"/>
      <c r="I401" s="55"/>
      <c r="J401" s="163"/>
      <c r="K401" s="55"/>
      <c r="L401" s="55"/>
      <c r="M401" s="55"/>
      <c r="N401" s="55"/>
      <c r="O401" s="55"/>
      <c r="P401" s="55"/>
      <c r="Q401" s="55"/>
      <c r="R401" s="55"/>
      <c r="S401" s="55"/>
    </row>
    <row r="402" spans="3:19" ht="13.5" customHeight="1">
      <c r="C402" s="55"/>
      <c r="D402" s="55"/>
      <c r="E402" s="55"/>
      <c r="F402" s="53"/>
      <c r="G402" s="55"/>
      <c r="H402" s="55"/>
      <c r="I402" s="55"/>
      <c r="J402" s="163"/>
      <c r="K402" s="55"/>
      <c r="L402" s="55"/>
      <c r="M402" s="55"/>
      <c r="N402" s="55"/>
      <c r="O402" s="55"/>
      <c r="P402" s="55"/>
      <c r="Q402" s="55"/>
      <c r="R402" s="55"/>
      <c r="S402" s="55"/>
    </row>
    <row r="403" spans="3:19" ht="13.5" customHeight="1">
      <c r="C403" s="55"/>
      <c r="D403" s="55"/>
      <c r="E403" s="55"/>
      <c r="F403" s="53"/>
      <c r="G403" s="55"/>
      <c r="H403" s="55"/>
      <c r="I403" s="55"/>
      <c r="J403" s="163"/>
      <c r="K403" s="55"/>
      <c r="L403" s="55"/>
      <c r="M403" s="55"/>
      <c r="N403" s="55"/>
      <c r="O403" s="55"/>
      <c r="P403" s="55"/>
      <c r="Q403" s="55"/>
      <c r="R403" s="55"/>
      <c r="S403" s="55"/>
    </row>
    <row r="404" spans="3:19" ht="13.5" customHeight="1">
      <c r="C404" s="55"/>
      <c r="D404" s="55"/>
      <c r="E404" s="55"/>
      <c r="F404" s="53"/>
      <c r="G404" s="55"/>
      <c r="H404" s="55"/>
      <c r="I404" s="55"/>
      <c r="J404" s="163"/>
      <c r="K404" s="55"/>
      <c r="L404" s="55"/>
      <c r="M404" s="55"/>
      <c r="N404" s="55"/>
      <c r="O404" s="55"/>
      <c r="P404" s="55"/>
      <c r="Q404" s="55"/>
      <c r="R404" s="55"/>
      <c r="S404" s="55"/>
    </row>
    <row r="405" spans="3:19" ht="13.5" customHeight="1">
      <c r="C405" s="55"/>
      <c r="D405" s="55"/>
      <c r="E405" s="55"/>
      <c r="F405" s="53"/>
      <c r="G405" s="55"/>
      <c r="H405" s="55"/>
      <c r="I405" s="55"/>
      <c r="J405" s="163"/>
      <c r="K405" s="55"/>
      <c r="L405" s="55"/>
      <c r="M405" s="55"/>
      <c r="N405" s="55"/>
      <c r="O405" s="55"/>
      <c r="P405" s="55"/>
      <c r="Q405" s="55"/>
      <c r="R405" s="55"/>
      <c r="S405" s="55"/>
    </row>
    <row r="406" spans="3:19" ht="13.5" customHeight="1">
      <c r="C406" s="55"/>
      <c r="D406" s="55"/>
      <c r="E406" s="55"/>
      <c r="F406" s="53"/>
      <c r="G406" s="55"/>
      <c r="H406" s="55"/>
      <c r="I406" s="55"/>
      <c r="J406" s="163"/>
      <c r="K406" s="55"/>
      <c r="L406" s="55"/>
      <c r="M406" s="55"/>
      <c r="N406" s="55"/>
      <c r="O406" s="55"/>
      <c r="P406" s="55"/>
      <c r="Q406" s="55"/>
      <c r="R406" s="55"/>
      <c r="S406" s="55"/>
    </row>
    <row r="407" spans="3:19" ht="13.5" customHeight="1">
      <c r="C407" s="55"/>
      <c r="D407" s="55"/>
      <c r="E407" s="55"/>
      <c r="F407" s="53"/>
      <c r="G407" s="55"/>
      <c r="H407" s="55"/>
      <c r="I407" s="55"/>
      <c r="J407" s="163"/>
      <c r="K407" s="55"/>
      <c r="L407" s="55"/>
      <c r="M407" s="55"/>
      <c r="N407" s="55"/>
      <c r="O407" s="55"/>
      <c r="P407" s="55"/>
      <c r="Q407" s="55"/>
      <c r="R407" s="55"/>
      <c r="S407" s="55"/>
    </row>
    <row r="408" spans="3:19" ht="13.5" customHeight="1">
      <c r="C408" s="55"/>
      <c r="D408" s="55"/>
      <c r="E408" s="55"/>
      <c r="F408" s="53"/>
      <c r="G408" s="55"/>
      <c r="H408" s="55"/>
      <c r="I408" s="55"/>
      <c r="J408" s="163"/>
      <c r="K408" s="55"/>
      <c r="L408" s="55"/>
      <c r="M408" s="55"/>
      <c r="N408" s="55"/>
      <c r="O408" s="55"/>
      <c r="P408" s="55"/>
      <c r="Q408" s="55"/>
      <c r="R408" s="55"/>
      <c r="S408" s="55"/>
    </row>
    <row r="409" spans="3:19" ht="13.5" customHeight="1">
      <c r="C409" s="55"/>
      <c r="D409" s="55"/>
      <c r="E409" s="55"/>
      <c r="F409" s="53"/>
      <c r="G409" s="55"/>
      <c r="H409" s="55"/>
      <c r="I409" s="55"/>
      <c r="J409" s="163"/>
      <c r="K409" s="55"/>
      <c r="L409" s="55"/>
      <c r="M409" s="55"/>
      <c r="N409" s="55"/>
      <c r="O409" s="55"/>
      <c r="P409" s="55"/>
      <c r="Q409" s="55"/>
      <c r="R409" s="55"/>
      <c r="S409" s="55"/>
    </row>
    <row r="410" spans="3:19" ht="13.5" customHeight="1">
      <c r="C410" s="55"/>
      <c r="D410" s="55"/>
      <c r="E410" s="55"/>
      <c r="F410" s="53"/>
      <c r="G410" s="55"/>
      <c r="H410" s="55"/>
      <c r="I410" s="55"/>
      <c r="J410" s="163"/>
      <c r="K410" s="55"/>
      <c r="L410" s="55"/>
      <c r="M410" s="55"/>
      <c r="N410" s="55"/>
      <c r="O410" s="55"/>
      <c r="P410" s="55"/>
      <c r="Q410" s="55"/>
      <c r="R410" s="55"/>
      <c r="S410" s="55"/>
    </row>
    <row r="411" spans="3:19" ht="13.5" customHeight="1">
      <c r="C411" s="55"/>
      <c r="D411" s="55"/>
      <c r="E411" s="55"/>
      <c r="F411" s="53"/>
      <c r="G411" s="55"/>
      <c r="H411" s="55"/>
      <c r="I411" s="55"/>
      <c r="J411" s="163"/>
      <c r="K411" s="55"/>
      <c r="L411" s="55"/>
      <c r="M411" s="55"/>
      <c r="N411" s="55"/>
      <c r="O411" s="55"/>
      <c r="P411" s="55"/>
      <c r="Q411" s="55"/>
      <c r="R411" s="55"/>
      <c r="S411" s="55"/>
    </row>
    <row r="412" spans="3:19" ht="13.5" customHeight="1">
      <c r="C412" s="55"/>
      <c r="D412" s="55"/>
      <c r="E412" s="55"/>
      <c r="F412" s="53"/>
      <c r="G412" s="55"/>
      <c r="H412" s="55"/>
      <c r="I412" s="55"/>
      <c r="J412" s="163"/>
      <c r="K412" s="55"/>
      <c r="L412" s="55"/>
      <c r="M412" s="55"/>
      <c r="N412" s="55"/>
      <c r="O412" s="55"/>
      <c r="P412" s="55"/>
      <c r="Q412" s="55"/>
      <c r="R412" s="55"/>
      <c r="S412" s="55"/>
    </row>
    <row r="413" spans="3:19" ht="13.5" customHeight="1">
      <c r="C413" s="55"/>
      <c r="D413" s="55"/>
      <c r="E413" s="55"/>
      <c r="F413" s="53"/>
      <c r="G413" s="55"/>
      <c r="H413" s="55"/>
      <c r="I413" s="55"/>
      <c r="J413" s="163"/>
      <c r="K413" s="55"/>
      <c r="L413" s="55"/>
      <c r="M413" s="55"/>
      <c r="N413" s="55"/>
      <c r="O413" s="55"/>
      <c r="P413" s="55"/>
      <c r="Q413" s="55"/>
      <c r="R413" s="55"/>
      <c r="S413" s="55"/>
    </row>
    <row r="414" spans="3:19" ht="13.5" customHeight="1">
      <c r="C414" s="55"/>
      <c r="D414" s="55"/>
      <c r="E414" s="55"/>
      <c r="F414" s="53"/>
      <c r="G414" s="55"/>
      <c r="H414" s="55"/>
      <c r="I414" s="55"/>
      <c r="J414" s="163"/>
      <c r="K414" s="55"/>
      <c r="L414" s="55"/>
      <c r="M414" s="55"/>
      <c r="N414" s="55"/>
      <c r="O414" s="55"/>
      <c r="P414" s="55"/>
      <c r="Q414" s="55"/>
      <c r="R414" s="55"/>
      <c r="S414" s="55"/>
    </row>
    <row r="415" spans="3:19" ht="13.5" customHeight="1">
      <c r="C415" s="55"/>
      <c r="D415" s="55"/>
      <c r="E415" s="55"/>
      <c r="F415" s="53"/>
      <c r="G415" s="55"/>
      <c r="H415" s="55"/>
      <c r="I415" s="55"/>
      <c r="J415" s="163"/>
      <c r="K415" s="55"/>
      <c r="L415" s="55"/>
      <c r="M415" s="55"/>
      <c r="N415" s="55"/>
      <c r="O415" s="55"/>
      <c r="P415" s="55"/>
      <c r="Q415" s="55"/>
      <c r="R415" s="55"/>
      <c r="S415" s="55"/>
    </row>
    <row r="416" spans="3:19" ht="13.5" customHeight="1">
      <c r="C416" s="55"/>
      <c r="D416" s="55"/>
      <c r="E416" s="55"/>
      <c r="F416" s="53"/>
      <c r="G416" s="55"/>
      <c r="H416" s="55"/>
      <c r="I416" s="55"/>
      <c r="J416" s="163"/>
      <c r="K416" s="55"/>
      <c r="L416" s="55"/>
      <c r="M416" s="55"/>
      <c r="N416" s="55"/>
      <c r="O416" s="55"/>
      <c r="P416" s="55"/>
      <c r="Q416" s="55"/>
      <c r="R416" s="55"/>
      <c r="S416" s="55"/>
    </row>
    <row r="417" spans="3:19" ht="13.5" customHeight="1">
      <c r="C417" s="55"/>
      <c r="D417" s="55"/>
      <c r="E417" s="55"/>
      <c r="F417" s="53"/>
      <c r="G417" s="55"/>
      <c r="H417" s="55"/>
      <c r="I417" s="55"/>
      <c r="J417" s="163"/>
      <c r="K417" s="55"/>
      <c r="L417" s="55"/>
      <c r="M417" s="55"/>
      <c r="N417" s="55"/>
      <c r="O417" s="55"/>
      <c r="P417" s="55"/>
      <c r="Q417" s="55"/>
      <c r="R417" s="55"/>
      <c r="S417" s="55"/>
    </row>
    <row r="418" spans="3:19" ht="13.5" customHeight="1">
      <c r="C418" s="55"/>
      <c r="D418" s="55"/>
      <c r="E418" s="55"/>
      <c r="F418" s="53"/>
      <c r="G418" s="55"/>
      <c r="H418" s="55"/>
      <c r="I418" s="55"/>
      <c r="J418" s="163"/>
      <c r="K418" s="55"/>
      <c r="L418" s="55"/>
      <c r="M418" s="55"/>
      <c r="N418" s="55"/>
      <c r="O418" s="55"/>
      <c r="P418" s="55"/>
      <c r="Q418" s="55"/>
      <c r="R418" s="55"/>
      <c r="S418" s="55"/>
    </row>
    <row r="419" spans="3:19" ht="13.5" customHeight="1">
      <c r="C419" s="55"/>
      <c r="D419" s="55"/>
      <c r="E419" s="55"/>
      <c r="F419" s="53"/>
      <c r="G419" s="55"/>
      <c r="H419" s="55"/>
      <c r="I419" s="55"/>
      <c r="J419" s="163"/>
      <c r="K419" s="55"/>
      <c r="L419" s="55"/>
      <c r="M419" s="55"/>
      <c r="N419" s="55"/>
      <c r="O419" s="55"/>
      <c r="P419" s="55"/>
      <c r="Q419" s="55"/>
      <c r="R419" s="55"/>
      <c r="S419" s="55"/>
    </row>
    <row r="420" spans="3:19" ht="13.5" customHeight="1">
      <c r="C420" s="55"/>
      <c r="D420" s="55"/>
      <c r="E420" s="55"/>
      <c r="F420" s="53"/>
      <c r="G420" s="55"/>
      <c r="H420" s="55"/>
      <c r="I420" s="55"/>
      <c r="J420" s="163"/>
      <c r="K420" s="55"/>
      <c r="L420" s="55"/>
      <c r="M420" s="55"/>
      <c r="N420" s="55"/>
      <c r="O420" s="55"/>
      <c r="P420" s="55"/>
      <c r="Q420" s="55"/>
      <c r="R420" s="55"/>
      <c r="S420" s="55"/>
    </row>
    <row r="421" spans="3:19" ht="13.5" customHeight="1">
      <c r="C421" s="55"/>
      <c r="D421" s="55"/>
      <c r="E421" s="55"/>
      <c r="F421" s="53"/>
      <c r="G421" s="55"/>
      <c r="H421" s="55"/>
      <c r="I421" s="55"/>
      <c r="J421" s="163"/>
      <c r="K421" s="55"/>
      <c r="L421" s="55"/>
      <c r="M421" s="55"/>
      <c r="N421" s="55"/>
      <c r="O421" s="55"/>
      <c r="P421" s="55"/>
      <c r="Q421" s="55"/>
      <c r="R421" s="55"/>
      <c r="S421" s="55"/>
    </row>
    <row r="422" spans="3:19" ht="13.5" customHeight="1">
      <c r="C422" s="55"/>
      <c r="D422" s="55"/>
      <c r="E422" s="55"/>
      <c r="F422" s="53"/>
      <c r="G422" s="55"/>
      <c r="H422" s="55"/>
      <c r="I422" s="55"/>
      <c r="J422" s="163"/>
      <c r="K422" s="55"/>
      <c r="L422" s="55"/>
      <c r="M422" s="55"/>
      <c r="N422" s="55"/>
      <c r="O422" s="55"/>
      <c r="P422" s="55"/>
      <c r="Q422" s="55"/>
      <c r="R422" s="55"/>
      <c r="S422" s="55"/>
    </row>
    <row r="423" spans="3:19" ht="13.5" customHeight="1">
      <c r="C423" s="55"/>
      <c r="D423" s="55"/>
      <c r="E423" s="55"/>
      <c r="F423" s="53"/>
      <c r="G423" s="55"/>
      <c r="H423" s="55"/>
      <c r="I423" s="55"/>
      <c r="J423" s="163"/>
      <c r="K423" s="55"/>
      <c r="L423" s="55"/>
      <c r="M423" s="55"/>
      <c r="N423" s="55"/>
      <c r="O423" s="55"/>
      <c r="P423" s="55"/>
      <c r="Q423" s="55"/>
      <c r="R423" s="55"/>
      <c r="S423" s="55"/>
    </row>
    <row r="424" spans="3:19" ht="13.5" customHeight="1">
      <c r="C424" s="55"/>
      <c r="D424" s="55"/>
      <c r="E424" s="55"/>
      <c r="F424" s="53"/>
      <c r="G424" s="55"/>
      <c r="H424" s="55"/>
      <c r="I424" s="55"/>
      <c r="J424" s="163"/>
      <c r="K424" s="55"/>
      <c r="L424" s="55"/>
      <c r="M424" s="55"/>
      <c r="N424" s="55"/>
      <c r="O424" s="55"/>
      <c r="P424" s="55"/>
      <c r="Q424" s="55"/>
      <c r="R424" s="55"/>
      <c r="S424" s="55"/>
    </row>
    <row r="425" spans="3:19" ht="13.5" customHeight="1">
      <c r="C425" s="55"/>
      <c r="D425" s="55"/>
      <c r="E425" s="55"/>
      <c r="F425" s="53"/>
      <c r="G425" s="55"/>
      <c r="H425" s="55"/>
      <c r="I425" s="55"/>
      <c r="J425" s="163"/>
      <c r="K425" s="55"/>
      <c r="L425" s="55"/>
      <c r="M425" s="55"/>
      <c r="N425" s="55"/>
      <c r="O425" s="55"/>
      <c r="P425" s="55"/>
      <c r="Q425" s="55"/>
      <c r="R425" s="55"/>
      <c r="S425" s="55"/>
    </row>
    <row r="426" spans="3:19" ht="13.5" customHeight="1">
      <c r="C426" s="55"/>
      <c r="D426" s="55"/>
      <c r="E426" s="55"/>
      <c r="F426" s="53"/>
      <c r="G426" s="55"/>
      <c r="H426" s="55"/>
      <c r="I426" s="55"/>
      <c r="J426" s="163"/>
      <c r="K426" s="55"/>
      <c r="L426" s="55"/>
      <c r="M426" s="55"/>
      <c r="N426" s="55"/>
      <c r="O426" s="55"/>
      <c r="P426" s="55"/>
      <c r="Q426" s="55"/>
      <c r="R426" s="55"/>
      <c r="S426" s="55"/>
    </row>
    <row r="427" spans="3:19" ht="13.5" customHeight="1">
      <c r="C427" s="55"/>
      <c r="D427" s="55"/>
      <c r="E427" s="55"/>
      <c r="F427" s="53"/>
      <c r="G427" s="55"/>
      <c r="H427" s="55"/>
      <c r="I427" s="55"/>
      <c r="J427" s="163"/>
      <c r="K427" s="55"/>
      <c r="L427" s="55"/>
      <c r="M427" s="55"/>
      <c r="N427" s="55"/>
      <c r="O427" s="55"/>
      <c r="P427" s="55"/>
      <c r="Q427" s="55"/>
      <c r="R427" s="55"/>
      <c r="S427" s="55"/>
    </row>
    <row r="428" spans="3:19" ht="13.5" customHeight="1">
      <c r="C428" s="55"/>
      <c r="D428" s="55"/>
      <c r="E428" s="55"/>
      <c r="F428" s="53"/>
      <c r="G428" s="55"/>
      <c r="H428" s="55"/>
      <c r="I428" s="55"/>
      <c r="J428" s="163"/>
      <c r="K428" s="55"/>
      <c r="L428" s="55"/>
      <c r="M428" s="55"/>
      <c r="N428" s="55"/>
      <c r="O428" s="55"/>
      <c r="P428" s="55"/>
      <c r="Q428" s="55"/>
      <c r="R428" s="55"/>
      <c r="S428" s="55"/>
    </row>
    <row r="429" spans="3:19" ht="13.5" customHeight="1">
      <c r="C429" s="55"/>
      <c r="D429" s="55"/>
      <c r="E429" s="55"/>
      <c r="F429" s="53"/>
      <c r="G429" s="55"/>
      <c r="H429" s="55"/>
      <c r="I429" s="55"/>
      <c r="J429" s="163"/>
      <c r="K429" s="55"/>
      <c r="L429" s="55"/>
      <c r="M429" s="55"/>
      <c r="N429" s="55"/>
      <c r="O429" s="55"/>
      <c r="P429" s="55"/>
      <c r="Q429" s="55"/>
      <c r="R429" s="55"/>
      <c r="S429" s="55"/>
    </row>
    <row r="430" spans="3:19" ht="13.5" customHeight="1">
      <c r="C430" s="55"/>
      <c r="D430" s="55"/>
      <c r="E430" s="55"/>
      <c r="F430" s="53"/>
      <c r="G430" s="55"/>
      <c r="H430" s="55"/>
      <c r="I430" s="55"/>
      <c r="J430" s="163"/>
      <c r="K430" s="55"/>
      <c r="L430" s="55"/>
      <c r="M430" s="55"/>
      <c r="N430" s="55"/>
      <c r="O430" s="55"/>
      <c r="P430" s="55"/>
      <c r="Q430" s="55"/>
      <c r="R430" s="55"/>
      <c r="S430" s="55"/>
    </row>
    <row r="431" spans="3:19" ht="13.5" customHeight="1">
      <c r="C431" s="55"/>
      <c r="D431" s="55"/>
      <c r="E431" s="55"/>
      <c r="F431" s="53"/>
      <c r="G431" s="55"/>
      <c r="H431" s="55"/>
      <c r="I431" s="55"/>
      <c r="J431" s="163"/>
      <c r="K431" s="55"/>
      <c r="L431" s="55"/>
      <c r="M431" s="55"/>
      <c r="N431" s="55"/>
      <c r="O431" s="55"/>
      <c r="P431" s="55"/>
      <c r="Q431" s="55"/>
      <c r="R431" s="55"/>
      <c r="S431" s="55"/>
    </row>
    <row r="432" spans="3:19" ht="13.5" customHeight="1">
      <c r="C432" s="55"/>
      <c r="D432" s="55"/>
      <c r="E432" s="55"/>
      <c r="F432" s="53"/>
      <c r="G432" s="55"/>
      <c r="H432" s="55"/>
      <c r="I432" s="55"/>
      <c r="J432" s="163"/>
      <c r="K432" s="55"/>
      <c r="L432" s="55"/>
      <c r="M432" s="55"/>
      <c r="N432" s="55"/>
      <c r="O432" s="55"/>
      <c r="P432" s="55"/>
      <c r="Q432" s="55"/>
      <c r="R432" s="55"/>
      <c r="S432" s="55"/>
    </row>
    <row r="433" spans="3:19" ht="13.5" customHeight="1">
      <c r="C433" s="55"/>
      <c r="D433" s="55"/>
      <c r="E433" s="55"/>
      <c r="F433" s="53"/>
      <c r="G433" s="55"/>
      <c r="H433" s="55"/>
      <c r="I433" s="55"/>
      <c r="J433" s="163"/>
      <c r="K433" s="55"/>
      <c r="L433" s="55"/>
      <c r="M433" s="55"/>
      <c r="N433" s="55"/>
      <c r="O433" s="55"/>
      <c r="P433" s="55"/>
      <c r="Q433" s="55"/>
      <c r="R433" s="55"/>
      <c r="S433" s="55"/>
    </row>
    <row r="434" spans="3:19" ht="13.5" customHeight="1">
      <c r="C434" s="55"/>
      <c r="D434" s="55"/>
      <c r="E434" s="55"/>
      <c r="F434" s="53"/>
      <c r="G434" s="55"/>
      <c r="H434" s="55"/>
      <c r="I434" s="55"/>
      <c r="J434" s="163"/>
      <c r="K434" s="55"/>
      <c r="L434" s="55"/>
      <c r="M434" s="55"/>
      <c r="N434" s="55"/>
      <c r="O434" s="55"/>
      <c r="P434" s="55"/>
      <c r="Q434" s="55"/>
      <c r="R434" s="55"/>
      <c r="S434" s="55"/>
    </row>
    <row r="435" spans="3:19" ht="13.5" customHeight="1">
      <c r="C435" s="55"/>
      <c r="D435" s="55"/>
      <c r="E435" s="55"/>
      <c r="F435" s="53"/>
      <c r="G435" s="55"/>
      <c r="H435" s="55"/>
      <c r="I435" s="55"/>
      <c r="J435" s="163"/>
      <c r="K435" s="55"/>
      <c r="L435" s="55"/>
      <c r="M435" s="55"/>
      <c r="N435" s="55"/>
      <c r="O435" s="55"/>
      <c r="P435" s="55"/>
      <c r="Q435" s="55"/>
      <c r="R435" s="55"/>
      <c r="S435" s="55"/>
    </row>
    <row r="436" spans="3:19" ht="13.5" customHeight="1">
      <c r="C436" s="55"/>
      <c r="D436" s="55"/>
      <c r="E436" s="55"/>
      <c r="F436" s="53"/>
      <c r="G436" s="55"/>
      <c r="H436" s="55"/>
      <c r="I436" s="55"/>
      <c r="J436" s="163"/>
      <c r="K436" s="55"/>
      <c r="L436" s="55"/>
      <c r="M436" s="55"/>
      <c r="N436" s="55"/>
      <c r="O436" s="55"/>
      <c r="P436" s="55"/>
      <c r="Q436" s="55"/>
      <c r="R436" s="55"/>
      <c r="S436" s="55"/>
    </row>
    <row r="437" spans="3:19" ht="13.5" customHeight="1">
      <c r="C437" s="55"/>
      <c r="D437" s="55"/>
      <c r="E437" s="55"/>
      <c r="F437" s="53"/>
      <c r="G437" s="55"/>
      <c r="H437" s="55"/>
      <c r="I437" s="55"/>
      <c r="J437" s="163"/>
      <c r="K437" s="55"/>
      <c r="L437" s="55"/>
      <c r="M437" s="55"/>
      <c r="N437" s="55"/>
      <c r="O437" s="55"/>
      <c r="P437" s="55"/>
      <c r="Q437" s="55"/>
      <c r="R437" s="55"/>
      <c r="S437" s="55"/>
    </row>
    <row r="438" spans="3:19" ht="13.5" customHeight="1">
      <c r="C438" s="55"/>
      <c r="D438" s="55"/>
      <c r="E438" s="55"/>
      <c r="F438" s="53"/>
      <c r="G438" s="55"/>
      <c r="H438" s="55"/>
      <c r="I438" s="55"/>
      <c r="J438" s="163"/>
      <c r="K438" s="55"/>
      <c r="L438" s="55"/>
      <c r="M438" s="55"/>
      <c r="N438" s="55"/>
      <c r="O438" s="55"/>
      <c r="P438" s="55"/>
      <c r="Q438" s="55"/>
      <c r="R438" s="55"/>
      <c r="S438" s="55"/>
    </row>
    <row r="439" spans="3:19" ht="13.5" customHeight="1">
      <c r="C439" s="55"/>
      <c r="D439" s="55"/>
      <c r="E439" s="55"/>
      <c r="F439" s="53"/>
      <c r="G439" s="55"/>
      <c r="H439" s="55"/>
      <c r="I439" s="55"/>
      <c r="J439" s="163"/>
      <c r="K439" s="55"/>
      <c r="L439" s="55"/>
      <c r="M439" s="55"/>
      <c r="N439" s="55"/>
      <c r="O439" s="55"/>
      <c r="P439" s="55"/>
      <c r="Q439" s="55"/>
      <c r="R439" s="55"/>
      <c r="S439" s="55"/>
    </row>
    <row r="440" spans="3:19" ht="13.5" customHeight="1">
      <c r="C440" s="55"/>
      <c r="D440" s="55"/>
      <c r="E440" s="55"/>
      <c r="F440" s="53"/>
      <c r="G440" s="55"/>
      <c r="H440" s="55"/>
      <c r="I440" s="55"/>
      <c r="J440" s="163"/>
      <c r="K440" s="55"/>
      <c r="L440" s="55"/>
      <c r="M440" s="55"/>
      <c r="N440" s="55"/>
      <c r="O440" s="55"/>
      <c r="P440" s="55"/>
      <c r="Q440" s="55"/>
      <c r="R440" s="55"/>
      <c r="S440" s="55"/>
    </row>
    <row r="441" spans="3:19" ht="13.5" customHeight="1">
      <c r="C441" s="55"/>
      <c r="D441" s="55"/>
      <c r="E441" s="55"/>
      <c r="F441" s="53"/>
      <c r="G441" s="55"/>
      <c r="H441" s="55"/>
      <c r="I441" s="55"/>
      <c r="J441" s="163"/>
      <c r="K441" s="55"/>
      <c r="L441" s="55"/>
      <c r="M441" s="55"/>
      <c r="N441" s="55"/>
      <c r="O441" s="55"/>
      <c r="P441" s="55"/>
      <c r="Q441" s="55"/>
      <c r="R441" s="55"/>
      <c r="S441" s="55"/>
    </row>
    <row r="442" spans="3:19" ht="13.5" customHeight="1">
      <c r="C442" s="55"/>
      <c r="D442" s="55"/>
      <c r="E442" s="55"/>
      <c r="F442" s="53"/>
      <c r="G442" s="55"/>
      <c r="H442" s="55"/>
      <c r="I442" s="55"/>
      <c r="J442" s="163"/>
      <c r="K442" s="55"/>
      <c r="L442" s="55"/>
      <c r="M442" s="55"/>
      <c r="N442" s="55"/>
      <c r="O442" s="55"/>
      <c r="P442" s="55"/>
      <c r="Q442" s="55"/>
      <c r="R442" s="55"/>
      <c r="S442" s="55"/>
    </row>
    <row r="443" spans="3:19" ht="13.5" customHeight="1">
      <c r="C443" s="55"/>
      <c r="D443" s="55"/>
      <c r="E443" s="55"/>
      <c r="F443" s="53"/>
      <c r="G443" s="55"/>
      <c r="H443" s="55"/>
      <c r="I443" s="55"/>
      <c r="J443" s="163"/>
      <c r="K443" s="55"/>
      <c r="L443" s="55"/>
      <c r="M443" s="55"/>
      <c r="N443" s="55"/>
      <c r="O443" s="55"/>
      <c r="P443" s="55"/>
      <c r="Q443" s="55"/>
      <c r="R443" s="55"/>
      <c r="S443" s="55"/>
    </row>
    <row r="444" spans="3:19" ht="13.5" customHeight="1">
      <c r="C444" s="55"/>
      <c r="D444" s="55"/>
      <c r="E444" s="55"/>
      <c r="F444" s="53"/>
      <c r="G444" s="55"/>
      <c r="H444" s="55"/>
      <c r="I444" s="55"/>
      <c r="J444" s="163"/>
      <c r="K444" s="55"/>
      <c r="L444" s="55"/>
      <c r="M444" s="55"/>
      <c r="N444" s="55"/>
      <c r="O444" s="55"/>
      <c r="P444" s="55"/>
      <c r="Q444" s="55"/>
      <c r="R444" s="55"/>
      <c r="S444" s="55"/>
    </row>
    <row r="445" spans="3:19" ht="13.5" customHeight="1">
      <c r="C445" s="55"/>
      <c r="D445" s="55"/>
      <c r="E445" s="55"/>
      <c r="F445" s="53"/>
      <c r="G445" s="55"/>
      <c r="H445" s="55"/>
      <c r="I445" s="55"/>
      <c r="J445" s="163"/>
      <c r="K445" s="55"/>
      <c r="L445" s="55"/>
      <c r="M445" s="55"/>
      <c r="N445" s="55"/>
      <c r="O445" s="55"/>
      <c r="P445" s="55"/>
      <c r="Q445" s="55"/>
      <c r="R445" s="55"/>
      <c r="S445" s="55"/>
    </row>
    <row r="446" spans="3:19" ht="13.5" customHeight="1">
      <c r="C446" s="55"/>
      <c r="D446" s="55"/>
      <c r="E446" s="55"/>
      <c r="F446" s="53"/>
      <c r="G446" s="55"/>
      <c r="H446" s="55"/>
      <c r="I446" s="55"/>
      <c r="J446" s="163"/>
      <c r="K446" s="55"/>
      <c r="L446" s="55"/>
      <c r="M446" s="55"/>
      <c r="N446" s="55"/>
      <c r="O446" s="55"/>
      <c r="P446" s="55"/>
      <c r="Q446" s="55"/>
      <c r="R446" s="55"/>
      <c r="S446" s="55"/>
    </row>
    <row r="447" spans="3:19" ht="13.5" customHeight="1">
      <c r="C447" s="55"/>
      <c r="D447" s="55"/>
      <c r="E447" s="55"/>
      <c r="F447" s="53"/>
      <c r="G447" s="55"/>
      <c r="H447" s="55"/>
      <c r="I447" s="55"/>
      <c r="J447" s="163"/>
      <c r="K447" s="55"/>
      <c r="L447" s="55"/>
      <c r="M447" s="55"/>
      <c r="N447" s="55"/>
      <c r="O447" s="55"/>
      <c r="P447" s="55"/>
      <c r="Q447" s="55"/>
      <c r="R447" s="55"/>
      <c r="S447" s="55"/>
    </row>
    <row r="448" spans="3:19" ht="13.5" customHeight="1">
      <c r="C448" s="55"/>
      <c r="D448" s="55"/>
      <c r="E448" s="55"/>
      <c r="F448" s="53"/>
      <c r="G448" s="55"/>
      <c r="H448" s="55"/>
      <c r="I448" s="55"/>
      <c r="J448" s="163"/>
      <c r="K448" s="55"/>
      <c r="L448" s="55"/>
      <c r="M448" s="55"/>
      <c r="N448" s="55"/>
      <c r="O448" s="55"/>
      <c r="P448" s="55"/>
      <c r="Q448" s="55"/>
      <c r="R448" s="55"/>
      <c r="S448" s="55"/>
    </row>
    <row r="449" spans="3:19" ht="13.5" customHeight="1">
      <c r="C449" s="55"/>
      <c r="D449" s="55"/>
      <c r="E449" s="55"/>
      <c r="F449" s="53"/>
      <c r="G449" s="55"/>
      <c r="H449" s="55"/>
      <c r="I449" s="55"/>
      <c r="J449" s="163"/>
      <c r="K449" s="55"/>
      <c r="L449" s="55"/>
      <c r="M449" s="55"/>
      <c r="N449" s="55"/>
      <c r="O449" s="55"/>
      <c r="P449" s="55"/>
      <c r="Q449" s="55"/>
      <c r="R449" s="55"/>
      <c r="S449" s="55"/>
    </row>
    <row r="450" spans="3:19" ht="13.5" customHeight="1">
      <c r="C450" s="55"/>
      <c r="D450" s="55"/>
      <c r="E450" s="55"/>
      <c r="F450" s="53"/>
      <c r="G450" s="55"/>
      <c r="H450" s="55"/>
      <c r="I450" s="55"/>
      <c r="J450" s="163"/>
      <c r="K450" s="55"/>
      <c r="L450" s="55"/>
      <c r="M450" s="55"/>
      <c r="N450" s="55"/>
      <c r="O450" s="55"/>
      <c r="P450" s="55"/>
      <c r="Q450" s="55"/>
      <c r="R450" s="55"/>
      <c r="S450" s="55"/>
    </row>
    <row r="451" spans="3:19" ht="13.5" customHeight="1">
      <c r="C451" s="55"/>
      <c r="D451" s="55"/>
      <c r="E451" s="55"/>
      <c r="F451" s="53"/>
      <c r="G451" s="55"/>
      <c r="H451" s="55"/>
      <c r="I451" s="55"/>
      <c r="J451" s="163"/>
      <c r="K451" s="55"/>
      <c r="L451" s="55"/>
      <c r="M451" s="55"/>
      <c r="N451" s="55"/>
      <c r="O451" s="55"/>
      <c r="P451" s="55"/>
      <c r="Q451" s="55"/>
      <c r="R451" s="55"/>
      <c r="S451" s="55"/>
    </row>
    <row r="452" spans="3:19" ht="13.5" customHeight="1">
      <c r="C452" s="55"/>
      <c r="D452" s="55"/>
      <c r="E452" s="55"/>
      <c r="F452" s="53"/>
      <c r="G452" s="55"/>
      <c r="H452" s="55"/>
      <c r="I452" s="55"/>
      <c r="J452" s="163"/>
      <c r="K452" s="55"/>
      <c r="L452" s="55"/>
      <c r="M452" s="55"/>
      <c r="N452" s="55"/>
      <c r="O452" s="55"/>
      <c r="P452" s="55"/>
      <c r="Q452" s="55"/>
      <c r="R452" s="55"/>
      <c r="S452" s="55"/>
    </row>
    <row r="453" spans="3:19" ht="13.5" customHeight="1">
      <c r="C453" s="55"/>
      <c r="D453" s="55"/>
      <c r="E453" s="55"/>
      <c r="F453" s="53"/>
      <c r="G453" s="55"/>
      <c r="H453" s="55"/>
      <c r="I453" s="55"/>
      <c r="J453" s="163"/>
      <c r="K453" s="55"/>
      <c r="L453" s="55"/>
      <c r="M453" s="55"/>
      <c r="N453" s="55"/>
      <c r="O453" s="55"/>
      <c r="P453" s="55"/>
      <c r="Q453" s="55"/>
      <c r="R453" s="55"/>
      <c r="S453" s="55"/>
    </row>
    <row r="454" spans="3:19" ht="13.5" customHeight="1">
      <c r="C454" s="55"/>
      <c r="D454" s="55"/>
      <c r="E454" s="55"/>
      <c r="F454" s="53"/>
      <c r="G454" s="55"/>
      <c r="H454" s="55"/>
      <c r="I454" s="55"/>
      <c r="J454" s="163"/>
      <c r="K454" s="55"/>
      <c r="L454" s="55"/>
      <c r="M454" s="55"/>
      <c r="N454" s="55"/>
      <c r="O454" s="55"/>
      <c r="P454" s="55"/>
      <c r="Q454" s="55"/>
      <c r="R454" s="55"/>
      <c r="S454" s="55"/>
    </row>
    <row r="455" spans="3:19" ht="13.5" customHeight="1">
      <c r="C455" s="55"/>
      <c r="D455" s="55"/>
      <c r="E455" s="55"/>
      <c r="F455" s="53"/>
      <c r="G455" s="55"/>
      <c r="H455" s="55"/>
      <c r="I455" s="55"/>
      <c r="J455" s="163"/>
      <c r="K455" s="55"/>
      <c r="L455" s="55"/>
      <c r="M455" s="55"/>
      <c r="N455" s="55"/>
      <c r="O455" s="55"/>
      <c r="P455" s="55"/>
      <c r="Q455" s="55"/>
      <c r="R455" s="55"/>
      <c r="S455" s="55"/>
    </row>
    <row r="456" spans="3:19" ht="13.5" customHeight="1">
      <c r="C456" s="55"/>
      <c r="D456" s="55"/>
      <c r="E456" s="55"/>
      <c r="F456" s="53"/>
      <c r="G456" s="55"/>
      <c r="H456" s="55"/>
      <c r="I456" s="55"/>
      <c r="J456" s="163"/>
      <c r="K456" s="55"/>
      <c r="L456" s="55"/>
      <c r="M456" s="55"/>
      <c r="N456" s="55"/>
      <c r="O456" s="55"/>
      <c r="P456" s="55"/>
      <c r="Q456" s="55"/>
      <c r="R456" s="55"/>
      <c r="S456" s="55"/>
    </row>
    <row r="457" spans="3:19" ht="13.5" customHeight="1">
      <c r="C457" s="55"/>
      <c r="D457" s="55"/>
      <c r="E457" s="55"/>
      <c r="F457" s="53"/>
      <c r="G457" s="55"/>
      <c r="H457" s="55"/>
      <c r="I457" s="55"/>
      <c r="J457" s="163"/>
      <c r="K457" s="55"/>
      <c r="L457" s="55"/>
      <c r="M457" s="55"/>
      <c r="N457" s="55"/>
      <c r="O457" s="55"/>
      <c r="P457" s="55"/>
      <c r="Q457" s="55"/>
      <c r="R457" s="55"/>
      <c r="S457" s="55"/>
    </row>
    <row r="458" spans="3:19" ht="13.5" customHeight="1">
      <c r="C458" s="55"/>
      <c r="D458" s="55"/>
      <c r="E458" s="55"/>
      <c r="F458" s="53"/>
      <c r="G458" s="55"/>
      <c r="H458" s="55"/>
      <c r="I458" s="55"/>
      <c r="J458" s="163"/>
      <c r="K458" s="55"/>
      <c r="L458" s="55"/>
      <c r="M458" s="55"/>
      <c r="N458" s="55"/>
      <c r="O458" s="55"/>
      <c r="P458" s="55"/>
      <c r="Q458" s="55"/>
      <c r="R458" s="55"/>
      <c r="S458" s="55"/>
    </row>
    <row r="459" spans="3:19" ht="13.5" customHeight="1">
      <c r="C459" s="55"/>
      <c r="D459" s="55"/>
      <c r="E459" s="55"/>
      <c r="F459" s="53"/>
      <c r="G459" s="55"/>
      <c r="H459" s="55"/>
      <c r="I459" s="55"/>
      <c r="J459" s="163"/>
      <c r="K459" s="55"/>
      <c r="L459" s="55"/>
      <c r="M459" s="55"/>
      <c r="N459" s="55"/>
      <c r="O459" s="55"/>
      <c r="P459" s="55"/>
      <c r="Q459" s="55"/>
      <c r="R459" s="55"/>
      <c r="S459" s="55"/>
    </row>
    <row r="460" spans="3:19" ht="13.5" customHeight="1">
      <c r="C460" s="55"/>
      <c r="D460" s="55"/>
      <c r="E460" s="55"/>
      <c r="F460" s="53"/>
      <c r="G460" s="55"/>
      <c r="H460" s="55"/>
      <c r="I460" s="55"/>
      <c r="J460" s="163"/>
      <c r="K460" s="55"/>
      <c r="L460" s="55"/>
      <c r="M460" s="55"/>
      <c r="N460" s="55"/>
      <c r="O460" s="55"/>
      <c r="P460" s="55"/>
      <c r="Q460" s="55"/>
      <c r="R460" s="55"/>
      <c r="S460" s="55"/>
    </row>
    <row r="461" spans="3:19" ht="13.5" customHeight="1">
      <c r="C461" s="55"/>
      <c r="D461" s="55"/>
      <c r="E461" s="55"/>
      <c r="F461" s="53"/>
      <c r="G461" s="55"/>
      <c r="H461" s="55"/>
      <c r="I461" s="55"/>
      <c r="J461" s="163"/>
      <c r="K461" s="55"/>
      <c r="L461" s="55"/>
      <c r="M461" s="55"/>
      <c r="N461" s="55"/>
      <c r="O461" s="55"/>
      <c r="P461" s="55"/>
      <c r="Q461" s="55"/>
      <c r="R461" s="55"/>
      <c r="S461" s="55"/>
    </row>
    <row r="462" spans="3:19" ht="13.5" customHeight="1">
      <c r="C462" s="55"/>
      <c r="D462" s="55"/>
      <c r="E462" s="55"/>
      <c r="F462" s="53"/>
      <c r="G462" s="55"/>
      <c r="H462" s="55"/>
      <c r="I462" s="55"/>
      <c r="J462" s="163"/>
      <c r="K462" s="55"/>
      <c r="L462" s="55"/>
      <c r="M462" s="55"/>
      <c r="N462" s="55"/>
      <c r="O462" s="55"/>
      <c r="P462" s="55"/>
      <c r="Q462" s="55"/>
      <c r="R462" s="55"/>
      <c r="S462" s="55"/>
    </row>
    <row r="463" spans="3:19" ht="13.5" customHeight="1">
      <c r="C463" s="55"/>
      <c r="D463" s="55"/>
      <c r="E463" s="55"/>
      <c r="F463" s="53"/>
      <c r="G463" s="55"/>
      <c r="H463" s="55"/>
      <c r="I463" s="55"/>
      <c r="J463" s="163"/>
      <c r="K463" s="55"/>
      <c r="L463" s="55"/>
      <c r="M463" s="55"/>
      <c r="N463" s="55"/>
      <c r="O463" s="55"/>
      <c r="P463" s="55"/>
      <c r="Q463" s="55"/>
      <c r="R463" s="55"/>
      <c r="S463" s="55"/>
    </row>
    <row r="464" spans="3:19" ht="13.5" customHeight="1">
      <c r="C464" s="55"/>
      <c r="D464" s="55"/>
      <c r="E464" s="55"/>
      <c r="F464" s="53"/>
      <c r="G464" s="55"/>
      <c r="H464" s="55"/>
      <c r="I464" s="55"/>
      <c r="J464" s="163"/>
      <c r="K464" s="55"/>
      <c r="L464" s="55"/>
      <c r="M464" s="55"/>
      <c r="N464" s="55"/>
      <c r="O464" s="55"/>
      <c r="P464" s="55"/>
      <c r="Q464" s="55"/>
      <c r="R464" s="55"/>
      <c r="S464" s="55"/>
    </row>
    <row r="465" spans="3:19" ht="13.5" customHeight="1">
      <c r="C465" s="55"/>
      <c r="D465" s="55"/>
      <c r="E465" s="55"/>
      <c r="F465" s="53"/>
      <c r="G465" s="55"/>
      <c r="H465" s="55"/>
      <c r="I465" s="55"/>
      <c r="J465" s="163"/>
      <c r="K465" s="55"/>
      <c r="L465" s="55"/>
      <c r="M465" s="55"/>
      <c r="N465" s="55"/>
      <c r="O465" s="55"/>
      <c r="P465" s="55"/>
      <c r="Q465" s="55"/>
      <c r="R465" s="55"/>
      <c r="S465" s="55"/>
    </row>
    <row r="466" spans="3:19" ht="13.5" customHeight="1">
      <c r="C466" s="55"/>
      <c r="D466" s="55"/>
      <c r="E466" s="55"/>
      <c r="F466" s="53"/>
      <c r="G466" s="55"/>
      <c r="H466" s="55"/>
      <c r="I466" s="55"/>
      <c r="J466" s="163"/>
      <c r="K466" s="55"/>
      <c r="L466" s="55"/>
      <c r="M466" s="55"/>
      <c r="N466" s="55"/>
      <c r="O466" s="55"/>
      <c r="P466" s="55"/>
      <c r="Q466" s="55"/>
      <c r="R466" s="55"/>
      <c r="S466" s="55"/>
    </row>
    <row r="467" spans="3:19" ht="13.5" customHeight="1">
      <c r="C467" s="55"/>
      <c r="D467" s="55"/>
      <c r="E467" s="55"/>
      <c r="F467" s="53"/>
      <c r="G467" s="55"/>
      <c r="H467" s="55"/>
      <c r="I467" s="55"/>
      <c r="J467" s="163"/>
      <c r="K467" s="55"/>
      <c r="L467" s="55"/>
      <c r="M467" s="55"/>
      <c r="N467" s="55"/>
      <c r="O467" s="55"/>
      <c r="P467" s="55"/>
      <c r="Q467" s="55"/>
      <c r="R467" s="55"/>
      <c r="S467" s="55"/>
    </row>
    <row r="468" spans="3:19" ht="13.5" customHeight="1">
      <c r="C468" s="55"/>
      <c r="D468" s="55"/>
      <c r="E468" s="55"/>
      <c r="F468" s="53"/>
      <c r="G468" s="55"/>
      <c r="H468" s="55"/>
      <c r="I468" s="55"/>
      <c r="J468" s="163"/>
      <c r="K468" s="55"/>
      <c r="L468" s="55"/>
      <c r="M468" s="55"/>
      <c r="N468" s="55"/>
      <c r="O468" s="55"/>
      <c r="P468" s="55"/>
      <c r="Q468" s="55"/>
      <c r="R468" s="55"/>
      <c r="S468" s="55"/>
    </row>
    <row r="469" spans="3:19" ht="13.5" customHeight="1">
      <c r="C469" s="55"/>
      <c r="D469" s="55"/>
      <c r="E469" s="55"/>
      <c r="F469" s="53"/>
      <c r="G469" s="55"/>
      <c r="H469" s="55"/>
      <c r="I469" s="55"/>
      <c r="J469" s="163"/>
      <c r="K469" s="55"/>
      <c r="L469" s="55"/>
      <c r="M469" s="55"/>
      <c r="N469" s="55"/>
      <c r="O469" s="55"/>
      <c r="P469" s="55"/>
      <c r="Q469" s="55"/>
      <c r="R469" s="55"/>
      <c r="S469" s="55"/>
    </row>
    <row r="470" spans="3:19" ht="13.5" customHeight="1">
      <c r="C470" s="55"/>
      <c r="D470" s="55"/>
      <c r="E470" s="55"/>
      <c r="F470" s="53"/>
      <c r="G470" s="55"/>
      <c r="H470" s="55"/>
      <c r="I470" s="55"/>
      <c r="J470" s="163"/>
      <c r="K470" s="55"/>
      <c r="L470" s="55"/>
      <c r="M470" s="55"/>
      <c r="N470" s="55"/>
      <c r="O470" s="55"/>
      <c r="P470" s="55"/>
      <c r="Q470" s="55"/>
      <c r="R470" s="55"/>
      <c r="S470" s="55"/>
    </row>
    <row r="471" spans="3:19" ht="13.5" customHeight="1">
      <c r="C471" s="55"/>
      <c r="D471" s="55"/>
      <c r="E471" s="55"/>
      <c r="F471" s="53"/>
      <c r="G471" s="55"/>
      <c r="H471" s="55"/>
      <c r="I471" s="55"/>
      <c r="J471" s="163"/>
      <c r="K471" s="55"/>
      <c r="L471" s="55"/>
      <c r="M471" s="55"/>
      <c r="N471" s="55"/>
      <c r="O471" s="55"/>
      <c r="P471" s="55"/>
      <c r="Q471" s="55"/>
      <c r="R471" s="55"/>
      <c r="S471" s="55"/>
    </row>
    <row r="472" spans="3:19" ht="13.5" customHeight="1">
      <c r="C472" s="55"/>
      <c r="D472" s="55"/>
      <c r="E472" s="55"/>
      <c r="F472" s="53"/>
      <c r="G472" s="55"/>
      <c r="H472" s="55"/>
      <c r="I472" s="55"/>
      <c r="J472" s="163"/>
      <c r="K472" s="55"/>
      <c r="L472" s="55"/>
      <c r="M472" s="55"/>
      <c r="N472" s="55"/>
      <c r="O472" s="55"/>
      <c r="P472" s="55"/>
      <c r="Q472" s="55"/>
      <c r="R472" s="55"/>
      <c r="S472" s="55"/>
    </row>
    <row r="473" spans="3:19" ht="13.5" customHeight="1">
      <c r="C473" s="55"/>
      <c r="D473" s="55"/>
      <c r="E473" s="55"/>
      <c r="F473" s="53"/>
      <c r="G473" s="55"/>
      <c r="H473" s="55"/>
      <c r="I473" s="55"/>
      <c r="J473" s="163"/>
      <c r="K473" s="55"/>
      <c r="L473" s="55"/>
      <c r="M473" s="55"/>
      <c r="N473" s="55"/>
      <c r="O473" s="55"/>
      <c r="P473" s="55"/>
      <c r="Q473" s="55"/>
      <c r="R473" s="55"/>
      <c r="S473" s="55"/>
    </row>
    <row r="474" spans="3:19" ht="13.5" customHeight="1">
      <c r="C474" s="55"/>
      <c r="D474" s="55"/>
      <c r="E474" s="55"/>
      <c r="F474" s="53"/>
      <c r="G474" s="55"/>
      <c r="H474" s="55"/>
      <c r="I474" s="55"/>
      <c r="J474" s="163"/>
      <c r="K474" s="55"/>
      <c r="L474" s="55"/>
      <c r="M474" s="55"/>
      <c r="N474" s="55"/>
      <c r="O474" s="55"/>
      <c r="P474" s="55"/>
      <c r="Q474" s="55"/>
      <c r="R474" s="55"/>
      <c r="S474" s="55"/>
    </row>
    <row r="475" spans="3:19" ht="13.5" customHeight="1">
      <c r="C475" s="55"/>
      <c r="D475" s="55"/>
      <c r="E475" s="55"/>
      <c r="F475" s="53"/>
      <c r="G475" s="55"/>
      <c r="H475" s="55"/>
      <c r="I475" s="55"/>
      <c r="J475" s="163"/>
      <c r="K475" s="55"/>
      <c r="L475" s="55"/>
      <c r="M475" s="55"/>
      <c r="N475" s="55"/>
      <c r="O475" s="55"/>
      <c r="P475" s="55"/>
      <c r="Q475" s="55"/>
      <c r="R475" s="55"/>
      <c r="S475" s="55"/>
    </row>
    <row r="476" spans="3:19" ht="13.5" customHeight="1">
      <c r="C476" s="55"/>
      <c r="D476" s="55"/>
      <c r="E476" s="55"/>
      <c r="F476" s="53"/>
      <c r="G476" s="55"/>
      <c r="H476" s="55"/>
      <c r="I476" s="55"/>
      <c r="J476" s="163"/>
      <c r="K476" s="55"/>
      <c r="L476" s="55"/>
      <c r="M476" s="55"/>
      <c r="N476" s="55"/>
      <c r="O476" s="55"/>
      <c r="P476" s="55"/>
      <c r="Q476" s="55"/>
      <c r="R476" s="55"/>
      <c r="S476" s="55"/>
    </row>
    <row r="477" spans="3:19" ht="13.5" customHeight="1">
      <c r="C477" s="55"/>
      <c r="D477" s="55"/>
      <c r="E477" s="55"/>
      <c r="F477" s="53"/>
      <c r="G477" s="55"/>
      <c r="H477" s="55"/>
      <c r="I477" s="55"/>
      <c r="J477" s="163"/>
      <c r="K477" s="55"/>
      <c r="L477" s="55"/>
      <c r="M477" s="55"/>
      <c r="N477" s="55"/>
      <c r="O477" s="55"/>
      <c r="P477" s="55"/>
      <c r="Q477" s="55"/>
      <c r="R477" s="55"/>
      <c r="S477" s="55"/>
    </row>
    <row r="478" spans="3:19" ht="13.5" customHeight="1">
      <c r="C478" s="55"/>
      <c r="D478" s="55"/>
      <c r="E478" s="55"/>
      <c r="F478" s="53"/>
      <c r="G478" s="55"/>
      <c r="H478" s="55"/>
      <c r="I478" s="55"/>
      <c r="J478" s="163"/>
      <c r="K478" s="55"/>
      <c r="L478" s="55"/>
      <c r="M478" s="55"/>
      <c r="N478" s="55"/>
      <c r="O478" s="55"/>
      <c r="P478" s="55"/>
      <c r="Q478" s="55"/>
      <c r="R478" s="55"/>
      <c r="S478" s="55"/>
    </row>
    <row r="479" spans="3:19" ht="13.5" customHeight="1">
      <c r="C479" s="55"/>
      <c r="D479" s="55"/>
      <c r="E479" s="55"/>
      <c r="F479" s="53"/>
      <c r="G479" s="55"/>
      <c r="H479" s="55"/>
      <c r="I479" s="55"/>
      <c r="J479" s="163"/>
      <c r="K479" s="55"/>
      <c r="L479" s="55"/>
      <c r="M479" s="55"/>
      <c r="N479" s="55"/>
      <c r="O479" s="55"/>
      <c r="P479" s="55"/>
      <c r="Q479" s="55"/>
      <c r="R479" s="55"/>
      <c r="S479" s="55"/>
    </row>
    <row r="480" spans="3:19" ht="13.5" customHeight="1">
      <c r="C480" s="55"/>
      <c r="D480" s="55"/>
      <c r="E480" s="55"/>
      <c r="F480" s="53"/>
      <c r="G480" s="55"/>
      <c r="H480" s="55"/>
      <c r="I480" s="55"/>
      <c r="J480" s="163"/>
      <c r="K480" s="55"/>
      <c r="L480" s="55"/>
      <c r="M480" s="55"/>
      <c r="N480" s="55"/>
      <c r="O480" s="55"/>
      <c r="P480" s="55"/>
      <c r="Q480" s="55"/>
      <c r="R480" s="55"/>
      <c r="S480" s="55"/>
    </row>
    <row r="481" spans="3:19" ht="13.5" customHeight="1">
      <c r="C481" s="55"/>
      <c r="D481" s="55"/>
      <c r="E481" s="55"/>
      <c r="F481" s="53"/>
      <c r="G481" s="55"/>
      <c r="H481" s="55"/>
      <c r="I481" s="55"/>
      <c r="J481" s="163"/>
      <c r="K481" s="55"/>
      <c r="L481" s="55"/>
      <c r="M481" s="55"/>
      <c r="N481" s="55"/>
      <c r="O481" s="55"/>
      <c r="P481" s="55"/>
      <c r="Q481" s="55"/>
      <c r="R481" s="55"/>
      <c r="S481" s="55"/>
    </row>
    <row r="482" spans="3:19" ht="13.5" customHeight="1">
      <c r="C482" s="55"/>
      <c r="D482" s="55"/>
      <c r="E482" s="55"/>
      <c r="F482" s="53"/>
      <c r="G482" s="55"/>
      <c r="H482" s="55"/>
      <c r="I482" s="55"/>
      <c r="J482" s="163"/>
      <c r="K482" s="55"/>
      <c r="L482" s="55"/>
      <c r="M482" s="55"/>
      <c r="N482" s="55"/>
      <c r="O482" s="55"/>
      <c r="P482" s="55"/>
      <c r="Q482" s="55"/>
      <c r="R482" s="55"/>
      <c r="S482" s="55"/>
    </row>
    <row r="483" spans="3:19" ht="13.5" customHeight="1">
      <c r="C483" s="55"/>
      <c r="D483" s="55"/>
      <c r="E483" s="55"/>
      <c r="F483" s="53"/>
      <c r="G483" s="55"/>
      <c r="H483" s="55"/>
      <c r="I483" s="55"/>
      <c r="J483" s="163"/>
      <c r="K483" s="55"/>
      <c r="L483" s="55"/>
      <c r="M483" s="55"/>
      <c r="N483" s="55"/>
      <c r="O483" s="55"/>
      <c r="P483" s="55"/>
      <c r="Q483" s="55"/>
      <c r="R483" s="55"/>
      <c r="S483" s="55"/>
    </row>
    <row r="484" spans="3:19" ht="13.5" customHeight="1">
      <c r="C484" s="55"/>
      <c r="D484" s="55"/>
      <c r="E484" s="55"/>
      <c r="F484" s="53"/>
      <c r="G484" s="55"/>
      <c r="H484" s="55"/>
      <c r="I484" s="55"/>
      <c r="J484" s="163"/>
      <c r="K484" s="55"/>
      <c r="L484" s="55"/>
      <c r="M484" s="55"/>
      <c r="N484" s="55"/>
      <c r="O484" s="55"/>
      <c r="P484" s="55"/>
      <c r="Q484" s="55"/>
      <c r="R484" s="55"/>
      <c r="S484" s="55"/>
    </row>
    <row r="485" spans="3:19" ht="13.5" customHeight="1">
      <c r="C485" s="55"/>
      <c r="D485" s="55"/>
      <c r="E485" s="55"/>
      <c r="F485" s="53"/>
      <c r="G485" s="55"/>
      <c r="H485" s="55"/>
      <c r="I485" s="55"/>
      <c r="J485" s="163"/>
      <c r="K485" s="55"/>
      <c r="L485" s="55"/>
      <c r="M485" s="55"/>
      <c r="N485" s="55"/>
      <c r="O485" s="55"/>
      <c r="P485" s="55"/>
      <c r="Q485" s="55"/>
      <c r="R485" s="55"/>
      <c r="S485" s="55"/>
    </row>
    <row r="486" spans="3:19" ht="13.5" customHeight="1">
      <c r="C486" s="55"/>
      <c r="D486" s="55"/>
      <c r="E486" s="55"/>
      <c r="F486" s="53"/>
      <c r="G486" s="55"/>
      <c r="H486" s="55"/>
      <c r="I486" s="55"/>
      <c r="J486" s="163"/>
      <c r="K486" s="55"/>
      <c r="L486" s="55"/>
      <c r="M486" s="55"/>
      <c r="N486" s="55"/>
      <c r="O486" s="55"/>
      <c r="P486" s="55"/>
      <c r="Q486" s="55"/>
      <c r="R486" s="55"/>
      <c r="S486" s="55"/>
    </row>
    <row r="487" spans="3:19" ht="13.5" customHeight="1">
      <c r="C487" s="55"/>
      <c r="D487" s="55"/>
      <c r="E487" s="55"/>
      <c r="F487" s="53"/>
      <c r="G487" s="55"/>
      <c r="H487" s="55"/>
      <c r="I487" s="55"/>
      <c r="J487" s="163"/>
      <c r="K487" s="55"/>
      <c r="L487" s="55"/>
      <c r="M487" s="55"/>
      <c r="N487" s="55"/>
      <c r="O487" s="55"/>
      <c r="P487" s="55"/>
      <c r="Q487" s="55"/>
      <c r="R487" s="55"/>
      <c r="S487" s="55"/>
    </row>
    <row r="488" spans="3:19" ht="13.5" customHeight="1">
      <c r="C488" s="55"/>
      <c r="D488" s="55"/>
      <c r="E488" s="55"/>
      <c r="F488" s="53"/>
      <c r="G488" s="55"/>
      <c r="H488" s="55"/>
      <c r="I488" s="55"/>
      <c r="J488" s="163"/>
      <c r="K488" s="55"/>
      <c r="L488" s="55"/>
      <c r="M488" s="55"/>
      <c r="N488" s="55"/>
      <c r="O488" s="55"/>
      <c r="P488" s="55"/>
      <c r="Q488" s="55"/>
      <c r="R488" s="55"/>
      <c r="S488" s="55"/>
    </row>
    <row r="489" spans="3:19" ht="13.5" customHeight="1">
      <c r="C489" s="55"/>
      <c r="D489" s="55"/>
      <c r="E489" s="55"/>
      <c r="F489" s="53"/>
      <c r="G489" s="55"/>
      <c r="H489" s="55"/>
      <c r="I489" s="55"/>
      <c r="J489" s="163"/>
      <c r="K489" s="55"/>
      <c r="L489" s="55"/>
      <c r="M489" s="55"/>
      <c r="N489" s="55"/>
      <c r="O489" s="55"/>
      <c r="P489" s="55"/>
      <c r="Q489" s="55"/>
      <c r="R489" s="55"/>
      <c r="S489" s="55"/>
    </row>
    <row r="490" spans="3:19" ht="13.5" customHeight="1">
      <c r="C490" s="55"/>
      <c r="D490" s="55"/>
      <c r="E490" s="55"/>
      <c r="F490" s="53"/>
      <c r="G490" s="55"/>
      <c r="H490" s="55"/>
      <c r="I490" s="55"/>
      <c r="J490" s="163"/>
      <c r="K490" s="55"/>
      <c r="L490" s="55"/>
      <c r="M490" s="55"/>
      <c r="N490" s="55"/>
      <c r="O490" s="55"/>
      <c r="P490" s="55"/>
      <c r="Q490" s="55"/>
      <c r="R490" s="55"/>
      <c r="S490" s="55"/>
    </row>
    <row r="491" spans="3:19" ht="13.5" customHeight="1">
      <c r="C491" s="55"/>
      <c r="D491" s="55"/>
      <c r="E491" s="55"/>
      <c r="F491" s="53"/>
      <c r="G491" s="55"/>
      <c r="H491" s="55"/>
      <c r="I491" s="55"/>
      <c r="J491" s="163"/>
      <c r="K491" s="55"/>
      <c r="L491" s="55"/>
      <c r="M491" s="55"/>
      <c r="N491" s="55"/>
      <c r="O491" s="55"/>
      <c r="P491" s="55"/>
      <c r="Q491" s="55"/>
      <c r="R491" s="55"/>
      <c r="S491" s="55"/>
    </row>
    <row r="492" spans="3:19" ht="13.5" customHeight="1">
      <c r="C492" s="55"/>
      <c r="D492" s="55"/>
      <c r="E492" s="55"/>
      <c r="F492" s="53"/>
      <c r="G492" s="55"/>
      <c r="H492" s="55"/>
      <c r="I492" s="55"/>
      <c r="J492" s="163"/>
      <c r="K492" s="55"/>
      <c r="L492" s="55"/>
      <c r="M492" s="55"/>
      <c r="N492" s="55"/>
      <c r="O492" s="55"/>
      <c r="P492" s="55"/>
      <c r="Q492" s="55"/>
      <c r="R492" s="55"/>
      <c r="S492" s="55"/>
    </row>
    <row r="493" spans="3:19" ht="13.5" customHeight="1">
      <c r="C493" s="55"/>
      <c r="D493" s="55"/>
      <c r="E493" s="55"/>
      <c r="F493" s="53"/>
      <c r="G493" s="55"/>
      <c r="H493" s="55"/>
      <c r="I493" s="55"/>
      <c r="J493" s="163"/>
      <c r="K493" s="55"/>
      <c r="L493" s="55"/>
      <c r="M493" s="55"/>
      <c r="N493" s="55"/>
      <c r="O493" s="55"/>
      <c r="P493" s="55"/>
      <c r="Q493" s="55"/>
      <c r="R493" s="55"/>
      <c r="S493" s="55"/>
    </row>
    <row r="494" spans="3:19" ht="13.5" customHeight="1">
      <c r="C494" s="55"/>
      <c r="D494" s="55"/>
      <c r="E494" s="55"/>
      <c r="F494" s="53"/>
      <c r="G494" s="55"/>
      <c r="H494" s="55"/>
      <c r="I494" s="55"/>
      <c r="J494" s="163"/>
      <c r="K494" s="55"/>
      <c r="L494" s="55"/>
      <c r="M494" s="55"/>
      <c r="N494" s="55"/>
      <c r="O494" s="55"/>
      <c r="P494" s="55"/>
      <c r="Q494" s="55"/>
      <c r="R494" s="55"/>
      <c r="S494" s="55"/>
    </row>
    <row r="495" spans="3:19" ht="13.5" customHeight="1">
      <c r="C495" s="55"/>
      <c r="D495" s="55"/>
      <c r="E495" s="55"/>
      <c r="F495" s="53"/>
      <c r="G495" s="55"/>
      <c r="H495" s="55"/>
      <c r="I495" s="55"/>
      <c r="J495" s="163"/>
      <c r="K495" s="55"/>
      <c r="L495" s="55"/>
      <c r="M495" s="55"/>
      <c r="N495" s="55"/>
      <c r="O495" s="55"/>
      <c r="P495" s="55"/>
      <c r="Q495" s="55"/>
      <c r="R495" s="55"/>
      <c r="S495" s="55"/>
    </row>
    <row r="496" spans="3:19" ht="13.5" customHeight="1">
      <c r="C496" s="55"/>
      <c r="D496" s="55"/>
      <c r="E496" s="55"/>
      <c r="F496" s="53"/>
      <c r="G496" s="55"/>
      <c r="H496" s="55"/>
      <c r="I496" s="55"/>
      <c r="J496" s="163"/>
      <c r="K496" s="55"/>
      <c r="L496" s="55"/>
      <c r="M496" s="55"/>
      <c r="N496" s="55"/>
      <c r="O496" s="55"/>
      <c r="P496" s="55"/>
      <c r="Q496" s="55"/>
      <c r="R496" s="55"/>
      <c r="S496" s="55"/>
    </row>
    <row r="497" spans="3:19" ht="13.5" customHeight="1">
      <c r="C497" s="55"/>
      <c r="D497" s="55"/>
      <c r="E497" s="55"/>
      <c r="F497" s="53"/>
      <c r="G497" s="55"/>
      <c r="H497" s="55"/>
      <c r="I497" s="55"/>
      <c r="J497" s="163"/>
      <c r="K497" s="55"/>
      <c r="L497" s="55"/>
      <c r="M497" s="55"/>
      <c r="N497" s="55"/>
      <c r="O497" s="55"/>
      <c r="P497" s="55"/>
      <c r="Q497" s="55"/>
      <c r="R497" s="55"/>
      <c r="S497" s="55"/>
    </row>
    <row r="498" spans="3:19" ht="13.5" customHeight="1">
      <c r="C498" s="55"/>
      <c r="D498" s="55"/>
      <c r="E498" s="55"/>
      <c r="F498" s="53"/>
      <c r="G498" s="55"/>
      <c r="H498" s="55"/>
      <c r="I498" s="55"/>
      <c r="J498" s="163"/>
      <c r="K498" s="55"/>
      <c r="L498" s="55"/>
      <c r="M498" s="55"/>
      <c r="N498" s="55"/>
      <c r="O498" s="55"/>
      <c r="P498" s="55"/>
      <c r="Q498" s="55"/>
      <c r="R498" s="55"/>
      <c r="S498" s="55"/>
    </row>
    <row r="499" spans="3:19" ht="13.5" customHeight="1">
      <c r="C499" s="55"/>
      <c r="D499" s="55"/>
      <c r="E499" s="55"/>
      <c r="F499" s="53"/>
      <c r="G499" s="55"/>
      <c r="H499" s="55"/>
      <c r="I499" s="55"/>
      <c r="J499" s="163"/>
      <c r="K499" s="55"/>
      <c r="L499" s="55"/>
      <c r="M499" s="55"/>
      <c r="N499" s="55"/>
      <c r="O499" s="55"/>
      <c r="P499" s="55"/>
      <c r="Q499" s="55"/>
      <c r="R499" s="55"/>
      <c r="S499" s="55"/>
    </row>
    <row r="500" spans="3:19" ht="13.5" customHeight="1">
      <c r="C500" s="55"/>
      <c r="D500" s="55"/>
      <c r="E500" s="55"/>
      <c r="F500" s="53"/>
      <c r="G500" s="55"/>
      <c r="H500" s="55"/>
      <c r="I500" s="55"/>
      <c r="J500" s="163"/>
      <c r="K500" s="55"/>
      <c r="L500" s="55"/>
      <c r="M500" s="55"/>
      <c r="N500" s="55"/>
      <c r="O500" s="55"/>
      <c r="P500" s="55"/>
      <c r="Q500" s="55"/>
      <c r="R500" s="55"/>
      <c r="S500" s="55"/>
    </row>
    <row r="501" spans="3:19" ht="13.5" customHeight="1">
      <c r="C501" s="55"/>
      <c r="D501" s="55"/>
      <c r="E501" s="55"/>
      <c r="F501" s="53"/>
      <c r="G501" s="55"/>
      <c r="H501" s="55"/>
      <c r="I501" s="55"/>
      <c r="J501" s="163"/>
      <c r="K501" s="55"/>
      <c r="L501" s="55"/>
      <c r="M501" s="55"/>
      <c r="N501" s="55"/>
      <c r="O501" s="55"/>
      <c r="P501" s="55"/>
      <c r="Q501" s="55"/>
      <c r="R501" s="55"/>
      <c r="S501" s="55"/>
    </row>
    <row r="502" spans="3:19" ht="13.5" customHeight="1">
      <c r="C502" s="55"/>
      <c r="D502" s="55"/>
      <c r="E502" s="55"/>
      <c r="F502" s="53"/>
      <c r="G502" s="55"/>
      <c r="H502" s="55"/>
      <c r="I502" s="55"/>
      <c r="J502" s="163"/>
      <c r="K502" s="55"/>
      <c r="L502" s="55"/>
      <c r="M502" s="55"/>
      <c r="N502" s="55"/>
      <c r="O502" s="55"/>
      <c r="P502" s="55"/>
      <c r="Q502" s="55"/>
      <c r="R502" s="55"/>
      <c r="S502" s="55"/>
    </row>
    <row r="503" spans="3:19" ht="13.5" customHeight="1">
      <c r="C503" s="55"/>
      <c r="D503" s="55"/>
      <c r="E503" s="55"/>
      <c r="F503" s="53"/>
      <c r="G503" s="55"/>
      <c r="H503" s="55"/>
      <c r="I503" s="55"/>
      <c r="J503" s="163"/>
      <c r="K503" s="55"/>
      <c r="L503" s="55"/>
      <c r="M503" s="55"/>
      <c r="N503" s="55"/>
      <c r="O503" s="55"/>
      <c r="P503" s="55"/>
      <c r="Q503" s="55"/>
      <c r="R503" s="55"/>
      <c r="S503" s="55"/>
    </row>
    <row r="504" spans="3:19" ht="13.5" customHeight="1">
      <c r="C504" s="55"/>
      <c r="D504" s="55"/>
      <c r="E504" s="55"/>
      <c r="F504" s="53"/>
      <c r="G504" s="55"/>
      <c r="H504" s="55"/>
      <c r="I504" s="55"/>
      <c r="J504" s="163"/>
      <c r="K504" s="55"/>
      <c r="L504" s="55"/>
      <c r="M504" s="55"/>
      <c r="N504" s="55"/>
      <c r="O504" s="55"/>
      <c r="P504" s="55"/>
      <c r="Q504" s="55"/>
      <c r="R504" s="55"/>
      <c r="S504" s="55"/>
    </row>
    <row r="505" spans="3:19" ht="13.5" customHeight="1">
      <c r="C505" s="55"/>
      <c r="D505" s="55"/>
      <c r="E505" s="55"/>
      <c r="F505" s="53"/>
      <c r="G505" s="55"/>
      <c r="H505" s="55"/>
      <c r="I505" s="55"/>
      <c r="J505" s="163"/>
      <c r="K505" s="55"/>
      <c r="L505" s="55"/>
      <c r="M505" s="55"/>
      <c r="N505" s="55"/>
      <c r="O505" s="55"/>
      <c r="P505" s="55"/>
      <c r="Q505" s="55"/>
      <c r="R505" s="55"/>
      <c r="S505" s="55"/>
    </row>
    <row r="506" spans="3:19" ht="13.5" customHeight="1">
      <c r="C506" s="55"/>
      <c r="D506" s="55"/>
      <c r="E506" s="55"/>
      <c r="F506" s="53"/>
      <c r="G506" s="55"/>
      <c r="H506" s="55"/>
      <c r="I506" s="55"/>
      <c r="J506" s="163"/>
      <c r="K506" s="55"/>
      <c r="L506" s="55"/>
      <c r="M506" s="55"/>
      <c r="N506" s="55"/>
      <c r="O506" s="55"/>
      <c r="P506" s="55"/>
      <c r="Q506" s="55"/>
      <c r="R506" s="55"/>
      <c r="S506" s="55"/>
    </row>
    <row r="507" spans="3:19" ht="13.5" customHeight="1">
      <c r="C507" s="55"/>
      <c r="D507" s="55"/>
      <c r="E507" s="55"/>
      <c r="F507" s="53"/>
      <c r="G507" s="55"/>
      <c r="H507" s="55"/>
      <c r="I507" s="55"/>
      <c r="J507" s="163"/>
      <c r="K507" s="55"/>
      <c r="L507" s="55"/>
      <c r="M507" s="55"/>
      <c r="N507" s="55"/>
      <c r="O507" s="55"/>
      <c r="P507" s="55"/>
      <c r="Q507" s="55"/>
      <c r="R507" s="55"/>
      <c r="S507" s="55"/>
    </row>
    <row r="508" spans="3:19" ht="13.5" customHeight="1">
      <c r="C508" s="55"/>
      <c r="D508" s="55"/>
      <c r="E508" s="55"/>
      <c r="F508" s="53"/>
      <c r="G508" s="55"/>
      <c r="H508" s="55"/>
      <c r="I508" s="55"/>
      <c r="J508" s="163"/>
      <c r="K508" s="55"/>
      <c r="L508" s="55"/>
      <c r="M508" s="55"/>
      <c r="N508" s="55"/>
      <c r="O508" s="55"/>
      <c r="P508" s="55"/>
      <c r="Q508" s="55"/>
      <c r="R508" s="55"/>
      <c r="S508" s="55"/>
    </row>
    <row r="509" spans="3:19" ht="13.5" customHeight="1">
      <c r="C509" s="55"/>
      <c r="D509" s="55"/>
      <c r="E509" s="55"/>
      <c r="F509" s="53"/>
      <c r="G509" s="55"/>
      <c r="H509" s="55"/>
      <c r="I509" s="55"/>
      <c r="J509" s="163"/>
      <c r="K509" s="55"/>
      <c r="L509" s="55"/>
      <c r="M509" s="55"/>
      <c r="N509" s="55"/>
      <c r="O509" s="55"/>
      <c r="P509" s="55"/>
      <c r="Q509" s="55"/>
      <c r="R509" s="55"/>
      <c r="S509" s="55"/>
    </row>
    <row r="510" spans="3:19" ht="13.5" customHeight="1">
      <c r="C510" s="55"/>
      <c r="D510" s="55"/>
      <c r="E510" s="55"/>
      <c r="F510" s="53"/>
      <c r="G510" s="55"/>
      <c r="H510" s="55"/>
      <c r="I510" s="55"/>
      <c r="J510" s="163"/>
      <c r="K510" s="55"/>
      <c r="L510" s="55"/>
      <c r="M510" s="55"/>
      <c r="N510" s="55"/>
      <c r="O510" s="55"/>
      <c r="P510" s="55"/>
      <c r="Q510" s="55"/>
      <c r="R510" s="55"/>
      <c r="S510" s="55"/>
    </row>
    <row r="511" spans="3:19" ht="13.5" customHeight="1">
      <c r="C511" s="55"/>
      <c r="D511" s="55"/>
      <c r="E511" s="55"/>
      <c r="F511" s="53"/>
      <c r="G511" s="55"/>
      <c r="H511" s="55"/>
      <c r="I511" s="55"/>
      <c r="J511" s="163"/>
      <c r="K511" s="55"/>
      <c r="L511" s="55"/>
      <c r="M511" s="55"/>
      <c r="N511" s="55"/>
      <c r="O511" s="55"/>
      <c r="P511" s="55"/>
      <c r="Q511" s="55"/>
      <c r="R511" s="55"/>
      <c r="S511" s="55"/>
    </row>
    <row r="512" spans="3:19" ht="13.5" customHeight="1">
      <c r="C512" s="55"/>
      <c r="D512" s="55"/>
      <c r="E512" s="55"/>
      <c r="F512" s="53"/>
      <c r="G512" s="55"/>
      <c r="H512" s="55"/>
      <c r="I512" s="55"/>
      <c r="J512" s="163"/>
      <c r="K512" s="55"/>
      <c r="L512" s="55"/>
      <c r="M512" s="55"/>
      <c r="N512" s="55"/>
      <c r="O512" s="55"/>
      <c r="P512" s="55"/>
      <c r="Q512" s="55"/>
      <c r="R512" s="55"/>
      <c r="S512" s="55"/>
    </row>
    <row r="513" spans="3:19" ht="13.5" customHeight="1">
      <c r="C513" s="55"/>
      <c r="D513" s="55"/>
      <c r="E513" s="55"/>
      <c r="F513" s="53"/>
      <c r="G513" s="55"/>
      <c r="H513" s="55"/>
      <c r="I513" s="55"/>
      <c r="J513" s="163"/>
      <c r="K513" s="55"/>
      <c r="L513" s="55"/>
      <c r="M513" s="55"/>
      <c r="N513" s="55"/>
      <c r="O513" s="55"/>
      <c r="P513" s="55"/>
      <c r="Q513" s="55"/>
      <c r="R513" s="55"/>
      <c r="S513" s="55"/>
    </row>
    <row r="514" spans="3:19" ht="13.5" customHeight="1">
      <c r="C514" s="55"/>
      <c r="D514" s="55"/>
      <c r="E514" s="55"/>
      <c r="F514" s="53"/>
      <c r="G514" s="55"/>
      <c r="H514" s="55"/>
      <c r="I514" s="55"/>
      <c r="J514" s="163"/>
      <c r="K514" s="55"/>
      <c r="L514" s="55"/>
      <c r="M514" s="55"/>
      <c r="N514" s="55"/>
      <c r="O514" s="55"/>
      <c r="P514" s="55"/>
      <c r="Q514" s="55"/>
      <c r="R514" s="55"/>
      <c r="S514" s="55"/>
    </row>
    <row r="515" spans="3:19" ht="13.5" customHeight="1">
      <c r="C515" s="55"/>
      <c r="D515" s="55"/>
      <c r="E515" s="55"/>
      <c r="F515" s="53"/>
      <c r="G515" s="55"/>
      <c r="H515" s="55"/>
      <c r="I515" s="55"/>
      <c r="J515" s="163"/>
      <c r="K515" s="55"/>
      <c r="L515" s="55"/>
      <c r="M515" s="55"/>
      <c r="N515" s="55"/>
      <c r="O515" s="55"/>
      <c r="P515" s="55"/>
      <c r="Q515" s="55"/>
      <c r="R515" s="55"/>
      <c r="S515" s="55"/>
    </row>
    <row r="516" spans="3:19" ht="13.5" customHeight="1">
      <c r="C516" s="55"/>
      <c r="D516" s="55"/>
      <c r="E516" s="55"/>
      <c r="F516" s="53"/>
      <c r="G516" s="55"/>
      <c r="H516" s="55"/>
      <c r="I516" s="55"/>
      <c r="J516" s="163"/>
      <c r="K516" s="55"/>
      <c r="L516" s="55"/>
      <c r="M516" s="55"/>
      <c r="N516" s="55"/>
      <c r="O516" s="55"/>
      <c r="P516" s="55"/>
      <c r="Q516" s="55"/>
      <c r="R516" s="55"/>
      <c r="S516" s="55"/>
    </row>
    <row r="517" spans="3:19" ht="13.5" customHeight="1">
      <c r="C517" s="55"/>
      <c r="D517" s="55"/>
      <c r="E517" s="55"/>
      <c r="F517" s="53"/>
      <c r="G517" s="55"/>
      <c r="H517" s="55"/>
      <c r="I517" s="55"/>
      <c r="J517" s="163"/>
      <c r="K517" s="55"/>
      <c r="L517" s="55"/>
      <c r="M517" s="55"/>
      <c r="N517" s="55"/>
      <c r="O517" s="55"/>
      <c r="P517" s="55"/>
      <c r="Q517" s="55"/>
      <c r="R517" s="55"/>
      <c r="S517" s="55"/>
    </row>
    <row r="518" spans="3:19" ht="13.5" customHeight="1">
      <c r="C518" s="55"/>
      <c r="D518" s="55"/>
      <c r="E518" s="55"/>
      <c r="F518" s="53"/>
      <c r="G518" s="55"/>
      <c r="H518" s="55"/>
      <c r="I518" s="55"/>
      <c r="J518" s="163"/>
      <c r="K518" s="55"/>
      <c r="L518" s="55"/>
      <c r="M518" s="55"/>
      <c r="N518" s="55"/>
      <c r="O518" s="55"/>
      <c r="P518" s="55"/>
      <c r="Q518" s="55"/>
      <c r="R518" s="55"/>
      <c r="S518" s="55"/>
    </row>
    <row r="519" spans="3:19" ht="13.5" customHeight="1">
      <c r="C519" s="55"/>
      <c r="D519" s="55"/>
      <c r="E519" s="55"/>
      <c r="F519" s="53"/>
      <c r="G519" s="55"/>
      <c r="H519" s="55"/>
      <c r="I519" s="55"/>
      <c r="J519" s="163"/>
      <c r="K519" s="55"/>
      <c r="L519" s="55"/>
      <c r="M519" s="55"/>
      <c r="N519" s="55"/>
      <c r="O519" s="55"/>
      <c r="P519" s="55"/>
      <c r="Q519" s="55"/>
      <c r="R519" s="55"/>
      <c r="S519" s="55"/>
    </row>
    <row r="520" spans="3:19" ht="13.5" customHeight="1">
      <c r="C520" s="55"/>
      <c r="D520" s="55"/>
      <c r="E520" s="55"/>
      <c r="F520" s="53"/>
      <c r="G520" s="55"/>
      <c r="H520" s="55"/>
      <c r="I520" s="55"/>
      <c r="J520" s="163"/>
      <c r="K520" s="55"/>
      <c r="L520" s="55"/>
      <c r="M520" s="55"/>
      <c r="N520" s="55"/>
      <c r="O520" s="55"/>
      <c r="P520" s="55"/>
      <c r="Q520" s="55"/>
      <c r="R520" s="55"/>
      <c r="S520" s="55"/>
    </row>
    <row r="521" spans="3:19" ht="13.5" customHeight="1">
      <c r="C521" s="55"/>
      <c r="D521" s="55"/>
      <c r="E521" s="55"/>
      <c r="F521" s="53"/>
      <c r="G521" s="55"/>
      <c r="H521" s="55"/>
      <c r="I521" s="55"/>
      <c r="J521" s="163"/>
      <c r="K521" s="55"/>
      <c r="L521" s="55"/>
      <c r="M521" s="55"/>
      <c r="N521" s="55"/>
      <c r="O521" s="55"/>
      <c r="P521" s="55"/>
      <c r="Q521" s="55"/>
      <c r="R521" s="55"/>
      <c r="S521" s="55"/>
    </row>
    <row r="522" spans="3:19" ht="13.5" customHeight="1">
      <c r="C522" s="55"/>
      <c r="D522" s="55"/>
      <c r="E522" s="55"/>
      <c r="F522" s="53"/>
      <c r="G522" s="55"/>
      <c r="H522" s="55"/>
      <c r="I522" s="55"/>
      <c r="J522" s="163"/>
      <c r="K522" s="55"/>
      <c r="L522" s="55"/>
      <c r="M522" s="55"/>
      <c r="N522" s="55"/>
      <c r="O522" s="55"/>
      <c r="P522" s="55"/>
      <c r="Q522" s="55"/>
      <c r="R522" s="55"/>
      <c r="S522" s="55"/>
    </row>
    <row r="523" spans="3:19" ht="13.5" customHeight="1">
      <c r="C523" s="55"/>
      <c r="D523" s="55"/>
      <c r="E523" s="55"/>
      <c r="F523" s="53"/>
      <c r="G523" s="55"/>
      <c r="H523" s="55"/>
      <c r="I523" s="55"/>
      <c r="J523" s="163"/>
      <c r="K523" s="55"/>
      <c r="L523" s="55"/>
      <c r="M523" s="55"/>
      <c r="N523" s="55"/>
      <c r="O523" s="55"/>
      <c r="P523" s="55"/>
      <c r="Q523" s="55"/>
      <c r="R523" s="55"/>
      <c r="S523" s="55"/>
    </row>
    <row r="524" spans="3:19" ht="13.5" customHeight="1">
      <c r="C524" s="55"/>
      <c r="D524" s="55"/>
      <c r="E524" s="55"/>
      <c r="F524" s="53"/>
      <c r="G524" s="55"/>
      <c r="H524" s="55"/>
      <c r="I524" s="55"/>
      <c r="J524" s="163"/>
      <c r="K524" s="55"/>
      <c r="L524" s="55"/>
      <c r="M524" s="55"/>
      <c r="N524" s="55"/>
      <c r="O524" s="55"/>
      <c r="P524" s="55"/>
      <c r="Q524" s="55"/>
      <c r="R524" s="55"/>
      <c r="S524" s="55"/>
    </row>
    <row r="525" spans="3:19" ht="13.5" customHeight="1">
      <c r="C525" s="55"/>
      <c r="D525" s="55"/>
      <c r="E525" s="55"/>
      <c r="F525" s="53"/>
      <c r="G525" s="55"/>
      <c r="H525" s="55"/>
      <c r="I525" s="55"/>
      <c r="J525" s="163"/>
      <c r="K525" s="55"/>
      <c r="L525" s="55"/>
      <c r="M525" s="55"/>
      <c r="N525" s="55"/>
      <c r="O525" s="55"/>
      <c r="P525" s="55"/>
      <c r="Q525" s="55"/>
      <c r="R525" s="55"/>
      <c r="S525" s="55"/>
    </row>
    <row r="526" spans="3:19" ht="13.5" customHeight="1">
      <c r="C526" s="55"/>
      <c r="D526" s="55"/>
      <c r="E526" s="55"/>
      <c r="F526" s="53"/>
      <c r="G526" s="55"/>
      <c r="H526" s="55"/>
      <c r="I526" s="55"/>
      <c r="J526" s="163"/>
      <c r="K526" s="55"/>
      <c r="L526" s="55"/>
      <c r="M526" s="55"/>
      <c r="N526" s="55"/>
      <c r="O526" s="55"/>
      <c r="P526" s="55"/>
      <c r="Q526" s="55"/>
      <c r="R526" s="55"/>
      <c r="S526" s="55"/>
    </row>
    <row r="527" spans="3:19" ht="13.5" customHeight="1">
      <c r="C527" s="55"/>
      <c r="D527" s="55"/>
      <c r="E527" s="55"/>
      <c r="F527" s="53"/>
      <c r="G527" s="55"/>
      <c r="H527" s="55"/>
      <c r="I527" s="55"/>
      <c r="J527" s="163"/>
      <c r="K527" s="55"/>
      <c r="L527" s="55"/>
      <c r="M527" s="55"/>
      <c r="N527" s="55"/>
      <c r="O527" s="55"/>
      <c r="P527" s="55"/>
      <c r="Q527" s="55"/>
      <c r="R527" s="55"/>
      <c r="S527" s="55"/>
    </row>
    <row r="528" spans="3:19" ht="13.5" customHeight="1">
      <c r="C528" s="55"/>
      <c r="D528" s="55"/>
      <c r="E528" s="55"/>
      <c r="F528" s="53"/>
      <c r="G528" s="55"/>
      <c r="H528" s="55"/>
      <c r="I528" s="55"/>
      <c r="J528" s="163"/>
      <c r="K528" s="55"/>
      <c r="L528" s="55"/>
      <c r="M528" s="55"/>
      <c r="N528" s="55"/>
      <c r="O528" s="55"/>
      <c r="P528" s="55"/>
      <c r="Q528" s="55"/>
      <c r="R528" s="55"/>
      <c r="S528" s="55"/>
    </row>
    <row r="529" spans="3:19" ht="13.5" customHeight="1">
      <c r="C529" s="55"/>
      <c r="D529" s="55"/>
      <c r="E529" s="55"/>
      <c r="F529" s="53"/>
      <c r="G529" s="55"/>
      <c r="H529" s="55"/>
      <c r="I529" s="55"/>
      <c r="J529" s="163"/>
      <c r="K529" s="55"/>
      <c r="L529" s="55"/>
      <c r="M529" s="55"/>
      <c r="N529" s="55"/>
      <c r="O529" s="55"/>
      <c r="P529" s="55"/>
      <c r="Q529" s="55"/>
      <c r="R529" s="55"/>
      <c r="S529" s="55"/>
    </row>
    <row r="530" spans="3:19" ht="13.5" customHeight="1">
      <c r="C530" s="55"/>
      <c r="D530" s="55"/>
      <c r="E530" s="55"/>
      <c r="F530" s="53"/>
      <c r="G530" s="55"/>
      <c r="H530" s="55"/>
      <c r="I530" s="55"/>
      <c r="J530" s="163"/>
      <c r="K530" s="55"/>
      <c r="L530" s="55"/>
      <c r="M530" s="55"/>
      <c r="N530" s="55"/>
      <c r="O530" s="55"/>
      <c r="P530" s="55"/>
      <c r="Q530" s="55"/>
      <c r="R530" s="55"/>
      <c r="S530" s="55"/>
    </row>
    <row r="531" spans="3:19" ht="13.5" customHeight="1">
      <c r="C531" s="55"/>
      <c r="D531" s="55"/>
      <c r="E531" s="55"/>
      <c r="F531" s="53"/>
      <c r="G531" s="55"/>
      <c r="H531" s="55"/>
      <c r="I531" s="55"/>
      <c r="J531" s="163"/>
      <c r="K531" s="55"/>
      <c r="L531" s="55"/>
      <c r="M531" s="55"/>
      <c r="N531" s="55"/>
      <c r="O531" s="55"/>
      <c r="P531" s="55"/>
      <c r="Q531" s="55"/>
      <c r="R531" s="55"/>
      <c r="S531" s="55"/>
    </row>
    <row r="532" spans="3:19" ht="13.5" customHeight="1">
      <c r="C532" s="55"/>
      <c r="D532" s="55"/>
      <c r="E532" s="55"/>
      <c r="F532" s="53"/>
      <c r="G532" s="55"/>
      <c r="H532" s="55"/>
      <c r="I532" s="55"/>
      <c r="J532" s="163"/>
      <c r="K532" s="55"/>
      <c r="L532" s="55"/>
      <c r="M532" s="55"/>
      <c r="N532" s="55"/>
      <c r="O532" s="55"/>
      <c r="P532" s="55"/>
      <c r="Q532" s="55"/>
      <c r="R532" s="55"/>
      <c r="S532" s="55"/>
    </row>
    <row r="533" spans="3:19" ht="13.5" customHeight="1">
      <c r="C533" s="55"/>
      <c r="D533" s="55"/>
      <c r="E533" s="55"/>
      <c r="F533" s="53"/>
      <c r="G533" s="55"/>
      <c r="H533" s="55"/>
      <c r="I533" s="55"/>
      <c r="J533" s="163"/>
      <c r="K533" s="55"/>
      <c r="L533" s="55"/>
      <c r="M533" s="55"/>
      <c r="N533" s="55"/>
      <c r="O533" s="55"/>
      <c r="P533" s="55"/>
      <c r="Q533" s="55"/>
      <c r="R533" s="55"/>
      <c r="S533" s="55"/>
    </row>
    <row r="534" spans="3:19" ht="13.5" customHeight="1">
      <c r="C534" s="55"/>
      <c r="D534" s="55"/>
      <c r="E534" s="55"/>
      <c r="F534" s="53"/>
      <c r="G534" s="55"/>
      <c r="H534" s="55"/>
      <c r="I534" s="55"/>
      <c r="J534" s="163"/>
      <c r="K534" s="55"/>
      <c r="L534" s="55"/>
      <c r="M534" s="55"/>
      <c r="N534" s="55"/>
      <c r="O534" s="55"/>
      <c r="P534" s="55"/>
      <c r="Q534" s="55"/>
      <c r="R534" s="55"/>
      <c r="S534" s="55"/>
    </row>
    <row r="535" spans="3:19" ht="13.5" customHeight="1">
      <c r="C535" s="55"/>
      <c r="D535" s="55"/>
      <c r="E535" s="55"/>
      <c r="F535" s="53"/>
      <c r="G535" s="55"/>
      <c r="H535" s="55"/>
      <c r="I535" s="55"/>
      <c r="J535" s="163"/>
      <c r="K535" s="55"/>
      <c r="L535" s="55"/>
      <c r="M535" s="55"/>
      <c r="N535" s="55"/>
      <c r="O535" s="55"/>
      <c r="P535" s="55"/>
      <c r="Q535" s="55"/>
      <c r="R535" s="55"/>
      <c r="S535" s="55"/>
    </row>
    <row r="536" spans="3:19" ht="13.5" customHeight="1">
      <c r="C536" s="55"/>
      <c r="D536" s="55"/>
      <c r="E536" s="55"/>
      <c r="F536" s="53"/>
      <c r="G536" s="55"/>
      <c r="H536" s="55"/>
      <c r="I536" s="55"/>
      <c r="J536" s="163"/>
      <c r="K536" s="55"/>
      <c r="L536" s="55"/>
      <c r="M536" s="55"/>
      <c r="N536" s="55"/>
      <c r="O536" s="55"/>
      <c r="P536" s="55"/>
      <c r="Q536" s="55"/>
      <c r="R536" s="55"/>
      <c r="S536" s="55"/>
    </row>
    <row r="537" spans="3:19" ht="13.5" customHeight="1">
      <c r="C537" s="55"/>
      <c r="D537" s="55"/>
      <c r="E537" s="55"/>
      <c r="F537" s="53"/>
      <c r="G537" s="55"/>
      <c r="H537" s="55"/>
      <c r="I537" s="55"/>
      <c r="J537" s="163"/>
      <c r="K537" s="55"/>
      <c r="L537" s="55"/>
      <c r="M537" s="55"/>
      <c r="N537" s="55"/>
      <c r="O537" s="55"/>
      <c r="P537" s="55"/>
      <c r="Q537" s="55"/>
      <c r="R537" s="55"/>
      <c r="S537" s="55"/>
    </row>
    <row r="538" spans="3:19" ht="13.5" customHeight="1">
      <c r="C538" s="55"/>
      <c r="D538" s="55"/>
      <c r="E538" s="55"/>
      <c r="F538" s="53"/>
      <c r="G538" s="55"/>
      <c r="H538" s="55"/>
      <c r="I538" s="55"/>
      <c r="J538" s="163"/>
      <c r="K538" s="55"/>
      <c r="L538" s="55"/>
      <c r="M538" s="55"/>
      <c r="N538" s="55"/>
      <c r="O538" s="55"/>
      <c r="P538" s="55"/>
      <c r="Q538" s="55"/>
      <c r="R538" s="55"/>
      <c r="S538" s="55"/>
    </row>
    <row r="539" spans="3:19" ht="13.5" customHeight="1">
      <c r="C539" s="55"/>
      <c r="D539" s="55"/>
      <c r="E539" s="55"/>
      <c r="F539" s="53"/>
      <c r="G539" s="55"/>
      <c r="H539" s="55"/>
      <c r="I539" s="55"/>
      <c r="J539" s="163"/>
      <c r="K539" s="55"/>
      <c r="L539" s="55"/>
      <c r="M539" s="55"/>
      <c r="N539" s="55"/>
      <c r="O539" s="55"/>
      <c r="P539" s="55"/>
      <c r="Q539" s="55"/>
      <c r="R539" s="55"/>
      <c r="S539" s="55"/>
    </row>
    <row r="540" spans="3:19" ht="13.5" customHeight="1">
      <c r="C540" s="55"/>
      <c r="D540" s="55"/>
      <c r="E540" s="55"/>
      <c r="F540" s="53"/>
      <c r="G540" s="55"/>
      <c r="H540" s="55"/>
      <c r="I540" s="55"/>
      <c r="J540" s="163"/>
      <c r="K540" s="55"/>
      <c r="L540" s="55"/>
      <c r="M540" s="55"/>
      <c r="N540" s="55"/>
      <c r="O540" s="55"/>
      <c r="P540" s="55"/>
      <c r="Q540" s="55"/>
      <c r="R540" s="55"/>
      <c r="S540" s="55"/>
    </row>
    <row r="541" spans="3:19" ht="13.5" customHeight="1">
      <c r="C541" s="55"/>
      <c r="D541" s="55"/>
      <c r="E541" s="55"/>
      <c r="F541" s="53"/>
      <c r="G541" s="55"/>
      <c r="H541" s="55"/>
      <c r="I541" s="55"/>
      <c r="J541" s="163"/>
      <c r="K541" s="55"/>
      <c r="L541" s="55"/>
      <c r="M541" s="55"/>
      <c r="N541" s="55"/>
      <c r="O541" s="55"/>
      <c r="P541" s="55"/>
      <c r="Q541" s="55"/>
      <c r="R541" s="55"/>
      <c r="S541" s="55"/>
    </row>
    <row r="542" spans="3:19" ht="13.5" customHeight="1">
      <c r="C542" s="55"/>
      <c r="D542" s="55"/>
      <c r="E542" s="55"/>
      <c r="F542" s="53"/>
      <c r="G542" s="55"/>
      <c r="H542" s="55"/>
      <c r="I542" s="55"/>
      <c r="J542" s="163"/>
      <c r="K542" s="55"/>
      <c r="L542" s="55"/>
      <c r="M542" s="55"/>
      <c r="N542" s="55"/>
      <c r="O542" s="55"/>
      <c r="P542" s="55"/>
      <c r="Q542" s="55"/>
      <c r="R542" s="55"/>
      <c r="S542" s="55"/>
    </row>
    <row r="543" spans="3:19" ht="13.5" customHeight="1">
      <c r="C543" s="55"/>
      <c r="D543" s="55"/>
      <c r="E543" s="55"/>
      <c r="F543" s="53"/>
      <c r="G543" s="55"/>
      <c r="H543" s="55"/>
      <c r="I543" s="55"/>
      <c r="J543" s="163"/>
      <c r="K543" s="55"/>
      <c r="L543" s="55"/>
      <c r="M543" s="55"/>
      <c r="N543" s="55"/>
      <c r="O543" s="55"/>
      <c r="P543" s="55"/>
      <c r="Q543" s="55"/>
      <c r="R543" s="55"/>
      <c r="S543" s="55"/>
    </row>
    <row r="544" spans="3:19" ht="13.5" customHeight="1">
      <c r="C544" s="55"/>
      <c r="D544" s="55"/>
      <c r="E544" s="55"/>
      <c r="F544" s="53"/>
      <c r="G544" s="55"/>
      <c r="H544" s="55"/>
      <c r="I544" s="55"/>
      <c r="J544" s="163"/>
      <c r="K544" s="55"/>
      <c r="L544" s="55"/>
      <c r="M544" s="55"/>
      <c r="N544" s="55"/>
      <c r="O544" s="55"/>
      <c r="P544" s="55"/>
      <c r="Q544" s="55"/>
      <c r="R544" s="55"/>
      <c r="S544" s="55"/>
    </row>
    <row r="545" spans="3:19" ht="13.5" customHeight="1">
      <c r="C545" s="55"/>
      <c r="D545" s="55"/>
      <c r="E545" s="55"/>
      <c r="F545" s="53"/>
      <c r="G545" s="55"/>
      <c r="H545" s="55"/>
      <c r="I545" s="55"/>
      <c r="J545" s="163"/>
      <c r="K545" s="55"/>
      <c r="L545" s="55"/>
      <c r="M545" s="55"/>
      <c r="N545" s="55"/>
      <c r="O545" s="55"/>
      <c r="P545" s="55"/>
      <c r="Q545" s="55"/>
      <c r="R545" s="55"/>
      <c r="S545" s="55"/>
    </row>
    <row r="546" spans="3:19" ht="13.5" customHeight="1">
      <c r="C546" s="55"/>
      <c r="D546" s="55"/>
      <c r="E546" s="55"/>
      <c r="F546" s="53"/>
      <c r="G546" s="55"/>
      <c r="H546" s="55"/>
      <c r="I546" s="55"/>
      <c r="J546" s="163"/>
      <c r="K546" s="55"/>
      <c r="L546" s="55"/>
      <c r="M546" s="55"/>
      <c r="N546" s="55"/>
      <c r="O546" s="55"/>
      <c r="P546" s="55"/>
      <c r="Q546" s="55"/>
      <c r="R546" s="55"/>
      <c r="S546" s="55"/>
    </row>
    <row r="547" spans="3:19" ht="13.5" customHeight="1">
      <c r="C547" s="55"/>
      <c r="D547" s="55"/>
      <c r="E547" s="55"/>
      <c r="F547" s="53"/>
      <c r="G547" s="55"/>
      <c r="H547" s="55"/>
      <c r="I547" s="55"/>
      <c r="J547" s="163"/>
      <c r="K547" s="55"/>
      <c r="L547" s="55"/>
      <c r="M547" s="55"/>
      <c r="N547" s="55"/>
      <c r="O547" s="55"/>
      <c r="P547" s="55"/>
      <c r="Q547" s="55"/>
      <c r="R547" s="55"/>
      <c r="S547" s="55"/>
    </row>
    <row r="548" spans="3:19" ht="13.5" customHeight="1">
      <c r="C548" s="55"/>
      <c r="D548" s="55"/>
      <c r="E548" s="55"/>
      <c r="F548" s="53"/>
      <c r="G548" s="55"/>
      <c r="H548" s="55"/>
      <c r="I548" s="55"/>
      <c r="J548" s="163"/>
      <c r="K548" s="55"/>
      <c r="L548" s="55"/>
      <c r="M548" s="55"/>
      <c r="N548" s="55"/>
      <c r="O548" s="55"/>
      <c r="P548" s="55"/>
      <c r="Q548" s="55"/>
      <c r="R548" s="55"/>
      <c r="S548" s="55"/>
    </row>
    <row r="549" spans="3:19" ht="13.5" customHeight="1">
      <c r="C549" s="55"/>
      <c r="D549" s="55"/>
      <c r="E549" s="55"/>
      <c r="F549" s="53"/>
      <c r="G549" s="55"/>
      <c r="H549" s="55"/>
      <c r="I549" s="55"/>
      <c r="J549" s="163"/>
      <c r="K549" s="55"/>
      <c r="L549" s="55"/>
      <c r="M549" s="55"/>
      <c r="N549" s="55"/>
      <c r="O549" s="55"/>
      <c r="P549" s="55"/>
      <c r="Q549" s="55"/>
      <c r="R549" s="55"/>
      <c r="S549" s="55"/>
    </row>
    <row r="550" spans="3:19" ht="13.5" customHeight="1">
      <c r="C550" s="55"/>
      <c r="D550" s="55"/>
      <c r="E550" s="55"/>
      <c r="F550" s="53"/>
      <c r="G550" s="55"/>
      <c r="H550" s="55"/>
      <c r="I550" s="55"/>
      <c r="J550" s="163"/>
      <c r="K550" s="55"/>
      <c r="L550" s="55"/>
      <c r="M550" s="55"/>
      <c r="N550" s="55"/>
      <c r="O550" s="55"/>
      <c r="P550" s="55"/>
      <c r="Q550" s="55"/>
      <c r="R550" s="55"/>
      <c r="S550" s="55"/>
    </row>
    <row r="551" spans="3:19" ht="13.5" customHeight="1">
      <c r="C551" s="55"/>
      <c r="D551" s="55"/>
      <c r="E551" s="55"/>
      <c r="F551" s="53"/>
      <c r="G551" s="55"/>
      <c r="H551" s="55"/>
      <c r="I551" s="55"/>
      <c r="J551" s="163"/>
      <c r="K551" s="55"/>
      <c r="L551" s="55"/>
      <c r="M551" s="55"/>
      <c r="N551" s="55"/>
      <c r="O551" s="55"/>
      <c r="P551" s="55"/>
      <c r="Q551" s="55"/>
      <c r="R551" s="55"/>
      <c r="S551" s="55"/>
    </row>
    <row r="552" spans="3:19" ht="13.5" customHeight="1">
      <c r="C552" s="55"/>
      <c r="D552" s="55"/>
      <c r="E552" s="55"/>
      <c r="F552" s="53"/>
      <c r="G552" s="55"/>
      <c r="H552" s="55"/>
      <c r="I552" s="55"/>
      <c r="J552" s="163"/>
      <c r="K552" s="55"/>
      <c r="L552" s="55"/>
      <c r="M552" s="55"/>
      <c r="N552" s="55"/>
      <c r="O552" s="55"/>
      <c r="P552" s="55"/>
      <c r="Q552" s="55"/>
      <c r="R552" s="55"/>
      <c r="S552" s="55"/>
    </row>
    <row r="553" spans="3:19" ht="13.5" customHeight="1">
      <c r="C553" s="55"/>
      <c r="D553" s="55"/>
      <c r="E553" s="55"/>
      <c r="F553" s="53"/>
      <c r="G553" s="55"/>
      <c r="H553" s="55"/>
      <c r="I553" s="55"/>
      <c r="J553" s="163"/>
      <c r="K553" s="55"/>
      <c r="L553" s="55"/>
      <c r="M553" s="55"/>
      <c r="N553" s="55"/>
      <c r="O553" s="55"/>
      <c r="P553" s="55"/>
      <c r="Q553" s="55"/>
      <c r="R553" s="55"/>
      <c r="S553" s="55"/>
    </row>
    <row r="554" spans="3:19" ht="13.5" customHeight="1">
      <c r="C554" s="55"/>
      <c r="D554" s="55"/>
      <c r="E554" s="55"/>
      <c r="F554" s="53"/>
      <c r="G554" s="55"/>
      <c r="H554" s="55"/>
      <c r="I554" s="55"/>
      <c r="J554" s="163"/>
      <c r="K554" s="55"/>
      <c r="L554" s="55"/>
      <c r="M554" s="55"/>
      <c r="N554" s="55"/>
      <c r="O554" s="55"/>
      <c r="P554" s="55"/>
      <c r="Q554" s="55"/>
      <c r="R554" s="55"/>
      <c r="S554" s="55"/>
    </row>
    <row r="555" spans="3:19" ht="13.5" customHeight="1">
      <c r="C555" s="55"/>
      <c r="D555" s="55"/>
      <c r="E555" s="55"/>
      <c r="F555" s="53"/>
      <c r="G555" s="55"/>
      <c r="H555" s="55"/>
      <c r="I555" s="55"/>
      <c r="J555" s="163"/>
      <c r="K555" s="55"/>
      <c r="L555" s="55"/>
      <c r="M555" s="55"/>
      <c r="N555" s="55"/>
      <c r="O555" s="55"/>
      <c r="P555" s="55"/>
      <c r="Q555" s="55"/>
      <c r="R555" s="55"/>
      <c r="S555" s="55"/>
    </row>
    <row r="556" spans="3:19" ht="13.5" customHeight="1">
      <c r="C556" s="55"/>
      <c r="D556" s="55"/>
      <c r="E556" s="55"/>
      <c r="F556" s="53"/>
      <c r="G556" s="55"/>
      <c r="H556" s="55"/>
      <c r="I556" s="55"/>
      <c r="J556" s="163"/>
      <c r="K556" s="55"/>
      <c r="L556" s="55"/>
      <c r="M556" s="55"/>
      <c r="N556" s="55"/>
      <c r="O556" s="55"/>
      <c r="P556" s="55"/>
      <c r="Q556" s="55"/>
      <c r="R556" s="55"/>
      <c r="S556" s="55"/>
    </row>
    <row r="557" spans="3:19" ht="13.5" customHeight="1">
      <c r="C557" s="55"/>
      <c r="D557" s="55"/>
      <c r="E557" s="55"/>
      <c r="F557" s="53"/>
      <c r="G557" s="55"/>
      <c r="H557" s="55"/>
      <c r="I557" s="55"/>
      <c r="J557" s="163"/>
      <c r="K557" s="55"/>
      <c r="L557" s="55"/>
      <c r="M557" s="55"/>
      <c r="N557" s="55"/>
      <c r="O557" s="55"/>
      <c r="P557" s="55"/>
      <c r="Q557" s="55"/>
      <c r="R557" s="55"/>
      <c r="S557" s="55"/>
    </row>
    <row r="558" spans="3:19" ht="13.5" customHeight="1">
      <c r="C558" s="55"/>
      <c r="D558" s="55"/>
      <c r="E558" s="55"/>
      <c r="F558" s="53"/>
      <c r="G558" s="55"/>
      <c r="H558" s="55"/>
      <c r="I558" s="55"/>
      <c r="J558" s="163"/>
      <c r="K558" s="55"/>
      <c r="L558" s="55"/>
      <c r="M558" s="55"/>
      <c r="N558" s="55"/>
      <c r="O558" s="55"/>
      <c r="P558" s="55"/>
      <c r="Q558" s="55"/>
      <c r="R558" s="55"/>
      <c r="S558" s="55"/>
    </row>
    <row r="559" spans="3:19" ht="13.5" customHeight="1">
      <c r="C559" s="55"/>
      <c r="D559" s="55"/>
      <c r="E559" s="55"/>
      <c r="F559" s="53"/>
      <c r="G559" s="55"/>
      <c r="H559" s="55"/>
      <c r="I559" s="55"/>
      <c r="J559" s="163"/>
      <c r="K559" s="55"/>
      <c r="L559" s="55"/>
      <c r="M559" s="55"/>
      <c r="N559" s="55"/>
      <c r="O559" s="55"/>
      <c r="P559" s="55"/>
      <c r="Q559" s="55"/>
      <c r="R559" s="55"/>
      <c r="S559" s="55"/>
    </row>
    <row r="560" spans="3:19" ht="13.5" customHeight="1">
      <c r="C560" s="55"/>
      <c r="D560" s="55"/>
      <c r="E560" s="55"/>
      <c r="F560" s="53"/>
      <c r="G560" s="55"/>
      <c r="H560" s="55"/>
      <c r="I560" s="55"/>
      <c r="J560" s="163"/>
      <c r="K560" s="55"/>
      <c r="L560" s="55"/>
      <c r="M560" s="55"/>
      <c r="N560" s="55"/>
      <c r="O560" s="55"/>
      <c r="P560" s="55"/>
      <c r="Q560" s="55"/>
      <c r="R560" s="55"/>
      <c r="S560" s="55"/>
    </row>
    <row r="561" spans="3:19" ht="13.5" customHeight="1">
      <c r="C561" s="55"/>
      <c r="D561" s="55"/>
      <c r="E561" s="55"/>
      <c r="F561" s="53"/>
      <c r="G561" s="55"/>
      <c r="H561" s="55"/>
      <c r="I561" s="55"/>
      <c r="J561" s="163"/>
      <c r="K561" s="55"/>
      <c r="L561" s="55"/>
      <c r="M561" s="55"/>
      <c r="N561" s="55"/>
      <c r="O561" s="55"/>
      <c r="P561" s="55"/>
      <c r="Q561" s="55"/>
      <c r="R561" s="55"/>
      <c r="S561" s="55"/>
    </row>
    <row r="562" spans="3:19" ht="13.5" customHeight="1">
      <c r="C562" s="55"/>
      <c r="D562" s="55"/>
      <c r="E562" s="55"/>
      <c r="F562" s="53"/>
      <c r="G562" s="55"/>
      <c r="H562" s="55"/>
      <c r="I562" s="55"/>
      <c r="J562" s="163"/>
      <c r="K562" s="55"/>
      <c r="L562" s="55"/>
      <c r="M562" s="55"/>
      <c r="N562" s="55"/>
      <c r="O562" s="55"/>
      <c r="P562" s="55"/>
      <c r="Q562" s="55"/>
      <c r="R562" s="55"/>
      <c r="S562" s="55"/>
    </row>
    <row r="563" spans="3:19" ht="13.5" customHeight="1">
      <c r="C563" s="55"/>
      <c r="D563" s="55"/>
      <c r="E563" s="55"/>
      <c r="F563" s="53"/>
      <c r="G563" s="55"/>
      <c r="H563" s="55"/>
      <c r="I563" s="55"/>
      <c r="J563" s="163"/>
      <c r="K563" s="55"/>
      <c r="L563" s="55"/>
      <c r="M563" s="55"/>
      <c r="N563" s="55"/>
      <c r="O563" s="55"/>
      <c r="P563" s="55"/>
      <c r="Q563" s="55"/>
      <c r="R563" s="55"/>
      <c r="S563" s="55"/>
    </row>
    <row r="564" spans="3:19" ht="13.5" customHeight="1">
      <c r="C564" s="55"/>
      <c r="D564" s="55"/>
      <c r="E564" s="55"/>
      <c r="F564" s="53"/>
      <c r="G564" s="55"/>
      <c r="H564" s="55"/>
      <c r="I564" s="55"/>
      <c r="J564" s="163"/>
      <c r="K564" s="55"/>
      <c r="L564" s="55"/>
      <c r="M564" s="55"/>
      <c r="N564" s="55"/>
      <c r="O564" s="55"/>
      <c r="P564" s="55"/>
      <c r="Q564" s="55"/>
      <c r="R564" s="55"/>
      <c r="S564" s="55"/>
    </row>
    <row r="565" spans="3:19" ht="13.5" customHeight="1">
      <c r="C565" s="55"/>
      <c r="D565" s="55"/>
      <c r="E565" s="55"/>
      <c r="F565" s="53"/>
      <c r="G565" s="55"/>
      <c r="H565" s="55"/>
      <c r="I565" s="55"/>
      <c r="J565" s="163"/>
      <c r="K565" s="55"/>
      <c r="L565" s="55"/>
      <c r="M565" s="55"/>
      <c r="N565" s="55"/>
      <c r="O565" s="55"/>
      <c r="P565" s="55"/>
      <c r="Q565" s="55"/>
      <c r="R565" s="55"/>
      <c r="S565" s="55"/>
    </row>
    <row r="566" spans="3:19" ht="13.5" customHeight="1">
      <c r="C566" s="55"/>
      <c r="D566" s="55"/>
      <c r="E566" s="55"/>
      <c r="F566" s="53"/>
      <c r="G566" s="55"/>
      <c r="H566" s="55"/>
      <c r="I566" s="55"/>
      <c r="J566" s="163"/>
      <c r="K566" s="55"/>
      <c r="L566" s="55"/>
      <c r="M566" s="55"/>
      <c r="N566" s="55"/>
      <c r="O566" s="55"/>
      <c r="P566" s="55"/>
      <c r="Q566" s="55"/>
      <c r="R566" s="55"/>
      <c r="S566" s="55"/>
    </row>
    <row r="567" spans="3:19" ht="13.5" customHeight="1">
      <c r="C567" s="55"/>
      <c r="D567" s="55"/>
      <c r="E567" s="55"/>
      <c r="F567" s="53"/>
      <c r="G567" s="55"/>
      <c r="H567" s="55"/>
      <c r="I567" s="55"/>
      <c r="J567" s="163"/>
      <c r="K567" s="55"/>
      <c r="L567" s="55"/>
      <c r="M567" s="55"/>
      <c r="N567" s="55"/>
      <c r="O567" s="55"/>
      <c r="P567" s="55"/>
      <c r="Q567" s="55"/>
      <c r="R567" s="55"/>
      <c r="S567" s="55"/>
    </row>
    <row r="568" spans="3:19" ht="13.5" customHeight="1">
      <c r="C568" s="55"/>
      <c r="D568" s="55"/>
      <c r="E568" s="55"/>
      <c r="F568" s="53"/>
      <c r="G568" s="55"/>
      <c r="H568" s="55"/>
      <c r="I568" s="55"/>
      <c r="J568" s="163"/>
      <c r="K568" s="55"/>
      <c r="L568" s="55"/>
      <c r="M568" s="55"/>
      <c r="N568" s="55"/>
      <c r="O568" s="55"/>
      <c r="P568" s="55"/>
      <c r="Q568" s="55"/>
      <c r="R568" s="55"/>
      <c r="S568" s="55"/>
    </row>
    <row r="569" spans="3:19" ht="13.5" customHeight="1">
      <c r="C569" s="55"/>
      <c r="D569" s="55"/>
      <c r="E569" s="55"/>
      <c r="F569" s="53"/>
      <c r="G569" s="55"/>
      <c r="H569" s="55"/>
      <c r="I569" s="55"/>
      <c r="J569" s="163"/>
      <c r="K569" s="55"/>
      <c r="L569" s="55"/>
      <c r="M569" s="55"/>
      <c r="N569" s="55"/>
      <c r="O569" s="55"/>
      <c r="P569" s="55"/>
      <c r="Q569" s="55"/>
      <c r="R569" s="55"/>
      <c r="S569" s="55"/>
    </row>
    <row r="570" spans="3:19" ht="13.5" customHeight="1">
      <c r="C570" s="55"/>
      <c r="D570" s="55"/>
      <c r="E570" s="55"/>
      <c r="F570" s="53"/>
      <c r="G570" s="55"/>
      <c r="H570" s="55"/>
      <c r="I570" s="55"/>
      <c r="J570" s="163"/>
      <c r="K570" s="55"/>
      <c r="L570" s="55"/>
      <c r="M570" s="55"/>
      <c r="N570" s="55"/>
      <c r="O570" s="55"/>
      <c r="P570" s="55"/>
      <c r="Q570" s="55"/>
      <c r="R570" s="55"/>
      <c r="S570" s="55"/>
    </row>
    <row r="571" spans="3:19" ht="13.5" customHeight="1">
      <c r="C571" s="55"/>
      <c r="D571" s="55"/>
      <c r="E571" s="55"/>
      <c r="F571" s="53"/>
      <c r="G571" s="55"/>
      <c r="H571" s="55"/>
      <c r="I571" s="55"/>
      <c r="J571" s="163"/>
      <c r="K571" s="55"/>
      <c r="L571" s="55"/>
      <c r="M571" s="55"/>
      <c r="N571" s="55"/>
      <c r="O571" s="55"/>
      <c r="P571" s="55"/>
      <c r="Q571" s="55"/>
      <c r="R571" s="55"/>
      <c r="S571" s="55"/>
    </row>
    <row r="572" spans="3:19" ht="13.5" customHeight="1">
      <c r="C572" s="55"/>
      <c r="D572" s="55"/>
      <c r="E572" s="55"/>
      <c r="F572" s="53"/>
      <c r="G572" s="55"/>
      <c r="H572" s="55"/>
      <c r="I572" s="55"/>
      <c r="J572" s="163"/>
      <c r="K572" s="55"/>
      <c r="L572" s="55"/>
      <c r="M572" s="55"/>
      <c r="N572" s="55"/>
      <c r="O572" s="55"/>
      <c r="P572" s="55"/>
      <c r="Q572" s="55"/>
      <c r="R572" s="55"/>
      <c r="S572" s="55"/>
    </row>
    <row r="573" spans="3:19" ht="13.5" customHeight="1">
      <c r="C573" s="55"/>
      <c r="D573" s="55"/>
      <c r="E573" s="55"/>
      <c r="F573" s="53"/>
      <c r="G573" s="55"/>
      <c r="H573" s="55"/>
      <c r="I573" s="55"/>
      <c r="J573" s="163"/>
      <c r="K573" s="55"/>
      <c r="L573" s="55"/>
      <c r="M573" s="55"/>
      <c r="N573" s="55"/>
      <c r="O573" s="55"/>
      <c r="P573" s="55"/>
      <c r="Q573" s="55"/>
      <c r="R573" s="55"/>
      <c r="S573" s="55"/>
    </row>
    <row r="574" spans="3:19" ht="13.5" customHeight="1">
      <c r="C574" s="55"/>
      <c r="D574" s="55"/>
      <c r="E574" s="55"/>
      <c r="F574" s="53"/>
      <c r="G574" s="55"/>
      <c r="H574" s="55"/>
      <c r="I574" s="55"/>
      <c r="J574" s="163"/>
      <c r="K574" s="55"/>
      <c r="L574" s="55"/>
      <c r="M574" s="55"/>
      <c r="N574" s="55"/>
      <c r="O574" s="55"/>
      <c r="P574" s="55"/>
      <c r="Q574" s="55"/>
      <c r="R574" s="55"/>
      <c r="S574" s="55"/>
    </row>
    <row r="575" spans="3:19" ht="13.5" customHeight="1">
      <c r="C575" s="55"/>
      <c r="D575" s="55"/>
      <c r="E575" s="55"/>
      <c r="F575" s="53"/>
      <c r="G575" s="55"/>
      <c r="H575" s="55"/>
      <c r="I575" s="55"/>
      <c r="J575" s="163"/>
      <c r="K575" s="55"/>
      <c r="L575" s="55"/>
      <c r="M575" s="55"/>
      <c r="N575" s="55"/>
      <c r="O575" s="55"/>
      <c r="P575" s="55"/>
      <c r="Q575" s="55"/>
      <c r="R575" s="55"/>
      <c r="S575" s="55"/>
    </row>
    <row r="576" spans="3:19" ht="13.5" customHeight="1">
      <c r="C576" s="55"/>
      <c r="D576" s="55"/>
      <c r="E576" s="55"/>
      <c r="F576" s="53"/>
      <c r="G576" s="55"/>
      <c r="H576" s="55"/>
      <c r="I576" s="55"/>
      <c r="J576" s="163"/>
      <c r="K576" s="55"/>
      <c r="L576" s="55"/>
      <c r="M576" s="55"/>
      <c r="N576" s="55"/>
      <c r="O576" s="55"/>
      <c r="P576" s="55"/>
      <c r="Q576" s="55"/>
      <c r="R576" s="55"/>
      <c r="S576" s="55"/>
    </row>
    <row r="577" spans="3:19" ht="13.5" customHeight="1">
      <c r="C577" s="55"/>
      <c r="D577" s="55"/>
      <c r="E577" s="55"/>
      <c r="F577" s="53"/>
      <c r="G577" s="55"/>
      <c r="H577" s="55"/>
      <c r="I577" s="55"/>
      <c r="J577" s="163"/>
      <c r="K577" s="55"/>
      <c r="L577" s="55"/>
      <c r="M577" s="55"/>
      <c r="N577" s="55"/>
      <c r="O577" s="55"/>
      <c r="P577" s="55"/>
      <c r="Q577" s="55"/>
      <c r="R577" s="55"/>
      <c r="S577" s="55"/>
    </row>
    <row r="578" spans="3:19" ht="13.5" customHeight="1">
      <c r="C578" s="55"/>
      <c r="D578" s="55"/>
      <c r="E578" s="55"/>
      <c r="F578" s="53"/>
      <c r="G578" s="55"/>
      <c r="H578" s="55"/>
      <c r="I578" s="55"/>
      <c r="J578" s="163"/>
      <c r="K578" s="55"/>
      <c r="L578" s="55"/>
      <c r="M578" s="55"/>
      <c r="N578" s="55"/>
      <c r="O578" s="55"/>
      <c r="P578" s="55"/>
      <c r="Q578" s="55"/>
      <c r="R578" s="55"/>
      <c r="S578" s="55"/>
    </row>
    <row r="579" spans="3:19" ht="13.5" customHeight="1">
      <c r="C579" s="55"/>
      <c r="D579" s="55"/>
      <c r="E579" s="55"/>
      <c r="F579" s="53"/>
      <c r="G579" s="55"/>
      <c r="H579" s="55"/>
      <c r="I579" s="55"/>
      <c r="J579" s="163"/>
      <c r="K579" s="55"/>
      <c r="L579" s="55"/>
      <c r="M579" s="55"/>
      <c r="N579" s="55"/>
      <c r="O579" s="55"/>
      <c r="P579" s="55"/>
      <c r="Q579" s="55"/>
      <c r="R579" s="55"/>
      <c r="S579" s="55"/>
    </row>
    <row r="580" spans="3:19" ht="13.5" customHeight="1">
      <c r="C580" s="55"/>
      <c r="D580" s="55"/>
      <c r="E580" s="55"/>
      <c r="F580" s="53"/>
      <c r="G580" s="55"/>
      <c r="H580" s="55"/>
      <c r="I580" s="55"/>
      <c r="J580" s="163"/>
      <c r="K580" s="55"/>
      <c r="L580" s="55"/>
      <c r="M580" s="55"/>
      <c r="N580" s="55"/>
      <c r="O580" s="55"/>
      <c r="P580" s="55"/>
      <c r="Q580" s="55"/>
      <c r="R580" s="55"/>
      <c r="S580" s="55"/>
    </row>
    <row r="581" spans="3:19" ht="13.5" customHeight="1">
      <c r="C581" s="55"/>
      <c r="D581" s="55"/>
      <c r="E581" s="55"/>
      <c r="F581" s="53"/>
      <c r="G581" s="55"/>
      <c r="H581" s="55"/>
      <c r="I581" s="55"/>
      <c r="J581" s="163"/>
      <c r="K581" s="55"/>
      <c r="L581" s="55"/>
      <c r="M581" s="55"/>
      <c r="N581" s="55"/>
      <c r="O581" s="55"/>
      <c r="P581" s="55"/>
      <c r="Q581" s="55"/>
      <c r="R581" s="55"/>
      <c r="S581" s="55"/>
    </row>
    <row r="582" spans="3:19" ht="13.5" customHeight="1">
      <c r="C582" s="55"/>
      <c r="D582" s="55"/>
      <c r="E582" s="55"/>
      <c r="F582" s="53"/>
      <c r="G582" s="55"/>
      <c r="H582" s="55"/>
      <c r="I582" s="55"/>
      <c r="J582" s="163"/>
      <c r="K582" s="55"/>
      <c r="L582" s="55"/>
      <c r="M582" s="55"/>
      <c r="N582" s="55"/>
      <c r="O582" s="55"/>
      <c r="P582" s="55"/>
      <c r="Q582" s="55"/>
      <c r="R582" s="55"/>
      <c r="S582" s="55"/>
    </row>
    <row r="583" spans="3:19" ht="13.5" customHeight="1">
      <c r="C583" s="55"/>
      <c r="D583" s="55"/>
      <c r="E583" s="55"/>
      <c r="F583" s="53"/>
      <c r="G583" s="55"/>
      <c r="H583" s="55"/>
      <c r="I583" s="55"/>
      <c r="J583" s="163"/>
      <c r="K583" s="55"/>
      <c r="L583" s="55"/>
      <c r="M583" s="55"/>
      <c r="N583" s="55"/>
      <c r="O583" s="55"/>
      <c r="P583" s="55"/>
      <c r="Q583" s="55"/>
      <c r="R583" s="55"/>
      <c r="S583" s="55"/>
    </row>
    <row r="584" spans="3:19" ht="13.5" customHeight="1">
      <c r="C584" s="55"/>
      <c r="D584" s="55"/>
      <c r="E584" s="55"/>
      <c r="F584" s="53"/>
      <c r="G584" s="55"/>
      <c r="H584" s="55"/>
      <c r="I584" s="55"/>
      <c r="J584" s="163"/>
      <c r="K584" s="55"/>
      <c r="L584" s="55"/>
      <c r="M584" s="55"/>
      <c r="N584" s="55"/>
      <c r="O584" s="55"/>
      <c r="P584" s="55"/>
      <c r="Q584" s="55"/>
      <c r="R584" s="55"/>
      <c r="S584" s="55"/>
    </row>
    <row r="585" spans="3:19" ht="13.5" customHeight="1">
      <c r="C585" s="55"/>
      <c r="D585" s="55"/>
      <c r="E585" s="55"/>
      <c r="F585" s="53"/>
      <c r="G585" s="55"/>
      <c r="H585" s="55"/>
      <c r="I585" s="55"/>
      <c r="J585" s="163"/>
      <c r="K585" s="55"/>
      <c r="L585" s="55"/>
      <c r="M585" s="55"/>
      <c r="N585" s="55"/>
      <c r="O585" s="55"/>
      <c r="P585" s="55"/>
      <c r="Q585" s="55"/>
      <c r="R585" s="55"/>
      <c r="S585" s="55"/>
    </row>
    <row r="586" spans="3:19" ht="13.5" customHeight="1">
      <c r="C586" s="55"/>
      <c r="D586" s="55"/>
      <c r="E586" s="55"/>
      <c r="F586" s="53"/>
      <c r="G586" s="55"/>
      <c r="H586" s="55"/>
      <c r="I586" s="55"/>
      <c r="J586" s="163"/>
      <c r="K586" s="55"/>
      <c r="L586" s="55"/>
      <c r="M586" s="55"/>
      <c r="N586" s="55"/>
      <c r="O586" s="55"/>
      <c r="P586" s="55"/>
      <c r="Q586" s="55"/>
      <c r="R586" s="55"/>
      <c r="S586" s="55"/>
    </row>
    <row r="587" spans="3:19" ht="13.5" customHeight="1">
      <c r="C587" s="55"/>
      <c r="D587" s="55"/>
      <c r="E587" s="55"/>
      <c r="F587" s="53"/>
      <c r="G587" s="55"/>
      <c r="H587" s="55"/>
      <c r="I587" s="55"/>
      <c r="J587" s="163"/>
      <c r="K587" s="55"/>
      <c r="L587" s="55"/>
      <c r="M587" s="55"/>
      <c r="N587" s="55"/>
      <c r="O587" s="55"/>
      <c r="P587" s="55"/>
      <c r="Q587" s="55"/>
      <c r="R587" s="55"/>
      <c r="S587" s="55"/>
    </row>
    <row r="588" spans="3:19" ht="13.5" customHeight="1">
      <c r="C588" s="55"/>
      <c r="D588" s="55"/>
      <c r="E588" s="55"/>
      <c r="F588" s="53"/>
      <c r="G588" s="55"/>
      <c r="H588" s="55"/>
      <c r="I588" s="55"/>
      <c r="J588" s="163"/>
      <c r="K588" s="55"/>
      <c r="L588" s="55"/>
      <c r="M588" s="55"/>
      <c r="N588" s="55"/>
      <c r="O588" s="55"/>
      <c r="P588" s="55"/>
      <c r="Q588" s="55"/>
      <c r="R588" s="55"/>
      <c r="S588" s="55"/>
    </row>
    <row r="589" spans="3:19" ht="13.5" customHeight="1">
      <c r="C589" s="55"/>
      <c r="D589" s="55"/>
      <c r="E589" s="55"/>
      <c r="F589" s="53"/>
      <c r="G589" s="55"/>
      <c r="H589" s="55"/>
      <c r="I589" s="55"/>
      <c r="J589" s="163"/>
      <c r="K589" s="55"/>
      <c r="L589" s="55"/>
      <c r="M589" s="55"/>
      <c r="N589" s="55"/>
      <c r="O589" s="55"/>
      <c r="P589" s="55"/>
      <c r="Q589" s="55"/>
      <c r="R589" s="55"/>
      <c r="S589" s="55"/>
    </row>
    <row r="590" spans="3:19" ht="13.5" customHeight="1">
      <c r="C590" s="55"/>
      <c r="D590" s="55"/>
      <c r="E590" s="55"/>
      <c r="F590" s="53"/>
      <c r="G590" s="55"/>
      <c r="H590" s="55"/>
      <c r="I590" s="55"/>
      <c r="J590" s="163"/>
      <c r="K590" s="55"/>
      <c r="L590" s="55"/>
      <c r="M590" s="55"/>
      <c r="N590" s="55"/>
      <c r="O590" s="55"/>
      <c r="P590" s="55"/>
      <c r="Q590" s="55"/>
      <c r="R590" s="55"/>
      <c r="S590" s="55"/>
    </row>
    <row r="591" spans="3:19" ht="13.5" customHeight="1">
      <c r="C591" s="55"/>
      <c r="D591" s="55"/>
      <c r="E591" s="55"/>
      <c r="F591" s="53"/>
      <c r="G591" s="55"/>
      <c r="H591" s="55"/>
      <c r="I591" s="55"/>
      <c r="J591" s="163"/>
      <c r="K591" s="55"/>
      <c r="L591" s="55"/>
      <c r="M591" s="55"/>
      <c r="N591" s="55"/>
      <c r="O591" s="55"/>
      <c r="P591" s="55"/>
      <c r="Q591" s="55"/>
      <c r="R591" s="55"/>
      <c r="S591" s="55"/>
    </row>
    <row r="592" spans="3:19" ht="13.5" customHeight="1">
      <c r="C592" s="55"/>
      <c r="D592" s="55"/>
      <c r="E592" s="55"/>
      <c r="F592" s="53"/>
      <c r="G592" s="55"/>
      <c r="H592" s="55"/>
      <c r="I592" s="55"/>
      <c r="J592" s="163"/>
      <c r="K592" s="55"/>
      <c r="L592" s="55"/>
      <c r="M592" s="55"/>
      <c r="N592" s="55"/>
      <c r="O592" s="55"/>
      <c r="P592" s="55"/>
      <c r="Q592" s="55"/>
      <c r="R592" s="55"/>
      <c r="S592" s="55"/>
    </row>
    <row r="593" spans="3:19" ht="13.5" customHeight="1">
      <c r="C593" s="55"/>
      <c r="D593" s="55"/>
      <c r="E593" s="55"/>
      <c r="F593" s="53"/>
      <c r="G593" s="55"/>
      <c r="H593" s="55"/>
      <c r="I593" s="55"/>
      <c r="J593" s="163"/>
      <c r="K593" s="55"/>
      <c r="L593" s="55"/>
      <c r="M593" s="55"/>
      <c r="N593" s="55"/>
      <c r="O593" s="55"/>
      <c r="P593" s="55"/>
      <c r="Q593" s="55"/>
      <c r="R593" s="55"/>
      <c r="S593" s="55"/>
    </row>
    <row r="594" spans="3:19" ht="13.5" customHeight="1">
      <c r="C594" s="55"/>
      <c r="D594" s="55"/>
      <c r="E594" s="55"/>
      <c r="F594" s="53"/>
      <c r="G594" s="55"/>
      <c r="H594" s="55"/>
      <c r="I594" s="55"/>
      <c r="J594" s="163"/>
      <c r="K594" s="55"/>
      <c r="L594" s="55"/>
      <c r="M594" s="55"/>
      <c r="N594" s="55"/>
      <c r="O594" s="55"/>
      <c r="P594" s="55"/>
      <c r="Q594" s="55"/>
      <c r="R594" s="55"/>
      <c r="S594" s="55"/>
    </row>
    <row r="595" spans="3:19" ht="13.5" customHeight="1">
      <c r="C595" s="55"/>
      <c r="D595" s="55"/>
      <c r="E595" s="55"/>
      <c r="F595" s="53"/>
      <c r="G595" s="55"/>
      <c r="H595" s="55"/>
      <c r="I595" s="55"/>
      <c r="J595" s="163"/>
      <c r="K595" s="55"/>
      <c r="L595" s="55"/>
      <c r="M595" s="55"/>
      <c r="N595" s="55"/>
      <c r="O595" s="55"/>
      <c r="P595" s="55"/>
      <c r="Q595" s="55"/>
      <c r="R595" s="55"/>
      <c r="S595" s="55"/>
    </row>
    <row r="596" spans="3:19" ht="13.5" customHeight="1">
      <c r="C596" s="55"/>
      <c r="D596" s="55"/>
      <c r="E596" s="55"/>
      <c r="F596" s="53"/>
      <c r="G596" s="55"/>
      <c r="H596" s="55"/>
      <c r="I596" s="55"/>
      <c r="J596" s="163"/>
      <c r="K596" s="55"/>
      <c r="L596" s="55"/>
      <c r="M596" s="55"/>
      <c r="N596" s="55"/>
      <c r="O596" s="55"/>
      <c r="P596" s="55"/>
      <c r="Q596" s="55"/>
      <c r="R596" s="55"/>
      <c r="S596" s="55"/>
    </row>
    <row r="597" spans="3:19" ht="13.5" customHeight="1">
      <c r="C597" s="55"/>
      <c r="D597" s="55"/>
      <c r="E597" s="55"/>
      <c r="F597" s="53"/>
      <c r="G597" s="55"/>
      <c r="H597" s="55"/>
      <c r="I597" s="55"/>
      <c r="J597" s="163"/>
      <c r="K597" s="55"/>
      <c r="L597" s="55"/>
      <c r="M597" s="55"/>
      <c r="N597" s="55"/>
      <c r="O597" s="55"/>
      <c r="P597" s="55"/>
      <c r="Q597" s="55"/>
      <c r="R597" s="55"/>
      <c r="S597" s="55"/>
    </row>
    <row r="598" spans="3:19" ht="13.5" customHeight="1">
      <c r="C598" s="55"/>
      <c r="D598" s="55"/>
      <c r="E598" s="55"/>
      <c r="F598" s="53"/>
      <c r="G598" s="55"/>
      <c r="H598" s="55"/>
      <c r="I598" s="55"/>
      <c r="J598" s="163"/>
      <c r="K598" s="55"/>
      <c r="L598" s="55"/>
      <c r="M598" s="55"/>
      <c r="N598" s="55"/>
      <c r="O598" s="55"/>
      <c r="P598" s="55"/>
      <c r="Q598" s="55"/>
      <c r="R598" s="55"/>
      <c r="S598" s="55"/>
    </row>
    <row r="599" spans="3:19" ht="13.5" customHeight="1">
      <c r="C599" s="55"/>
      <c r="D599" s="55"/>
      <c r="E599" s="55"/>
      <c r="F599" s="53"/>
      <c r="G599" s="55"/>
      <c r="H599" s="55"/>
      <c r="I599" s="55"/>
      <c r="J599" s="163"/>
      <c r="K599" s="55"/>
      <c r="L599" s="55"/>
      <c r="M599" s="55"/>
      <c r="N599" s="55"/>
      <c r="O599" s="55"/>
      <c r="P599" s="55"/>
      <c r="Q599" s="55"/>
      <c r="R599" s="55"/>
      <c r="S599" s="55"/>
    </row>
    <row r="600" spans="3:19" ht="13.5" customHeight="1">
      <c r="C600" s="55"/>
      <c r="D600" s="55"/>
      <c r="E600" s="55"/>
      <c r="F600" s="53"/>
      <c r="G600" s="55"/>
      <c r="H600" s="55"/>
      <c r="I600" s="55"/>
      <c r="J600" s="163"/>
      <c r="K600" s="55"/>
      <c r="L600" s="55"/>
      <c r="M600" s="55"/>
      <c r="N600" s="55"/>
      <c r="O600" s="55"/>
      <c r="P600" s="55"/>
      <c r="Q600" s="55"/>
      <c r="R600" s="55"/>
      <c r="S600" s="55"/>
    </row>
    <row r="601" spans="3:19" ht="13.5" customHeight="1">
      <c r="C601" s="55"/>
      <c r="D601" s="55"/>
      <c r="E601" s="55"/>
      <c r="F601" s="53"/>
      <c r="G601" s="55"/>
      <c r="H601" s="55"/>
      <c r="I601" s="55"/>
      <c r="J601" s="163"/>
      <c r="K601" s="55"/>
      <c r="L601" s="55"/>
      <c r="M601" s="55"/>
      <c r="N601" s="55"/>
      <c r="O601" s="55"/>
      <c r="P601" s="55"/>
      <c r="Q601" s="55"/>
      <c r="R601" s="55"/>
      <c r="S601" s="55"/>
    </row>
    <row r="602" spans="3:19" ht="13.5" customHeight="1">
      <c r="C602" s="55"/>
      <c r="D602" s="55"/>
      <c r="E602" s="55"/>
      <c r="F602" s="53"/>
      <c r="G602" s="55"/>
      <c r="H602" s="55"/>
      <c r="I602" s="55"/>
      <c r="J602" s="163"/>
      <c r="K602" s="55"/>
      <c r="L602" s="55"/>
      <c r="M602" s="55"/>
      <c r="N602" s="55"/>
      <c r="O602" s="55"/>
      <c r="P602" s="55"/>
      <c r="Q602" s="55"/>
      <c r="R602" s="55"/>
      <c r="S602" s="55"/>
    </row>
    <row r="603" spans="3:19" ht="13.5" customHeight="1">
      <c r="C603" s="55"/>
      <c r="D603" s="55"/>
      <c r="E603" s="55"/>
      <c r="F603" s="53"/>
      <c r="G603" s="55"/>
      <c r="H603" s="55"/>
      <c r="I603" s="55"/>
      <c r="J603" s="163"/>
      <c r="K603" s="55"/>
      <c r="L603" s="55"/>
      <c r="M603" s="55"/>
      <c r="N603" s="55"/>
      <c r="O603" s="55"/>
      <c r="P603" s="55"/>
      <c r="Q603" s="55"/>
      <c r="R603" s="55"/>
      <c r="S603" s="55"/>
    </row>
    <row r="604" spans="3:19" ht="13.5" customHeight="1">
      <c r="C604" s="55"/>
      <c r="D604" s="55"/>
      <c r="E604" s="55"/>
      <c r="F604" s="53"/>
      <c r="G604" s="55"/>
      <c r="H604" s="55"/>
      <c r="I604" s="55"/>
      <c r="J604" s="163"/>
      <c r="K604" s="55"/>
      <c r="L604" s="55"/>
      <c r="M604" s="55"/>
      <c r="N604" s="55"/>
      <c r="O604" s="55"/>
      <c r="P604" s="55"/>
      <c r="Q604" s="55"/>
      <c r="R604" s="55"/>
      <c r="S604" s="55"/>
    </row>
    <row r="605" spans="3:19" ht="13.5" customHeight="1">
      <c r="C605" s="55"/>
      <c r="D605" s="55"/>
      <c r="E605" s="55"/>
      <c r="F605" s="53"/>
      <c r="G605" s="55"/>
      <c r="H605" s="55"/>
      <c r="I605" s="55"/>
      <c r="J605" s="163"/>
      <c r="K605" s="55"/>
      <c r="L605" s="55"/>
      <c r="M605" s="55"/>
      <c r="N605" s="55"/>
      <c r="O605" s="55"/>
      <c r="P605" s="55"/>
      <c r="Q605" s="55"/>
      <c r="R605" s="55"/>
      <c r="S605" s="55"/>
    </row>
    <row r="606" spans="3:19" ht="13.5" customHeight="1">
      <c r="C606" s="55"/>
      <c r="D606" s="55"/>
      <c r="E606" s="55"/>
      <c r="F606" s="53"/>
      <c r="G606" s="55"/>
      <c r="H606" s="55"/>
      <c r="I606" s="55"/>
      <c r="J606" s="163"/>
      <c r="K606" s="55"/>
      <c r="L606" s="55"/>
      <c r="M606" s="55"/>
      <c r="N606" s="55"/>
      <c r="O606" s="55"/>
      <c r="P606" s="55"/>
      <c r="Q606" s="55"/>
      <c r="R606" s="55"/>
      <c r="S606" s="55"/>
    </row>
    <row r="607" spans="3:19" ht="13.5" customHeight="1">
      <c r="C607" s="55"/>
      <c r="D607" s="55"/>
      <c r="E607" s="55"/>
      <c r="F607" s="53"/>
      <c r="G607" s="55"/>
      <c r="H607" s="55"/>
      <c r="I607" s="55"/>
      <c r="J607" s="163"/>
      <c r="K607" s="55"/>
      <c r="L607" s="55"/>
      <c r="M607" s="55"/>
      <c r="N607" s="55"/>
      <c r="O607" s="55"/>
      <c r="P607" s="55"/>
      <c r="Q607" s="55"/>
      <c r="R607" s="55"/>
      <c r="S607" s="55"/>
    </row>
    <row r="608" spans="3:19" ht="13.5" customHeight="1">
      <c r="C608" s="55"/>
      <c r="D608" s="55"/>
      <c r="E608" s="55"/>
      <c r="F608" s="53"/>
      <c r="G608" s="55"/>
      <c r="H608" s="55"/>
      <c r="I608" s="55"/>
      <c r="J608" s="163"/>
      <c r="K608" s="55"/>
      <c r="L608" s="55"/>
      <c r="M608" s="55"/>
      <c r="N608" s="55"/>
      <c r="O608" s="55"/>
      <c r="P608" s="55"/>
      <c r="Q608" s="55"/>
      <c r="R608" s="55"/>
      <c r="S608" s="55"/>
    </row>
    <row r="609" spans="3:19" ht="13.5" customHeight="1">
      <c r="C609" s="55"/>
      <c r="D609" s="55"/>
      <c r="E609" s="55"/>
      <c r="F609" s="53"/>
      <c r="G609" s="55"/>
      <c r="H609" s="55"/>
      <c r="I609" s="55"/>
      <c r="J609" s="163"/>
      <c r="K609" s="55"/>
      <c r="L609" s="55"/>
      <c r="M609" s="55"/>
      <c r="N609" s="55"/>
      <c r="O609" s="55"/>
      <c r="P609" s="55"/>
      <c r="Q609" s="55"/>
      <c r="R609" s="55"/>
      <c r="S609" s="55"/>
    </row>
    <row r="610" spans="3:19" ht="13.5" customHeight="1">
      <c r="C610" s="55"/>
      <c r="D610" s="55"/>
      <c r="E610" s="55"/>
      <c r="F610" s="53"/>
      <c r="G610" s="55"/>
      <c r="H610" s="55"/>
      <c r="I610" s="55"/>
      <c r="J610" s="163"/>
      <c r="K610" s="55"/>
      <c r="L610" s="55"/>
      <c r="M610" s="55"/>
      <c r="N610" s="55"/>
      <c r="O610" s="55"/>
      <c r="P610" s="55"/>
      <c r="Q610" s="55"/>
      <c r="R610" s="55"/>
      <c r="S610" s="55"/>
    </row>
    <row r="611" spans="3:19" ht="13.5" customHeight="1">
      <c r="C611" s="55"/>
      <c r="D611" s="55"/>
      <c r="E611" s="55"/>
      <c r="F611" s="53"/>
      <c r="G611" s="55"/>
      <c r="H611" s="55"/>
      <c r="I611" s="55"/>
      <c r="J611" s="163"/>
      <c r="K611" s="55"/>
      <c r="L611" s="55"/>
      <c r="M611" s="55"/>
      <c r="N611" s="55"/>
      <c r="O611" s="55"/>
      <c r="P611" s="55"/>
      <c r="Q611" s="55"/>
      <c r="R611" s="55"/>
      <c r="S611" s="55"/>
    </row>
    <row r="612" spans="3:19" ht="13.5" customHeight="1">
      <c r="C612" s="55"/>
      <c r="D612" s="55"/>
      <c r="E612" s="55"/>
      <c r="F612" s="53"/>
      <c r="G612" s="55"/>
      <c r="H612" s="55"/>
      <c r="I612" s="55"/>
      <c r="J612" s="163"/>
      <c r="K612" s="55"/>
      <c r="L612" s="55"/>
      <c r="M612" s="55"/>
      <c r="N612" s="55"/>
      <c r="O612" s="55"/>
      <c r="P612" s="55"/>
      <c r="Q612" s="55"/>
      <c r="R612" s="55"/>
      <c r="S612" s="55"/>
    </row>
    <row r="613" spans="3:19" ht="13.5" customHeight="1">
      <c r="C613" s="55"/>
      <c r="D613" s="55"/>
      <c r="E613" s="55"/>
      <c r="F613" s="53"/>
      <c r="G613" s="55"/>
      <c r="H613" s="55"/>
      <c r="I613" s="55"/>
      <c r="J613" s="163"/>
      <c r="K613" s="55"/>
      <c r="L613" s="55"/>
      <c r="M613" s="55"/>
      <c r="N613" s="55"/>
      <c r="O613" s="55"/>
      <c r="P613" s="55"/>
      <c r="Q613" s="55"/>
      <c r="R613" s="55"/>
      <c r="S613" s="55"/>
    </row>
    <row r="614" spans="3:19" ht="13.5" customHeight="1">
      <c r="C614" s="55"/>
      <c r="D614" s="55"/>
      <c r="E614" s="55"/>
      <c r="F614" s="53"/>
      <c r="G614" s="55"/>
      <c r="H614" s="55"/>
      <c r="I614" s="55"/>
      <c r="J614" s="163"/>
      <c r="K614" s="55"/>
      <c r="L614" s="55"/>
      <c r="M614" s="55"/>
      <c r="N614" s="55"/>
      <c r="O614" s="55"/>
      <c r="P614" s="55"/>
      <c r="Q614" s="55"/>
      <c r="R614" s="55"/>
      <c r="S614" s="55"/>
    </row>
    <row r="615" spans="3:19" ht="13.5" customHeight="1">
      <c r="C615" s="55"/>
      <c r="D615" s="55"/>
      <c r="E615" s="55"/>
      <c r="F615" s="53"/>
      <c r="G615" s="55"/>
      <c r="H615" s="55"/>
      <c r="I615" s="55"/>
      <c r="J615" s="163"/>
      <c r="K615" s="55"/>
      <c r="L615" s="55"/>
      <c r="M615" s="55"/>
      <c r="N615" s="55"/>
      <c r="O615" s="55"/>
      <c r="P615" s="55"/>
      <c r="Q615" s="55"/>
      <c r="R615" s="55"/>
      <c r="S615" s="55"/>
    </row>
    <row r="616" spans="3:19" ht="13.5" customHeight="1">
      <c r="C616" s="55"/>
      <c r="D616" s="55"/>
      <c r="E616" s="55"/>
      <c r="F616" s="53"/>
      <c r="G616" s="55"/>
      <c r="H616" s="55"/>
      <c r="I616" s="55"/>
      <c r="J616" s="163"/>
      <c r="K616" s="55"/>
      <c r="L616" s="55"/>
      <c r="M616" s="55"/>
      <c r="N616" s="55"/>
      <c r="O616" s="55"/>
      <c r="P616" s="55"/>
      <c r="Q616" s="55"/>
      <c r="R616" s="55"/>
      <c r="S616" s="55"/>
    </row>
    <row r="617" spans="3:19" ht="13.5" customHeight="1">
      <c r="C617" s="55"/>
      <c r="D617" s="55"/>
      <c r="E617" s="55"/>
      <c r="F617" s="53"/>
      <c r="G617" s="55"/>
      <c r="H617" s="55"/>
      <c r="I617" s="55"/>
      <c r="J617" s="163"/>
      <c r="K617" s="55"/>
      <c r="L617" s="55"/>
      <c r="M617" s="55"/>
      <c r="N617" s="55"/>
      <c r="O617" s="55"/>
      <c r="P617" s="55"/>
      <c r="Q617" s="55"/>
      <c r="R617" s="55"/>
      <c r="S617" s="55"/>
    </row>
    <row r="618" spans="3:19" ht="13.5" customHeight="1">
      <c r="C618" s="55"/>
      <c r="D618" s="55"/>
      <c r="E618" s="55"/>
      <c r="F618" s="53"/>
      <c r="G618" s="55"/>
      <c r="H618" s="55"/>
      <c r="I618" s="55"/>
      <c r="J618" s="163"/>
      <c r="K618" s="55"/>
      <c r="L618" s="55"/>
      <c r="M618" s="55"/>
      <c r="N618" s="55"/>
      <c r="O618" s="55"/>
      <c r="P618" s="55"/>
      <c r="Q618" s="55"/>
      <c r="R618" s="55"/>
      <c r="S618" s="55"/>
    </row>
    <row r="619" spans="3:19" ht="13.5" customHeight="1">
      <c r="C619" s="55"/>
      <c r="D619" s="55"/>
      <c r="E619" s="55"/>
      <c r="F619" s="53"/>
      <c r="G619" s="55"/>
      <c r="H619" s="55"/>
      <c r="I619" s="55"/>
      <c r="J619" s="163"/>
      <c r="K619" s="55"/>
      <c r="L619" s="55"/>
      <c r="M619" s="55"/>
      <c r="N619" s="55"/>
      <c r="O619" s="55"/>
      <c r="P619" s="55"/>
      <c r="Q619" s="55"/>
      <c r="R619" s="55"/>
      <c r="S619" s="55"/>
    </row>
    <row r="620" spans="3:19" ht="13.5" customHeight="1">
      <c r="C620" s="55"/>
      <c r="D620" s="55"/>
      <c r="E620" s="55"/>
      <c r="F620" s="53"/>
      <c r="G620" s="55"/>
      <c r="H620" s="55"/>
      <c r="I620" s="55"/>
      <c r="J620" s="163"/>
      <c r="K620" s="55"/>
      <c r="L620" s="55"/>
      <c r="M620" s="55"/>
      <c r="N620" s="55"/>
      <c r="O620" s="55"/>
      <c r="P620" s="55"/>
      <c r="Q620" s="55"/>
      <c r="R620" s="55"/>
      <c r="S620" s="55"/>
    </row>
    <row r="621" spans="3:19" ht="13.5" customHeight="1">
      <c r="C621" s="55"/>
      <c r="D621" s="55"/>
      <c r="E621" s="55"/>
      <c r="F621" s="53"/>
      <c r="G621" s="55"/>
      <c r="H621" s="55"/>
      <c r="I621" s="55"/>
      <c r="J621" s="163"/>
      <c r="K621" s="55"/>
      <c r="L621" s="55"/>
      <c r="M621" s="55"/>
      <c r="N621" s="55"/>
      <c r="O621" s="55"/>
      <c r="P621" s="55"/>
      <c r="Q621" s="55"/>
      <c r="R621" s="55"/>
      <c r="S621" s="55"/>
    </row>
    <row r="622" spans="3:19" ht="13.5" customHeight="1">
      <c r="C622" s="55"/>
      <c r="D622" s="55"/>
      <c r="E622" s="55"/>
      <c r="F622" s="53"/>
      <c r="G622" s="55"/>
      <c r="H622" s="55"/>
      <c r="I622" s="55"/>
      <c r="J622" s="163"/>
      <c r="K622" s="55"/>
      <c r="L622" s="55"/>
      <c r="M622" s="55"/>
      <c r="N622" s="55"/>
      <c r="O622" s="55"/>
      <c r="P622" s="55"/>
      <c r="Q622" s="55"/>
      <c r="R622" s="55"/>
      <c r="S622" s="55"/>
    </row>
    <row r="623" spans="3:19" ht="13.5" customHeight="1">
      <c r="C623" s="55"/>
      <c r="D623" s="55"/>
      <c r="E623" s="55"/>
      <c r="F623" s="53"/>
      <c r="G623" s="55"/>
      <c r="H623" s="55"/>
      <c r="I623" s="55"/>
      <c r="J623" s="163"/>
      <c r="K623" s="55"/>
      <c r="L623" s="55"/>
      <c r="M623" s="55"/>
      <c r="N623" s="55"/>
      <c r="O623" s="55"/>
      <c r="P623" s="55"/>
      <c r="Q623" s="55"/>
      <c r="R623" s="55"/>
      <c r="S623" s="55"/>
    </row>
    <row r="624" spans="3:19" ht="13.5" customHeight="1">
      <c r="C624" s="55"/>
      <c r="D624" s="55"/>
      <c r="E624" s="55"/>
      <c r="F624" s="53"/>
      <c r="G624" s="55"/>
      <c r="H624" s="55"/>
      <c r="I624" s="55"/>
      <c r="J624" s="163"/>
      <c r="K624" s="55"/>
      <c r="L624" s="55"/>
      <c r="M624" s="55"/>
      <c r="N624" s="55"/>
      <c r="O624" s="55"/>
      <c r="P624" s="55"/>
      <c r="Q624" s="55"/>
      <c r="R624" s="55"/>
      <c r="S624" s="55"/>
    </row>
    <row r="625" spans="3:19" ht="13.5" customHeight="1">
      <c r="C625" s="55"/>
      <c r="D625" s="55"/>
      <c r="E625" s="55"/>
      <c r="F625" s="53"/>
      <c r="G625" s="55"/>
      <c r="H625" s="55"/>
      <c r="I625" s="55"/>
      <c r="J625" s="163"/>
      <c r="K625" s="55"/>
      <c r="L625" s="55"/>
      <c r="M625" s="55"/>
      <c r="N625" s="55"/>
      <c r="O625" s="55"/>
      <c r="P625" s="55"/>
      <c r="Q625" s="55"/>
      <c r="R625" s="55"/>
      <c r="S625" s="55"/>
    </row>
    <row r="626" spans="3:19" ht="13.5" customHeight="1">
      <c r="C626" s="55"/>
      <c r="D626" s="55"/>
      <c r="E626" s="55"/>
      <c r="F626" s="53"/>
      <c r="G626" s="55"/>
      <c r="H626" s="55"/>
      <c r="I626" s="55"/>
      <c r="J626" s="163"/>
      <c r="K626" s="55"/>
      <c r="L626" s="55"/>
      <c r="M626" s="55"/>
      <c r="N626" s="55"/>
      <c r="O626" s="55"/>
      <c r="P626" s="55"/>
      <c r="Q626" s="55"/>
      <c r="R626" s="55"/>
      <c r="S626" s="55"/>
    </row>
    <row r="627" spans="3:19" ht="13.5" customHeight="1">
      <c r="C627" s="55"/>
      <c r="D627" s="55"/>
      <c r="E627" s="55"/>
      <c r="F627" s="53"/>
      <c r="G627" s="55"/>
      <c r="H627" s="55"/>
      <c r="I627" s="55"/>
      <c r="J627" s="163"/>
      <c r="K627" s="55"/>
      <c r="L627" s="55"/>
      <c r="M627" s="55"/>
      <c r="N627" s="55"/>
      <c r="O627" s="55"/>
      <c r="P627" s="55"/>
      <c r="Q627" s="55"/>
      <c r="R627" s="55"/>
      <c r="S627" s="55"/>
    </row>
    <row r="628" spans="3:19" ht="13.5" customHeight="1">
      <c r="C628" s="55"/>
      <c r="D628" s="55"/>
      <c r="E628" s="55"/>
      <c r="F628" s="53"/>
      <c r="G628" s="55"/>
      <c r="H628" s="55"/>
      <c r="I628" s="55"/>
      <c r="J628" s="163"/>
      <c r="K628" s="55"/>
      <c r="L628" s="55"/>
      <c r="M628" s="55"/>
      <c r="N628" s="55"/>
      <c r="O628" s="55"/>
      <c r="P628" s="55"/>
      <c r="Q628" s="55"/>
      <c r="R628" s="55"/>
      <c r="S628" s="55"/>
    </row>
    <row r="629" spans="3:19" ht="13.5" customHeight="1">
      <c r="C629" s="55"/>
      <c r="D629" s="55"/>
      <c r="E629" s="55"/>
      <c r="F629" s="53"/>
      <c r="G629" s="55"/>
      <c r="H629" s="55"/>
      <c r="I629" s="55"/>
      <c r="J629" s="163"/>
      <c r="K629" s="55"/>
      <c r="L629" s="55"/>
      <c r="M629" s="55"/>
      <c r="N629" s="55"/>
      <c r="O629" s="55"/>
      <c r="P629" s="55"/>
      <c r="Q629" s="55"/>
      <c r="R629" s="55"/>
      <c r="S629" s="55"/>
    </row>
    <row r="630" spans="3:19" ht="13.5" customHeight="1">
      <c r="C630" s="55"/>
      <c r="D630" s="55"/>
      <c r="E630" s="55"/>
      <c r="F630" s="53"/>
      <c r="G630" s="55"/>
      <c r="H630" s="55"/>
      <c r="I630" s="55"/>
      <c r="J630" s="163"/>
      <c r="K630" s="55"/>
      <c r="L630" s="55"/>
      <c r="M630" s="55"/>
      <c r="N630" s="55"/>
      <c r="O630" s="55"/>
      <c r="P630" s="55"/>
      <c r="Q630" s="55"/>
      <c r="R630" s="55"/>
      <c r="S630" s="55"/>
    </row>
    <row r="631" spans="3:19" ht="13.5" customHeight="1">
      <c r="C631" s="55"/>
      <c r="D631" s="55"/>
      <c r="E631" s="55"/>
      <c r="F631" s="53"/>
      <c r="G631" s="55"/>
      <c r="H631" s="55"/>
      <c r="I631" s="55"/>
      <c r="J631" s="163"/>
      <c r="K631" s="55"/>
      <c r="L631" s="55"/>
      <c r="M631" s="55"/>
      <c r="N631" s="55"/>
      <c r="O631" s="55"/>
      <c r="P631" s="55"/>
      <c r="Q631" s="55"/>
      <c r="R631" s="55"/>
      <c r="S631" s="55"/>
    </row>
    <row r="632" spans="3:19" ht="13.5" customHeight="1">
      <c r="C632" s="55"/>
      <c r="D632" s="55"/>
      <c r="E632" s="55"/>
      <c r="F632" s="53"/>
      <c r="G632" s="55"/>
      <c r="H632" s="55"/>
      <c r="I632" s="55"/>
      <c r="J632" s="163"/>
      <c r="K632" s="55"/>
      <c r="L632" s="55"/>
      <c r="M632" s="55"/>
      <c r="N632" s="55"/>
      <c r="O632" s="55"/>
      <c r="P632" s="55"/>
      <c r="Q632" s="55"/>
      <c r="R632" s="55"/>
      <c r="S632" s="55"/>
    </row>
    <row r="633" spans="3:19" ht="13.5" customHeight="1">
      <c r="C633" s="55"/>
      <c r="D633" s="55"/>
      <c r="E633" s="55"/>
      <c r="F633" s="53"/>
      <c r="G633" s="55"/>
      <c r="H633" s="55"/>
      <c r="I633" s="55"/>
      <c r="J633" s="163"/>
      <c r="K633" s="55"/>
      <c r="L633" s="55"/>
      <c r="M633" s="55"/>
      <c r="N633" s="55"/>
      <c r="O633" s="55"/>
      <c r="P633" s="55"/>
      <c r="Q633" s="55"/>
      <c r="R633" s="55"/>
      <c r="S633" s="55"/>
    </row>
    <row r="634" spans="3:19" ht="13.5" customHeight="1">
      <c r="C634" s="55"/>
      <c r="D634" s="55"/>
      <c r="E634" s="55"/>
      <c r="F634" s="53"/>
      <c r="G634" s="55"/>
      <c r="H634" s="55"/>
      <c r="I634" s="55"/>
      <c r="J634" s="163"/>
      <c r="K634" s="55"/>
      <c r="L634" s="55"/>
      <c r="M634" s="55"/>
      <c r="N634" s="55"/>
      <c r="O634" s="55"/>
      <c r="P634" s="55"/>
      <c r="Q634" s="55"/>
      <c r="R634" s="55"/>
      <c r="S634" s="55"/>
    </row>
    <row r="635" spans="3:19" ht="13.5" customHeight="1">
      <c r="C635" s="55"/>
      <c r="D635" s="55"/>
      <c r="E635" s="55"/>
      <c r="F635" s="53"/>
      <c r="G635" s="55"/>
      <c r="H635" s="55"/>
      <c r="I635" s="55"/>
      <c r="J635" s="163"/>
      <c r="K635" s="55"/>
      <c r="L635" s="55"/>
      <c r="M635" s="55"/>
      <c r="N635" s="55"/>
      <c r="O635" s="55"/>
      <c r="P635" s="55"/>
      <c r="Q635" s="55"/>
      <c r="R635" s="55"/>
      <c r="S635" s="55"/>
    </row>
    <row r="636" spans="3:19" ht="13.5" customHeight="1">
      <c r="C636" s="55"/>
      <c r="D636" s="55"/>
      <c r="E636" s="55"/>
      <c r="F636" s="53"/>
      <c r="G636" s="55"/>
      <c r="H636" s="55"/>
      <c r="I636" s="55"/>
      <c r="J636" s="163"/>
      <c r="K636" s="55"/>
      <c r="L636" s="55"/>
      <c r="M636" s="55"/>
      <c r="N636" s="55"/>
      <c r="O636" s="55"/>
      <c r="P636" s="55"/>
      <c r="Q636" s="55"/>
      <c r="R636" s="55"/>
      <c r="S636" s="55"/>
    </row>
    <row r="637" spans="3:19" ht="13.5" customHeight="1">
      <c r="C637" s="55"/>
      <c r="D637" s="55"/>
      <c r="E637" s="55"/>
      <c r="F637" s="53"/>
      <c r="G637" s="55"/>
      <c r="H637" s="55"/>
      <c r="I637" s="55"/>
      <c r="J637" s="163"/>
      <c r="K637" s="55"/>
      <c r="L637" s="55"/>
      <c r="M637" s="55"/>
      <c r="N637" s="55"/>
      <c r="O637" s="55"/>
      <c r="P637" s="55"/>
      <c r="Q637" s="55"/>
      <c r="R637" s="55"/>
      <c r="S637" s="55"/>
    </row>
    <row r="638" spans="3:19" ht="13.5" customHeight="1">
      <c r="C638" s="55"/>
      <c r="D638" s="55"/>
      <c r="E638" s="55"/>
      <c r="F638" s="53"/>
      <c r="G638" s="55"/>
      <c r="H638" s="55"/>
      <c r="I638" s="55"/>
      <c r="J638" s="163"/>
      <c r="K638" s="55"/>
      <c r="L638" s="55"/>
      <c r="M638" s="55"/>
      <c r="N638" s="55"/>
      <c r="O638" s="55"/>
      <c r="P638" s="55"/>
      <c r="Q638" s="55"/>
      <c r="R638" s="55"/>
      <c r="S638" s="55"/>
    </row>
    <row r="639" spans="3:19" ht="13.5" customHeight="1">
      <c r="C639" s="55"/>
      <c r="D639" s="55"/>
      <c r="E639" s="55"/>
      <c r="F639" s="53"/>
      <c r="G639" s="55"/>
      <c r="H639" s="55"/>
      <c r="I639" s="55"/>
      <c r="J639" s="163"/>
      <c r="K639" s="55"/>
      <c r="L639" s="55"/>
      <c r="M639" s="55"/>
      <c r="N639" s="55"/>
      <c r="O639" s="55"/>
      <c r="P639" s="55"/>
      <c r="Q639" s="55"/>
      <c r="R639" s="55"/>
      <c r="S639" s="55"/>
    </row>
    <row r="640" spans="3:19" ht="13.5" customHeight="1">
      <c r="C640" s="55"/>
      <c r="D640" s="55"/>
      <c r="E640" s="55"/>
      <c r="F640" s="53"/>
      <c r="G640" s="55"/>
      <c r="H640" s="55"/>
      <c r="I640" s="55"/>
      <c r="J640" s="163"/>
      <c r="K640" s="55"/>
      <c r="L640" s="55"/>
      <c r="M640" s="55"/>
      <c r="N640" s="55"/>
      <c r="O640" s="55"/>
      <c r="P640" s="55"/>
      <c r="Q640" s="55"/>
      <c r="R640" s="55"/>
      <c r="S640" s="55"/>
    </row>
    <row r="641" spans="3:19" ht="13.5" customHeight="1">
      <c r="C641" s="55"/>
      <c r="D641" s="55"/>
      <c r="E641" s="55"/>
      <c r="F641" s="53"/>
      <c r="G641" s="55"/>
      <c r="H641" s="55"/>
      <c r="I641" s="55"/>
      <c r="J641" s="163"/>
      <c r="K641" s="55"/>
      <c r="L641" s="55"/>
      <c r="M641" s="55"/>
      <c r="N641" s="55"/>
      <c r="O641" s="55"/>
      <c r="P641" s="55"/>
      <c r="Q641" s="55"/>
      <c r="R641" s="55"/>
      <c r="S641" s="55"/>
    </row>
    <row r="642" spans="3:19" ht="13.5" customHeight="1">
      <c r="C642" s="55"/>
      <c r="D642" s="55"/>
      <c r="E642" s="55"/>
      <c r="F642" s="53"/>
      <c r="G642" s="55"/>
      <c r="H642" s="55"/>
      <c r="I642" s="55"/>
      <c r="J642" s="163"/>
      <c r="K642" s="55"/>
      <c r="L642" s="55"/>
      <c r="M642" s="55"/>
      <c r="N642" s="55"/>
      <c r="O642" s="55"/>
      <c r="P642" s="55"/>
      <c r="Q642" s="55"/>
      <c r="R642" s="55"/>
      <c r="S642" s="55"/>
    </row>
    <row r="643" spans="3:19" ht="13.5" customHeight="1">
      <c r="C643" s="55"/>
      <c r="D643" s="55"/>
      <c r="E643" s="55"/>
      <c r="F643" s="53"/>
      <c r="G643" s="55"/>
      <c r="H643" s="55"/>
      <c r="I643" s="55"/>
      <c r="J643" s="163"/>
      <c r="K643" s="55"/>
      <c r="L643" s="55"/>
      <c r="M643" s="55"/>
      <c r="N643" s="55"/>
      <c r="O643" s="55"/>
      <c r="P643" s="55"/>
      <c r="Q643" s="55"/>
      <c r="R643" s="55"/>
      <c r="S643" s="55"/>
    </row>
    <row r="644" spans="3:19" ht="13.5" customHeight="1">
      <c r="C644" s="55"/>
      <c r="D644" s="55"/>
      <c r="E644" s="55"/>
      <c r="F644" s="53"/>
      <c r="G644" s="55"/>
      <c r="H644" s="55"/>
      <c r="I644" s="55"/>
      <c r="J644" s="163"/>
      <c r="K644" s="55"/>
      <c r="L644" s="55"/>
      <c r="M644" s="55"/>
      <c r="N644" s="55"/>
      <c r="O644" s="55"/>
      <c r="P644" s="55"/>
      <c r="Q644" s="55"/>
      <c r="R644" s="55"/>
      <c r="S644" s="55"/>
    </row>
    <row r="645" spans="3:19" ht="13.5" customHeight="1">
      <c r="C645" s="55"/>
      <c r="D645" s="55"/>
      <c r="E645" s="55"/>
      <c r="F645" s="53"/>
      <c r="G645" s="55"/>
      <c r="H645" s="55"/>
      <c r="I645" s="55"/>
      <c r="J645" s="163"/>
      <c r="K645" s="55"/>
      <c r="L645" s="55"/>
      <c r="M645" s="55"/>
      <c r="N645" s="55"/>
      <c r="O645" s="55"/>
      <c r="P645" s="55"/>
      <c r="Q645" s="55"/>
      <c r="R645" s="55"/>
      <c r="S645" s="55"/>
    </row>
    <row r="646" spans="3:19" ht="13.5" customHeight="1">
      <c r="C646" s="55"/>
      <c r="D646" s="55"/>
      <c r="E646" s="55"/>
      <c r="F646" s="53"/>
      <c r="G646" s="55"/>
      <c r="H646" s="55"/>
      <c r="I646" s="55"/>
      <c r="J646" s="163"/>
      <c r="K646" s="55"/>
      <c r="L646" s="55"/>
      <c r="M646" s="55"/>
      <c r="N646" s="55"/>
      <c r="O646" s="55"/>
      <c r="P646" s="55"/>
      <c r="Q646" s="55"/>
      <c r="R646" s="55"/>
      <c r="S646" s="55"/>
    </row>
    <row r="647" spans="3:19" ht="13.5" customHeight="1">
      <c r="C647" s="55"/>
      <c r="D647" s="55"/>
      <c r="E647" s="55"/>
      <c r="F647" s="53"/>
      <c r="G647" s="55"/>
      <c r="H647" s="55"/>
      <c r="I647" s="55"/>
      <c r="J647" s="163"/>
      <c r="K647" s="55"/>
      <c r="L647" s="55"/>
      <c r="M647" s="55"/>
      <c r="N647" s="55"/>
      <c r="O647" s="55"/>
      <c r="P647" s="55"/>
      <c r="Q647" s="55"/>
      <c r="R647" s="55"/>
      <c r="S647" s="55"/>
    </row>
    <row r="648" spans="3:19" ht="13.5" customHeight="1">
      <c r="C648" s="55"/>
      <c r="D648" s="55"/>
      <c r="E648" s="55"/>
      <c r="F648" s="53"/>
      <c r="G648" s="55"/>
      <c r="H648" s="55"/>
      <c r="I648" s="55"/>
      <c r="J648" s="163"/>
      <c r="K648" s="55"/>
      <c r="L648" s="55"/>
      <c r="M648" s="55"/>
      <c r="N648" s="55"/>
      <c r="O648" s="55"/>
      <c r="P648" s="55"/>
      <c r="Q648" s="55"/>
      <c r="R648" s="55"/>
      <c r="S648" s="55"/>
    </row>
    <row r="649" spans="3:19" ht="13.5" customHeight="1">
      <c r="C649" s="55"/>
      <c r="D649" s="55"/>
      <c r="E649" s="55"/>
      <c r="F649" s="53"/>
      <c r="G649" s="55"/>
      <c r="H649" s="55"/>
      <c r="I649" s="55"/>
      <c r="J649" s="163"/>
      <c r="K649" s="55"/>
      <c r="L649" s="55"/>
      <c r="M649" s="55"/>
      <c r="N649" s="55"/>
      <c r="O649" s="55"/>
      <c r="P649" s="55"/>
      <c r="Q649" s="55"/>
      <c r="R649" s="55"/>
      <c r="S649" s="55"/>
    </row>
    <row r="650" spans="3:19" ht="13.5" customHeight="1">
      <c r="C650" s="55"/>
      <c r="D650" s="55"/>
      <c r="E650" s="55"/>
      <c r="F650" s="53"/>
      <c r="G650" s="55"/>
      <c r="H650" s="55"/>
      <c r="I650" s="55"/>
      <c r="J650" s="163"/>
      <c r="K650" s="55"/>
      <c r="L650" s="55"/>
      <c r="M650" s="55"/>
      <c r="N650" s="55"/>
      <c r="O650" s="55"/>
      <c r="P650" s="55"/>
      <c r="Q650" s="55"/>
      <c r="R650" s="55"/>
      <c r="S650" s="55"/>
    </row>
    <row r="651" spans="3:19" ht="13.5" customHeight="1">
      <c r="C651" s="55"/>
      <c r="D651" s="55"/>
      <c r="E651" s="55"/>
      <c r="F651" s="53"/>
      <c r="G651" s="55"/>
      <c r="H651" s="55"/>
      <c r="I651" s="55"/>
      <c r="J651" s="163"/>
      <c r="K651" s="55"/>
      <c r="L651" s="55"/>
      <c r="M651" s="55"/>
      <c r="N651" s="55"/>
      <c r="O651" s="55"/>
      <c r="P651" s="55"/>
      <c r="Q651" s="55"/>
      <c r="R651" s="55"/>
      <c r="S651" s="55"/>
    </row>
    <row r="652" spans="3:19" ht="13.5" customHeight="1">
      <c r="C652" s="55"/>
      <c r="D652" s="55"/>
      <c r="E652" s="55"/>
      <c r="F652" s="53"/>
      <c r="G652" s="55"/>
      <c r="H652" s="55"/>
      <c r="I652" s="55"/>
      <c r="J652" s="163"/>
      <c r="K652" s="55"/>
      <c r="L652" s="55"/>
      <c r="M652" s="55"/>
      <c r="N652" s="55"/>
      <c r="O652" s="55"/>
      <c r="P652" s="55"/>
      <c r="Q652" s="55"/>
      <c r="R652" s="55"/>
      <c r="S652" s="55"/>
    </row>
    <row r="653" spans="3:19" ht="13.5" customHeight="1">
      <c r="C653" s="55"/>
      <c r="D653" s="55"/>
      <c r="E653" s="55"/>
      <c r="F653" s="53"/>
      <c r="G653" s="55"/>
      <c r="H653" s="55"/>
      <c r="I653" s="55"/>
      <c r="J653" s="163"/>
      <c r="K653" s="55"/>
      <c r="L653" s="55"/>
      <c r="M653" s="55"/>
      <c r="N653" s="55"/>
      <c r="O653" s="55"/>
      <c r="P653" s="55"/>
      <c r="Q653" s="55"/>
      <c r="R653" s="55"/>
      <c r="S653" s="55"/>
    </row>
    <row r="654" spans="3:19" ht="13.5" customHeight="1">
      <c r="C654" s="55"/>
      <c r="D654" s="55"/>
      <c r="E654" s="55"/>
      <c r="F654" s="53"/>
      <c r="G654" s="55"/>
      <c r="H654" s="55"/>
      <c r="I654" s="55"/>
      <c r="J654" s="163"/>
      <c r="K654" s="55"/>
      <c r="L654" s="55"/>
      <c r="M654" s="55"/>
      <c r="N654" s="55"/>
      <c r="O654" s="55"/>
      <c r="P654" s="55"/>
      <c r="Q654" s="55"/>
      <c r="R654" s="55"/>
      <c r="S654" s="55"/>
    </row>
    <row r="655" spans="3:19" ht="13.5" customHeight="1">
      <c r="C655" s="55"/>
      <c r="D655" s="55"/>
      <c r="E655" s="55"/>
      <c r="F655" s="53"/>
      <c r="G655" s="55"/>
      <c r="H655" s="55"/>
      <c r="I655" s="55"/>
      <c r="J655" s="163"/>
      <c r="K655" s="55"/>
      <c r="L655" s="55"/>
      <c r="M655" s="55"/>
      <c r="N655" s="55"/>
      <c r="O655" s="55"/>
      <c r="P655" s="55"/>
      <c r="Q655" s="55"/>
      <c r="R655" s="55"/>
      <c r="S655" s="55"/>
    </row>
    <row r="656" spans="3:19" ht="13.5" customHeight="1">
      <c r="C656" s="55"/>
      <c r="D656" s="55"/>
      <c r="E656" s="55"/>
      <c r="F656" s="53"/>
      <c r="G656" s="55"/>
      <c r="H656" s="55"/>
      <c r="I656" s="55"/>
      <c r="J656" s="163"/>
      <c r="K656" s="55"/>
      <c r="L656" s="55"/>
      <c r="M656" s="55"/>
      <c r="N656" s="55"/>
      <c r="O656" s="55"/>
      <c r="P656" s="55"/>
      <c r="Q656" s="55"/>
      <c r="R656" s="55"/>
      <c r="S656" s="55"/>
    </row>
    <row r="657" spans="3:19" ht="13.5" customHeight="1">
      <c r="C657" s="55"/>
      <c r="D657" s="55"/>
      <c r="E657" s="55"/>
      <c r="F657" s="53"/>
      <c r="G657" s="55"/>
      <c r="H657" s="55"/>
      <c r="I657" s="55"/>
      <c r="J657" s="163"/>
      <c r="K657" s="55"/>
      <c r="L657" s="55"/>
      <c r="M657" s="55"/>
      <c r="N657" s="55"/>
      <c r="O657" s="55"/>
      <c r="P657" s="55"/>
      <c r="Q657" s="55"/>
      <c r="R657" s="55"/>
      <c r="S657" s="55"/>
    </row>
    <row r="658" spans="3:19" ht="13.5" customHeight="1">
      <c r="C658" s="55"/>
      <c r="D658" s="55"/>
      <c r="E658" s="55"/>
      <c r="F658" s="53"/>
      <c r="G658" s="55"/>
      <c r="H658" s="55"/>
      <c r="I658" s="55"/>
      <c r="J658" s="163"/>
      <c r="K658" s="55"/>
      <c r="L658" s="55"/>
      <c r="M658" s="55"/>
      <c r="N658" s="55"/>
      <c r="O658" s="55"/>
      <c r="P658" s="55"/>
      <c r="Q658" s="55"/>
      <c r="R658" s="55"/>
      <c r="S658" s="55"/>
    </row>
    <row r="659" spans="3:19" ht="13.5" customHeight="1">
      <c r="C659" s="55"/>
      <c r="D659" s="55"/>
      <c r="E659" s="55"/>
      <c r="F659" s="53"/>
      <c r="G659" s="55"/>
      <c r="H659" s="55"/>
      <c r="I659" s="55"/>
      <c r="J659" s="163"/>
      <c r="K659" s="55"/>
      <c r="L659" s="55"/>
      <c r="M659" s="55"/>
      <c r="N659" s="55"/>
      <c r="O659" s="55"/>
      <c r="P659" s="55"/>
      <c r="Q659" s="55"/>
      <c r="R659" s="55"/>
      <c r="S659" s="55"/>
    </row>
    <row r="660" spans="3:19" ht="13.5" customHeight="1">
      <c r="C660" s="55"/>
      <c r="D660" s="55"/>
      <c r="E660" s="55"/>
      <c r="F660" s="53"/>
      <c r="G660" s="55"/>
      <c r="H660" s="55"/>
      <c r="I660" s="55"/>
      <c r="J660" s="163"/>
      <c r="K660" s="55"/>
      <c r="L660" s="55"/>
      <c r="M660" s="55"/>
      <c r="N660" s="55"/>
      <c r="O660" s="55"/>
      <c r="P660" s="55"/>
      <c r="Q660" s="55"/>
      <c r="R660" s="55"/>
      <c r="S660" s="55"/>
    </row>
    <row r="661" spans="3:19" ht="13.5" customHeight="1">
      <c r="C661" s="55"/>
      <c r="D661" s="55"/>
      <c r="E661" s="55"/>
      <c r="F661" s="53"/>
      <c r="G661" s="55"/>
      <c r="H661" s="55"/>
      <c r="I661" s="55"/>
      <c r="J661" s="163"/>
      <c r="K661" s="55"/>
      <c r="L661" s="55"/>
      <c r="M661" s="55"/>
      <c r="N661" s="55"/>
      <c r="O661" s="55"/>
      <c r="P661" s="55"/>
      <c r="Q661" s="55"/>
      <c r="R661" s="55"/>
      <c r="S661" s="55"/>
    </row>
    <row r="662" spans="3:19" ht="13.5" customHeight="1">
      <c r="C662" s="55"/>
      <c r="D662" s="55"/>
      <c r="E662" s="55"/>
      <c r="F662" s="53"/>
      <c r="G662" s="55"/>
      <c r="H662" s="55"/>
      <c r="I662" s="55"/>
      <c r="J662" s="163"/>
      <c r="K662" s="55"/>
      <c r="L662" s="55"/>
      <c r="M662" s="55"/>
      <c r="N662" s="55"/>
      <c r="O662" s="55"/>
      <c r="P662" s="55"/>
      <c r="Q662" s="55"/>
      <c r="R662" s="55"/>
      <c r="S662" s="55"/>
    </row>
    <row r="663" spans="3:19" ht="13.5" customHeight="1">
      <c r="C663" s="55"/>
      <c r="D663" s="55"/>
      <c r="E663" s="55"/>
      <c r="F663" s="53"/>
      <c r="G663" s="55"/>
      <c r="H663" s="55"/>
      <c r="I663" s="55"/>
      <c r="J663" s="163"/>
      <c r="K663" s="55"/>
      <c r="L663" s="55"/>
      <c r="M663" s="55"/>
      <c r="N663" s="55"/>
      <c r="O663" s="55"/>
      <c r="P663" s="55"/>
      <c r="Q663" s="55"/>
      <c r="R663" s="55"/>
      <c r="S663" s="55"/>
    </row>
    <row r="664" spans="3:19" ht="13.5" customHeight="1">
      <c r="C664" s="55"/>
      <c r="D664" s="55"/>
      <c r="E664" s="55"/>
      <c r="F664" s="53"/>
      <c r="G664" s="55"/>
      <c r="H664" s="55"/>
      <c r="I664" s="55"/>
      <c r="J664" s="163"/>
      <c r="K664" s="55"/>
      <c r="L664" s="55"/>
      <c r="M664" s="55"/>
      <c r="N664" s="55"/>
      <c r="O664" s="55"/>
      <c r="P664" s="55"/>
      <c r="Q664" s="55"/>
      <c r="R664" s="55"/>
      <c r="S664" s="55"/>
    </row>
    <row r="665" spans="3:19" ht="13.5" customHeight="1">
      <c r="C665" s="55"/>
      <c r="D665" s="55"/>
      <c r="E665" s="55"/>
      <c r="F665" s="53"/>
      <c r="G665" s="55"/>
      <c r="H665" s="55"/>
      <c r="I665" s="55"/>
      <c r="J665" s="163"/>
      <c r="K665" s="55"/>
      <c r="L665" s="55"/>
      <c r="M665" s="55"/>
      <c r="N665" s="55"/>
      <c r="O665" s="55"/>
      <c r="P665" s="55"/>
      <c r="Q665" s="55"/>
      <c r="R665" s="55"/>
      <c r="S665" s="55"/>
    </row>
    <row r="666" spans="3:19" ht="13.5" customHeight="1">
      <c r="C666" s="55"/>
      <c r="D666" s="55"/>
      <c r="E666" s="55"/>
      <c r="F666" s="53"/>
      <c r="G666" s="55"/>
      <c r="H666" s="55"/>
      <c r="I666" s="55"/>
      <c r="J666" s="163"/>
      <c r="K666" s="55"/>
      <c r="L666" s="55"/>
      <c r="M666" s="55"/>
      <c r="N666" s="55"/>
      <c r="O666" s="55"/>
      <c r="P666" s="55"/>
      <c r="Q666" s="55"/>
      <c r="R666" s="55"/>
      <c r="S666" s="55"/>
    </row>
    <row r="667" spans="3:19" ht="13.5" customHeight="1">
      <c r="C667" s="55"/>
      <c r="D667" s="55"/>
      <c r="E667" s="55"/>
      <c r="F667" s="53"/>
      <c r="G667" s="55"/>
      <c r="H667" s="55"/>
      <c r="I667" s="55"/>
      <c r="J667" s="163"/>
      <c r="K667" s="55"/>
      <c r="L667" s="55"/>
      <c r="M667" s="55"/>
      <c r="N667" s="55"/>
      <c r="O667" s="55"/>
      <c r="P667" s="55"/>
      <c r="Q667" s="55"/>
      <c r="R667" s="55"/>
      <c r="S667" s="55"/>
    </row>
    <row r="668" spans="3:19" ht="13.5" customHeight="1">
      <c r="C668" s="55"/>
      <c r="D668" s="55"/>
      <c r="E668" s="55"/>
      <c r="F668" s="53"/>
      <c r="G668" s="55"/>
      <c r="H668" s="55"/>
      <c r="I668" s="55"/>
      <c r="J668" s="163"/>
      <c r="K668" s="55"/>
      <c r="L668" s="55"/>
      <c r="M668" s="55"/>
      <c r="N668" s="55"/>
      <c r="O668" s="55"/>
      <c r="P668" s="55"/>
      <c r="Q668" s="55"/>
      <c r="R668" s="55"/>
      <c r="S668" s="55"/>
    </row>
    <row r="669" spans="3:19" ht="13.5" customHeight="1">
      <c r="C669" s="55"/>
      <c r="D669" s="55"/>
      <c r="E669" s="55"/>
      <c r="F669" s="53"/>
      <c r="G669" s="55"/>
      <c r="H669" s="55"/>
      <c r="I669" s="55"/>
      <c r="J669" s="163"/>
      <c r="K669" s="55"/>
      <c r="L669" s="55"/>
      <c r="M669" s="55"/>
      <c r="N669" s="55"/>
      <c r="O669" s="55"/>
      <c r="P669" s="55"/>
      <c r="Q669" s="55"/>
      <c r="R669" s="55"/>
      <c r="S669" s="55"/>
    </row>
    <row r="670" spans="3:19" ht="13.5" customHeight="1">
      <c r="C670" s="55"/>
      <c r="D670" s="55"/>
      <c r="E670" s="55"/>
      <c r="F670" s="53"/>
      <c r="G670" s="55"/>
      <c r="H670" s="55"/>
      <c r="I670" s="55"/>
      <c r="J670" s="163"/>
      <c r="K670" s="55"/>
      <c r="L670" s="55"/>
      <c r="M670" s="55"/>
      <c r="N670" s="55"/>
      <c r="O670" s="55"/>
      <c r="P670" s="55"/>
      <c r="Q670" s="55"/>
      <c r="R670" s="55"/>
      <c r="S670" s="55"/>
    </row>
    <row r="671" spans="3:19" ht="13.5" customHeight="1">
      <c r="C671" s="55"/>
      <c r="D671" s="55"/>
      <c r="E671" s="55"/>
      <c r="F671" s="53"/>
      <c r="G671" s="55"/>
      <c r="H671" s="55"/>
      <c r="I671" s="55"/>
      <c r="J671" s="163"/>
      <c r="K671" s="55"/>
      <c r="L671" s="55"/>
      <c r="M671" s="55"/>
      <c r="N671" s="55"/>
      <c r="O671" s="55"/>
      <c r="P671" s="55"/>
      <c r="Q671" s="55"/>
      <c r="R671" s="55"/>
      <c r="S671" s="55"/>
    </row>
    <row r="672" spans="3:19" ht="13.5" customHeight="1">
      <c r="C672" s="55"/>
      <c r="D672" s="55"/>
      <c r="E672" s="55"/>
      <c r="F672" s="53"/>
      <c r="G672" s="55"/>
      <c r="H672" s="55"/>
      <c r="I672" s="55"/>
      <c r="J672" s="163"/>
      <c r="K672" s="55"/>
      <c r="L672" s="55"/>
      <c r="M672" s="55"/>
      <c r="N672" s="55"/>
      <c r="O672" s="55"/>
      <c r="P672" s="55"/>
      <c r="Q672" s="55"/>
      <c r="R672" s="55"/>
      <c r="S672" s="55"/>
    </row>
    <row r="673" spans="3:19" ht="13.5" customHeight="1">
      <c r="C673" s="55"/>
      <c r="D673" s="55"/>
      <c r="E673" s="55"/>
      <c r="F673" s="53"/>
      <c r="G673" s="55"/>
      <c r="H673" s="55"/>
      <c r="I673" s="55"/>
      <c r="J673" s="163"/>
      <c r="K673" s="55"/>
      <c r="L673" s="55"/>
      <c r="M673" s="55"/>
      <c r="N673" s="55"/>
      <c r="O673" s="55"/>
      <c r="P673" s="55"/>
      <c r="Q673" s="55"/>
      <c r="R673" s="55"/>
      <c r="S673" s="55"/>
    </row>
    <row r="674" spans="3:19" ht="13.5" customHeight="1">
      <c r="C674" s="55"/>
      <c r="D674" s="55"/>
      <c r="E674" s="55"/>
      <c r="F674" s="53"/>
      <c r="G674" s="55"/>
      <c r="H674" s="55"/>
      <c r="I674" s="55"/>
      <c r="J674" s="163"/>
      <c r="K674" s="55"/>
      <c r="L674" s="55"/>
      <c r="M674" s="55"/>
      <c r="N674" s="55"/>
      <c r="O674" s="55"/>
      <c r="P674" s="55"/>
      <c r="Q674" s="55"/>
      <c r="R674" s="55"/>
      <c r="S674" s="55"/>
    </row>
    <row r="675" spans="3:19" ht="13.5" customHeight="1">
      <c r="C675" s="55"/>
      <c r="D675" s="55"/>
      <c r="E675" s="55"/>
      <c r="F675" s="53"/>
      <c r="G675" s="55"/>
      <c r="H675" s="55"/>
      <c r="I675" s="55"/>
      <c r="J675" s="163"/>
      <c r="K675" s="55"/>
      <c r="L675" s="55"/>
      <c r="M675" s="55"/>
      <c r="N675" s="55"/>
      <c r="O675" s="55"/>
      <c r="P675" s="55"/>
      <c r="Q675" s="55"/>
      <c r="R675" s="55"/>
      <c r="S675" s="55"/>
    </row>
    <row r="676" spans="3:19" ht="13.5" customHeight="1">
      <c r="C676" s="55"/>
      <c r="D676" s="55"/>
      <c r="E676" s="55"/>
      <c r="F676" s="53"/>
      <c r="G676" s="55"/>
      <c r="H676" s="55"/>
      <c r="I676" s="55"/>
      <c r="J676" s="163"/>
      <c r="K676" s="55"/>
      <c r="L676" s="55"/>
      <c r="M676" s="55"/>
      <c r="N676" s="55"/>
      <c r="O676" s="55"/>
      <c r="P676" s="55"/>
      <c r="Q676" s="55"/>
      <c r="R676" s="55"/>
      <c r="S676" s="55"/>
    </row>
    <row r="677" spans="3:19" ht="13.5" customHeight="1">
      <c r="C677" s="55"/>
      <c r="D677" s="55"/>
      <c r="E677" s="55"/>
      <c r="F677" s="53"/>
      <c r="G677" s="55"/>
      <c r="H677" s="55"/>
      <c r="I677" s="55"/>
      <c r="J677" s="163"/>
      <c r="K677" s="55"/>
      <c r="L677" s="55"/>
      <c r="M677" s="55"/>
      <c r="N677" s="55"/>
      <c r="O677" s="55"/>
      <c r="P677" s="55"/>
      <c r="Q677" s="55"/>
      <c r="R677" s="55"/>
      <c r="S677" s="55"/>
    </row>
    <row r="678" spans="3:19" ht="13.5" customHeight="1">
      <c r="C678" s="55"/>
      <c r="D678" s="55"/>
      <c r="E678" s="55"/>
      <c r="F678" s="53"/>
      <c r="G678" s="55"/>
      <c r="H678" s="55"/>
      <c r="I678" s="55"/>
      <c r="J678" s="163"/>
      <c r="K678" s="55"/>
      <c r="L678" s="55"/>
      <c r="M678" s="55"/>
      <c r="N678" s="55"/>
      <c r="O678" s="55"/>
      <c r="P678" s="55"/>
      <c r="Q678" s="55"/>
      <c r="R678" s="55"/>
      <c r="S678" s="55"/>
    </row>
    <row r="679" spans="3:19" ht="13.5" customHeight="1">
      <c r="C679" s="55"/>
      <c r="D679" s="55"/>
      <c r="E679" s="55"/>
      <c r="F679" s="53"/>
      <c r="G679" s="55"/>
      <c r="H679" s="55"/>
      <c r="I679" s="55"/>
      <c r="J679" s="163"/>
      <c r="K679" s="55"/>
      <c r="L679" s="55"/>
      <c r="M679" s="55"/>
      <c r="N679" s="55"/>
      <c r="O679" s="55"/>
      <c r="P679" s="55"/>
      <c r="Q679" s="55"/>
      <c r="R679" s="55"/>
      <c r="S679" s="55"/>
    </row>
    <row r="680" spans="3:19" ht="13.5" customHeight="1">
      <c r="C680" s="55"/>
      <c r="D680" s="55"/>
      <c r="E680" s="55"/>
      <c r="F680" s="53"/>
      <c r="G680" s="55"/>
      <c r="H680" s="55"/>
      <c r="I680" s="55"/>
      <c r="J680" s="163"/>
      <c r="K680" s="55"/>
      <c r="L680" s="55"/>
      <c r="M680" s="55"/>
      <c r="N680" s="55"/>
      <c r="O680" s="55"/>
      <c r="P680" s="55"/>
      <c r="Q680" s="55"/>
      <c r="R680" s="55"/>
      <c r="S680" s="55"/>
    </row>
    <row r="681" spans="3:19" ht="13.5" customHeight="1">
      <c r="C681" s="55"/>
      <c r="D681" s="55"/>
      <c r="E681" s="55"/>
      <c r="F681" s="53"/>
      <c r="G681" s="55"/>
      <c r="H681" s="55"/>
      <c r="I681" s="55"/>
      <c r="J681" s="163"/>
      <c r="K681" s="55"/>
      <c r="L681" s="55"/>
      <c r="M681" s="55"/>
      <c r="N681" s="55"/>
      <c r="O681" s="55"/>
      <c r="P681" s="55"/>
      <c r="Q681" s="55"/>
      <c r="R681" s="55"/>
      <c r="S681" s="55"/>
    </row>
    <row r="682" spans="3:19" ht="13.5" customHeight="1">
      <c r="C682" s="55"/>
      <c r="D682" s="55"/>
      <c r="E682" s="55"/>
      <c r="F682" s="53"/>
      <c r="G682" s="55"/>
      <c r="H682" s="55"/>
      <c r="I682" s="55"/>
      <c r="J682" s="163"/>
      <c r="K682" s="55"/>
      <c r="L682" s="55"/>
      <c r="M682" s="55"/>
      <c r="N682" s="55"/>
      <c r="O682" s="55"/>
      <c r="P682" s="55"/>
      <c r="Q682" s="55"/>
      <c r="R682" s="55"/>
      <c r="S682" s="55"/>
    </row>
    <row r="683" spans="3:19" ht="13.5" customHeight="1">
      <c r="C683" s="55"/>
      <c r="D683" s="55"/>
      <c r="E683" s="55"/>
      <c r="F683" s="53"/>
      <c r="G683" s="55"/>
      <c r="H683" s="55"/>
      <c r="I683" s="55"/>
      <c r="J683" s="163"/>
      <c r="K683" s="55"/>
      <c r="L683" s="55"/>
      <c r="M683" s="55"/>
      <c r="N683" s="55"/>
      <c r="O683" s="55"/>
      <c r="P683" s="55"/>
      <c r="Q683" s="55"/>
      <c r="R683" s="55"/>
      <c r="S683" s="55"/>
    </row>
    <row r="684" spans="3:19" ht="13.5" customHeight="1">
      <c r="C684" s="55"/>
      <c r="D684" s="55"/>
      <c r="E684" s="55"/>
      <c r="F684" s="53"/>
      <c r="G684" s="55"/>
      <c r="H684" s="55"/>
      <c r="I684" s="55"/>
      <c r="J684" s="163"/>
      <c r="K684" s="55"/>
      <c r="L684" s="55"/>
      <c r="M684" s="55"/>
      <c r="N684" s="55"/>
      <c r="O684" s="55"/>
      <c r="P684" s="55"/>
      <c r="Q684" s="55"/>
      <c r="R684" s="55"/>
      <c r="S684" s="55"/>
    </row>
    <row r="685" spans="3:19" ht="13.5" customHeight="1">
      <c r="C685" s="55"/>
      <c r="D685" s="55"/>
      <c r="E685" s="55"/>
      <c r="F685" s="53"/>
      <c r="G685" s="55"/>
      <c r="H685" s="55"/>
      <c r="I685" s="55"/>
      <c r="J685" s="163"/>
      <c r="K685" s="55"/>
      <c r="L685" s="55"/>
      <c r="M685" s="55"/>
      <c r="N685" s="55"/>
      <c r="O685" s="55"/>
      <c r="P685" s="55"/>
      <c r="Q685" s="55"/>
      <c r="R685" s="55"/>
      <c r="S685" s="55"/>
    </row>
    <row r="686" spans="3:19" ht="13.5" customHeight="1">
      <c r="C686" s="55"/>
      <c r="D686" s="55"/>
      <c r="E686" s="55"/>
      <c r="F686" s="53"/>
      <c r="G686" s="55"/>
      <c r="H686" s="55"/>
      <c r="I686" s="55"/>
      <c r="J686" s="163"/>
      <c r="K686" s="55"/>
      <c r="L686" s="55"/>
      <c r="M686" s="55"/>
      <c r="N686" s="55"/>
      <c r="O686" s="55"/>
      <c r="P686" s="55"/>
      <c r="Q686" s="55"/>
      <c r="R686" s="55"/>
      <c r="S686" s="55"/>
    </row>
    <row r="687" spans="3:19" ht="13.5" customHeight="1">
      <c r="C687" s="55"/>
      <c r="D687" s="55"/>
      <c r="E687" s="55"/>
      <c r="F687" s="53"/>
      <c r="G687" s="55"/>
      <c r="H687" s="55"/>
      <c r="I687" s="55"/>
      <c r="J687" s="163"/>
      <c r="K687" s="55"/>
      <c r="L687" s="55"/>
      <c r="M687" s="55"/>
      <c r="N687" s="55"/>
      <c r="O687" s="55"/>
      <c r="P687" s="55"/>
      <c r="Q687" s="55"/>
      <c r="R687" s="55"/>
      <c r="S687" s="55"/>
    </row>
    <row r="688" spans="3:19" ht="13.5" customHeight="1">
      <c r="C688" s="55"/>
      <c r="D688" s="55"/>
      <c r="E688" s="55"/>
      <c r="F688" s="53"/>
      <c r="G688" s="55"/>
      <c r="H688" s="55"/>
      <c r="I688" s="55"/>
      <c r="J688" s="163"/>
      <c r="K688" s="55"/>
      <c r="L688" s="55"/>
      <c r="M688" s="55"/>
      <c r="N688" s="55"/>
      <c r="O688" s="55"/>
      <c r="P688" s="55"/>
      <c r="Q688" s="55"/>
      <c r="R688" s="55"/>
      <c r="S688" s="55"/>
    </row>
    <row r="689" spans="3:19" ht="13.5" customHeight="1">
      <c r="C689" s="55"/>
      <c r="D689" s="55"/>
      <c r="E689" s="55"/>
      <c r="F689" s="53"/>
      <c r="G689" s="55"/>
      <c r="H689" s="55"/>
      <c r="I689" s="55"/>
      <c r="J689" s="163"/>
      <c r="K689" s="55"/>
      <c r="L689" s="55"/>
      <c r="M689" s="55"/>
      <c r="N689" s="55"/>
      <c r="O689" s="55"/>
      <c r="P689" s="55"/>
      <c r="Q689" s="55"/>
      <c r="R689" s="55"/>
      <c r="S689" s="55"/>
    </row>
    <row r="690" spans="3:19" ht="13.5" customHeight="1">
      <c r="C690" s="55"/>
      <c r="D690" s="55"/>
      <c r="E690" s="55"/>
      <c r="F690" s="53"/>
      <c r="G690" s="55"/>
      <c r="H690" s="55"/>
      <c r="I690" s="55"/>
      <c r="J690" s="163"/>
      <c r="K690" s="55"/>
      <c r="L690" s="55"/>
      <c r="M690" s="55"/>
      <c r="N690" s="55"/>
      <c r="O690" s="55"/>
      <c r="P690" s="55"/>
      <c r="Q690" s="55"/>
      <c r="R690" s="55"/>
      <c r="S690" s="55"/>
    </row>
    <row r="691" spans="3:19" ht="13.5" customHeight="1">
      <c r="C691" s="55"/>
      <c r="D691" s="55"/>
      <c r="E691" s="55"/>
      <c r="F691" s="53"/>
      <c r="G691" s="55"/>
      <c r="H691" s="55"/>
      <c r="I691" s="55"/>
      <c r="J691" s="163"/>
      <c r="K691" s="55"/>
      <c r="L691" s="55"/>
      <c r="M691" s="55"/>
      <c r="N691" s="55"/>
      <c r="O691" s="55"/>
      <c r="P691" s="55"/>
      <c r="Q691" s="55"/>
      <c r="R691" s="55"/>
      <c r="S691" s="55"/>
    </row>
    <row r="692" spans="3:19" ht="13.5" customHeight="1">
      <c r="C692" s="55"/>
      <c r="D692" s="55"/>
      <c r="E692" s="55"/>
      <c r="F692" s="53"/>
      <c r="G692" s="55"/>
      <c r="H692" s="55"/>
      <c r="I692" s="55"/>
      <c r="J692" s="163"/>
      <c r="K692" s="55"/>
      <c r="L692" s="55"/>
      <c r="M692" s="55"/>
      <c r="N692" s="55"/>
      <c r="O692" s="55"/>
      <c r="P692" s="55"/>
      <c r="Q692" s="55"/>
      <c r="R692" s="55"/>
      <c r="S692" s="55"/>
    </row>
    <row r="693" spans="3:19" ht="13.5" customHeight="1">
      <c r="C693" s="55"/>
      <c r="D693" s="55"/>
      <c r="E693" s="55"/>
      <c r="F693" s="53"/>
      <c r="G693" s="55"/>
      <c r="H693" s="55"/>
      <c r="I693" s="55"/>
      <c r="J693" s="163"/>
      <c r="K693" s="55"/>
      <c r="L693" s="55"/>
      <c r="M693" s="55"/>
      <c r="N693" s="55"/>
      <c r="O693" s="55"/>
      <c r="P693" s="55"/>
      <c r="Q693" s="55"/>
      <c r="R693" s="55"/>
      <c r="S693" s="55"/>
    </row>
    <row r="694" spans="3:19" ht="13.5" customHeight="1">
      <c r="C694" s="55"/>
      <c r="D694" s="55"/>
      <c r="E694" s="55"/>
      <c r="F694" s="53"/>
      <c r="G694" s="55"/>
      <c r="H694" s="55"/>
      <c r="I694" s="55"/>
      <c r="J694" s="163"/>
      <c r="K694" s="55"/>
      <c r="L694" s="55"/>
      <c r="M694" s="55"/>
      <c r="N694" s="55"/>
      <c r="O694" s="55"/>
      <c r="P694" s="55"/>
      <c r="Q694" s="55"/>
      <c r="R694" s="55"/>
      <c r="S694" s="55"/>
    </row>
    <row r="695" spans="3:19" ht="13.5" customHeight="1">
      <c r="C695" s="55"/>
      <c r="D695" s="55"/>
      <c r="E695" s="55"/>
      <c r="F695" s="53"/>
      <c r="G695" s="55"/>
      <c r="H695" s="55"/>
      <c r="I695" s="55"/>
      <c r="J695" s="163"/>
      <c r="K695" s="55"/>
      <c r="L695" s="55"/>
      <c r="M695" s="55"/>
      <c r="N695" s="55"/>
      <c r="O695" s="55"/>
      <c r="P695" s="55"/>
      <c r="Q695" s="55"/>
      <c r="R695" s="55"/>
      <c r="S695" s="55"/>
    </row>
    <row r="696" spans="3:19" ht="13.5" customHeight="1">
      <c r="C696" s="55"/>
      <c r="D696" s="55"/>
      <c r="E696" s="55"/>
      <c r="F696" s="53"/>
      <c r="G696" s="55"/>
      <c r="H696" s="55"/>
      <c r="I696" s="55"/>
      <c r="J696" s="163"/>
      <c r="K696" s="55"/>
      <c r="L696" s="55"/>
      <c r="M696" s="55"/>
      <c r="N696" s="55"/>
      <c r="O696" s="55"/>
      <c r="P696" s="55"/>
      <c r="Q696" s="55"/>
      <c r="R696" s="55"/>
      <c r="S696" s="55"/>
    </row>
    <row r="697" spans="3:19" ht="13.5" customHeight="1">
      <c r="C697" s="55"/>
      <c r="D697" s="55"/>
      <c r="E697" s="55"/>
      <c r="F697" s="53"/>
      <c r="G697" s="55"/>
      <c r="H697" s="55"/>
      <c r="I697" s="55"/>
      <c r="J697" s="163"/>
      <c r="K697" s="55"/>
      <c r="L697" s="55"/>
      <c r="M697" s="55"/>
      <c r="N697" s="55"/>
      <c r="O697" s="55"/>
      <c r="P697" s="55"/>
      <c r="Q697" s="55"/>
      <c r="R697" s="55"/>
      <c r="S697" s="55"/>
    </row>
    <row r="698" spans="3:19" ht="13.5" customHeight="1">
      <c r="C698" s="55"/>
      <c r="D698" s="55"/>
      <c r="E698" s="55"/>
      <c r="F698" s="53"/>
      <c r="G698" s="55"/>
      <c r="H698" s="55"/>
      <c r="I698" s="55"/>
      <c r="J698" s="163"/>
      <c r="K698" s="55"/>
      <c r="L698" s="55"/>
      <c r="M698" s="55"/>
      <c r="N698" s="55"/>
      <c r="O698" s="55"/>
      <c r="P698" s="55"/>
      <c r="Q698" s="55"/>
      <c r="R698" s="55"/>
      <c r="S698" s="55"/>
    </row>
    <row r="699" spans="3:19" ht="13.5" customHeight="1">
      <c r="C699" s="55"/>
      <c r="D699" s="55"/>
      <c r="E699" s="55"/>
      <c r="F699" s="53"/>
      <c r="G699" s="55"/>
      <c r="H699" s="55"/>
      <c r="I699" s="55"/>
      <c r="J699" s="163"/>
      <c r="K699" s="55"/>
      <c r="L699" s="55"/>
      <c r="M699" s="55"/>
      <c r="N699" s="55"/>
      <c r="O699" s="55"/>
      <c r="P699" s="55"/>
      <c r="Q699" s="55"/>
      <c r="R699" s="55"/>
      <c r="S699" s="55"/>
    </row>
    <row r="700" spans="3:19" ht="13.5" customHeight="1">
      <c r="C700" s="55"/>
      <c r="D700" s="55"/>
      <c r="E700" s="55"/>
      <c r="F700" s="53"/>
      <c r="G700" s="55"/>
      <c r="H700" s="55"/>
      <c r="I700" s="55"/>
      <c r="J700" s="163"/>
      <c r="K700" s="55"/>
      <c r="L700" s="55"/>
      <c r="M700" s="55"/>
      <c r="N700" s="55"/>
      <c r="O700" s="55"/>
      <c r="P700" s="55"/>
      <c r="Q700" s="55"/>
      <c r="R700" s="55"/>
      <c r="S700" s="55"/>
    </row>
    <row r="701" spans="3:19" ht="13.5" customHeight="1">
      <c r="C701" s="55"/>
      <c r="D701" s="55"/>
      <c r="E701" s="55"/>
      <c r="F701" s="53"/>
      <c r="G701" s="55"/>
      <c r="H701" s="55"/>
      <c r="I701" s="55"/>
      <c r="J701" s="163"/>
      <c r="K701" s="55"/>
      <c r="L701" s="55"/>
      <c r="M701" s="55"/>
      <c r="N701" s="55"/>
      <c r="O701" s="55"/>
      <c r="P701" s="55"/>
      <c r="Q701" s="55"/>
      <c r="R701" s="55"/>
      <c r="S701" s="55"/>
    </row>
    <row r="702" spans="3:19" ht="13.5" customHeight="1">
      <c r="C702" s="55"/>
      <c r="D702" s="55"/>
      <c r="E702" s="55"/>
      <c r="F702" s="53"/>
      <c r="G702" s="55"/>
      <c r="H702" s="55"/>
      <c r="I702" s="55"/>
      <c r="J702" s="163"/>
      <c r="K702" s="55"/>
      <c r="L702" s="55"/>
      <c r="M702" s="55"/>
      <c r="N702" s="55"/>
      <c r="O702" s="55"/>
      <c r="P702" s="55"/>
      <c r="Q702" s="55"/>
      <c r="R702" s="55"/>
      <c r="S702" s="55"/>
    </row>
    <row r="703" spans="3:19" ht="13.5" customHeight="1">
      <c r="C703" s="55"/>
      <c r="D703" s="55"/>
      <c r="E703" s="55"/>
      <c r="F703" s="53"/>
      <c r="G703" s="55"/>
      <c r="H703" s="55"/>
      <c r="I703" s="55"/>
      <c r="J703" s="163"/>
      <c r="K703" s="55"/>
      <c r="L703" s="55"/>
      <c r="M703" s="55"/>
      <c r="N703" s="55"/>
      <c r="O703" s="55"/>
      <c r="P703" s="55"/>
      <c r="Q703" s="55"/>
      <c r="R703" s="55"/>
      <c r="S703" s="55"/>
    </row>
    <row r="704" spans="3:19" ht="13.5" customHeight="1">
      <c r="C704" s="55"/>
      <c r="D704" s="55"/>
      <c r="E704" s="55"/>
      <c r="F704" s="53"/>
      <c r="G704" s="55"/>
      <c r="H704" s="55"/>
      <c r="I704" s="55"/>
      <c r="J704" s="163"/>
      <c r="K704" s="55"/>
      <c r="L704" s="55"/>
      <c r="M704" s="55"/>
      <c r="N704" s="55"/>
      <c r="O704" s="55"/>
      <c r="P704" s="55"/>
      <c r="Q704" s="55"/>
      <c r="R704" s="55"/>
      <c r="S704" s="55"/>
    </row>
    <row r="705" spans="3:19" ht="13.5" customHeight="1">
      <c r="C705" s="55"/>
      <c r="D705" s="55"/>
      <c r="E705" s="55"/>
      <c r="F705" s="53"/>
      <c r="G705" s="55"/>
      <c r="H705" s="55"/>
      <c r="I705" s="55"/>
      <c r="J705" s="163"/>
      <c r="K705" s="55"/>
      <c r="L705" s="55"/>
      <c r="M705" s="55"/>
      <c r="N705" s="55"/>
      <c r="O705" s="55"/>
      <c r="P705" s="55"/>
      <c r="Q705" s="55"/>
      <c r="R705" s="55"/>
      <c r="S705" s="55"/>
    </row>
    <row r="706" spans="3:19" ht="13.5" customHeight="1">
      <c r="C706" s="55"/>
      <c r="D706" s="55"/>
      <c r="E706" s="55"/>
      <c r="F706" s="53"/>
      <c r="G706" s="55"/>
      <c r="H706" s="55"/>
      <c r="I706" s="55"/>
      <c r="J706" s="163"/>
      <c r="K706" s="55"/>
      <c r="L706" s="55"/>
      <c r="M706" s="55"/>
      <c r="N706" s="55"/>
      <c r="O706" s="55"/>
      <c r="P706" s="55"/>
      <c r="Q706" s="55"/>
      <c r="R706" s="55"/>
      <c r="S706" s="55"/>
    </row>
    <row r="707" spans="3:19" ht="13.5" customHeight="1">
      <c r="C707" s="55"/>
      <c r="D707" s="55"/>
      <c r="E707" s="55"/>
      <c r="F707" s="53"/>
      <c r="G707" s="55"/>
      <c r="H707" s="55"/>
      <c r="I707" s="55"/>
      <c r="J707" s="163"/>
      <c r="K707" s="55"/>
      <c r="L707" s="55"/>
      <c r="M707" s="55"/>
      <c r="N707" s="55"/>
      <c r="O707" s="55"/>
      <c r="P707" s="55"/>
      <c r="Q707" s="55"/>
      <c r="R707" s="55"/>
      <c r="S707" s="55"/>
    </row>
    <row r="708" spans="3:19" ht="13.5" customHeight="1">
      <c r="C708" s="55"/>
      <c r="D708" s="55"/>
      <c r="E708" s="55"/>
      <c r="F708" s="53"/>
      <c r="G708" s="55"/>
      <c r="H708" s="55"/>
      <c r="I708" s="55"/>
      <c r="J708" s="163"/>
      <c r="K708" s="55"/>
      <c r="L708" s="55"/>
      <c r="M708" s="55"/>
      <c r="N708" s="55"/>
      <c r="O708" s="55"/>
      <c r="P708" s="55"/>
      <c r="Q708" s="55"/>
      <c r="R708" s="55"/>
      <c r="S708" s="55"/>
    </row>
    <row r="709" spans="3:19" ht="13.5" customHeight="1">
      <c r="C709" s="55"/>
      <c r="D709" s="55"/>
      <c r="E709" s="55"/>
      <c r="F709" s="53"/>
      <c r="G709" s="55"/>
      <c r="H709" s="55"/>
      <c r="I709" s="55"/>
      <c r="J709" s="163"/>
      <c r="K709" s="55"/>
      <c r="L709" s="55"/>
      <c r="M709" s="55"/>
      <c r="N709" s="55"/>
      <c r="O709" s="55"/>
      <c r="P709" s="55"/>
      <c r="Q709" s="55"/>
      <c r="R709" s="55"/>
      <c r="S709" s="55"/>
    </row>
    <row r="710" spans="3:19" ht="13.5" customHeight="1">
      <c r="C710" s="55"/>
      <c r="D710" s="55"/>
      <c r="E710" s="55"/>
      <c r="F710" s="53"/>
      <c r="G710" s="55"/>
      <c r="H710" s="55"/>
      <c r="I710" s="55"/>
      <c r="J710" s="163"/>
      <c r="K710" s="55"/>
      <c r="L710" s="55"/>
      <c r="M710" s="55"/>
      <c r="N710" s="55"/>
      <c r="O710" s="55"/>
      <c r="P710" s="55"/>
      <c r="Q710" s="55"/>
      <c r="R710" s="55"/>
      <c r="S710" s="55"/>
    </row>
    <row r="711" spans="3:19" ht="13.5" customHeight="1">
      <c r="C711" s="55"/>
      <c r="D711" s="55"/>
      <c r="E711" s="55"/>
      <c r="F711" s="53"/>
      <c r="G711" s="55"/>
      <c r="H711" s="55"/>
      <c r="I711" s="55"/>
      <c r="J711" s="163"/>
      <c r="K711" s="55"/>
      <c r="L711" s="55"/>
      <c r="M711" s="55"/>
      <c r="N711" s="55"/>
      <c r="O711" s="55"/>
      <c r="P711" s="55"/>
      <c r="Q711" s="55"/>
      <c r="R711" s="55"/>
      <c r="S711" s="55"/>
    </row>
    <row r="712" spans="3:19" ht="13.5" customHeight="1">
      <c r="C712" s="55"/>
      <c r="D712" s="55"/>
      <c r="E712" s="55"/>
      <c r="F712" s="53"/>
      <c r="G712" s="55"/>
      <c r="H712" s="55"/>
      <c r="I712" s="55"/>
      <c r="J712" s="163"/>
      <c r="K712" s="55"/>
      <c r="L712" s="55"/>
      <c r="M712" s="55"/>
      <c r="N712" s="55"/>
      <c r="O712" s="55"/>
      <c r="P712" s="55"/>
      <c r="Q712" s="55"/>
      <c r="R712" s="55"/>
      <c r="S712" s="55"/>
    </row>
    <row r="713" spans="3:19" ht="13.5" customHeight="1">
      <c r="C713" s="55"/>
      <c r="D713" s="55"/>
      <c r="E713" s="55"/>
      <c r="F713" s="53"/>
      <c r="G713" s="55"/>
      <c r="H713" s="55"/>
      <c r="I713" s="55"/>
      <c r="J713" s="163"/>
      <c r="K713" s="55"/>
      <c r="L713" s="55"/>
      <c r="M713" s="55"/>
      <c r="N713" s="55"/>
      <c r="O713" s="55"/>
      <c r="P713" s="55"/>
      <c r="Q713" s="55"/>
      <c r="R713" s="55"/>
      <c r="S713" s="55"/>
    </row>
    <row r="714" spans="3:19" ht="13.5" customHeight="1">
      <c r="C714" s="55"/>
      <c r="D714" s="55"/>
      <c r="E714" s="55"/>
      <c r="F714" s="53"/>
      <c r="G714" s="55"/>
      <c r="H714" s="55"/>
      <c r="I714" s="55"/>
      <c r="J714" s="163"/>
      <c r="K714" s="55"/>
      <c r="L714" s="55"/>
      <c r="M714" s="55"/>
      <c r="N714" s="55"/>
      <c r="O714" s="55"/>
      <c r="P714" s="55"/>
      <c r="Q714" s="55"/>
      <c r="R714" s="55"/>
      <c r="S714" s="55"/>
    </row>
    <row r="715" spans="3:19" ht="13.5" customHeight="1">
      <c r="C715" s="55"/>
      <c r="D715" s="55"/>
      <c r="E715" s="55"/>
      <c r="F715" s="53"/>
      <c r="G715" s="55"/>
      <c r="H715" s="55"/>
      <c r="I715" s="55"/>
      <c r="J715" s="163"/>
      <c r="K715" s="55"/>
      <c r="L715" s="55"/>
      <c r="M715" s="55"/>
      <c r="N715" s="55"/>
      <c r="O715" s="55"/>
      <c r="P715" s="55"/>
      <c r="Q715" s="55"/>
      <c r="R715" s="55"/>
      <c r="S715" s="55"/>
    </row>
    <row r="716" spans="3:19" ht="13.5" customHeight="1">
      <c r="C716" s="55"/>
      <c r="D716" s="55"/>
      <c r="E716" s="55"/>
      <c r="F716" s="53"/>
      <c r="G716" s="55"/>
      <c r="H716" s="55"/>
      <c r="I716" s="55"/>
      <c r="J716" s="163"/>
      <c r="K716" s="55"/>
      <c r="L716" s="55"/>
      <c r="M716" s="55"/>
      <c r="N716" s="55"/>
      <c r="O716" s="55"/>
      <c r="P716" s="55"/>
      <c r="Q716" s="55"/>
      <c r="R716" s="55"/>
      <c r="S716" s="55"/>
    </row>
    <row r="717" spans="3:19" ht="13.5" customHeight="1">
      <c r="C717" s="55"/>
      <c r="D717" s="55"/>
      <c r="E717" s="55"/>
      <c r="F717" s="53"/>
      <c r="G717" s="55"/>
      <c r="H717" s="55"/>
      <c r="I717" s="55"/>
      <c r="J717" s="163"/>
      <c r="K717" s="55"/>
      <c r="L717" s="55"/>
      <c r="M717" s="55"/>
      <c r="N717" s="55"/>
      <c r="O717" s="55"/>
      <c r="P717" s="55"/>
      <c r="Q717" s="55"/>
      <c r="R717" s="55"/>
      <c r="S717" s="55"/>
    </row>
    <row r="718" spans="3:19" ht="13.5" customHeight="1">
      <c r="C718" s="55"/>
      <c r="D718" s="55"/>
      <c r="E718" s="55"/>
      <c r="F718" s="53"/>
      <c r="G718" s="55"/>
      <c r="H718" s="55"/>
      <c r="I718" s="55"/>
      <c r="J718" s="163"/>
      <c r="K718" s="55"/>
      <c r="L718" s="55"/>
      <c r="M718" s="55"/>
      <c r="N718" s="55"/>
      <c r="O718" s="55"/>
      <c r="P718" s="55"/>
      <c r="Q718" s="55"/>
      <c r="R718" s="55"/>
      <c r="S718" s="55"/>
    </row>
    <row r="719" spans="3:19" ht="13.5" customHeight="1">
      <c r="C719" s="55"/>
      <c r="D719" s="55"/>
      <c r="E719" s="55"/>
      <c r="F719" s="53"/>
      <c r="G719" s="55"/>
      <c r="H719" s="55"/>
      <c r="I719" s="55"/>
      <c r="J719" s="163"/>
      <c r="K719" s="55"/>
      <c r="L719" s="55"/>
      <c r="M719" s="55"/>
      <c r="N719" s="55"/>
      <c r="O719" s="55"/>
      <c r="P719" s="55"/>
      <c r="Q719" s="55"/>
      <c r="R719" s="55"/>
      <c r="S719" s="55"/>
    </row>
    <row r="720" spans="3:19" ht="13.5" customHeight="1">
      <c r="C720" s="55"/>
      <c r="D720" s="55"/>
      <c r="E720" s="55"/>
      <c r="F720" s="53"/>
      <c r="G720" s="55"/>
      <c r="H720" s="55"/>
      <c r="I720" s="55"/>
      <c r="J720" s="163"/>
      <c r="K720" s="55"/>
      <c r="L720" s="55"/>
      <c r="M720" s="55"/>
      <c r="N720" s="55"/>
      <c r="O720" s="55"/>
      <c r="P720" s="55"/>
      <c r="Q720" s="55"/>
      <c r="R720" s="55"/>
      <c r="S720" s="55"/>
    </row>
    <row r="721" spans="3:19" ht="13.5" customHeight="1">
      <c r="C721" s="55"/>
      <c r="D721" s="55"/>
      <c r="E721" s="55"/>
      <c r="F721" s="53"/>
      <c r="G721" s="55"/>
      <c r="H721" s="55"/>
      <c r="I721" s="55"/>
      <c r="J721" s="163"/>
      <c r="K721" s="55"/>
      <c r="L721" s="55"/>
      <c r="M721" s="55"/>
      <c r="N721" s="55"/>
      <c r="O721" s="55"/>
      <c r="P721" s="55"/>
      <c r="Q721" s="55"/>
      <c r="R721" s="55"/>
      <c r="S721" s="55"/>
    </row>
    <row r="722" spans="3:19" ht="13.5" customHeight="1">
      <c r="C722" s="55"/>
      <c r="D722" s="55"/>
      <c r="E722" s="55"/>
      <c r="F722" s="53"/>
      <c r="G722" s="55"/>
      <c r="H722" s="55"/>
      <c r="I722" s="55"/>
      <c r="J722" s="163"/>
      <c r="K722" s="55"/>
      <c r="L722" s="55"/>
      <c r="M722" s="55"/>
      <c r="N722" s="55"/>
      <c r="O722" s="55"/>
      <c r="P722" s="55"/>
      <c r="Q722" s="55"/>
      <c r="R722" s="55"/>
      <c r="S722" s="55"/>
    </row>
    <row r="723" spans="3:19" ht="13.5" customHeight="1">
      <c r="C723" s="55"/>
      <c r="D723" s="55"/>
      <c r="E723" s="55"/>
      <c r="F723" s="53"/>
      <c r="G723" s="55"/>
      <c r="H723" s="55"/>
      <c r="I723" s="55"/>
      <c r="J723" s="163"/>
      <c r="K723" s="55"/>
      <c r="L723" s="55"/>
      <c r="M723" s="55"/>
      <c r="N723" s="55"/>
      <c r="O723" s="55"/>
      <c r="P723" s="55"/>
      <c r="Q723" s="55"/>
      <c r="R723" s="55"/>
      <c r="S723" s="55"/>
    </row>
    <row r="724" spans="3:19" ht="13.5" customHeight="1">
      <c r="C724" s="55"/>
      <c r="D724" s="55"/>
      <c r="E724" s="55"/>
      <c r="F724" s="53"/>
      <c r="G724" s="55"/>
      <c r="H724" s="55"/>
      <c r="I724" s="55"/>
      <c r="J724" s="163"/>
      <c r="K724" s="55"/>
      <c r="L724" s="55"/>
      <c r="M724" s="55"/>
      <c r="N724" s="55"/>
      <c r="O724" s="55"/>
      <c r="P724" s="55"/>
      <c r="Q724" s="55"/>
      <c r="R724" s="55"/>
      <c r="S724" s="55"/>
    </row>
    <row r="725" spans="3:19" ht="13.5" customHeight="1">
      <c r="C725" s="55"/>
      <c r="D725" s="55"/>
      <c r="E725" s="55"/>
      <c r="F725" s="53"/>
      <c r="G725" s="55"/>
      <c r="H725" s="55"/>
      <c r="I725" s="55"/>
      <c r="J725" s="163"/>
      <c r="K725" s="55"/>
      <c r="L725" s="55"/>
      <c r="M725" s="55"/>
      <c r="N725" s="55"/>
      <c r="O725" s="55"/>
      <c r="P725" s="55"/>
      <c r="Q725" s="55"/>
      <c r="R725" s="55"/>
      <c r="S725" s="55"/>
    </row>
    <row r="726" spans="3:19" ht="13.5" customHeight="1">
      <c r="C726" s="55"/>
      <c r="D726" s="55"/>
      <c r="E726" s="55"/>
      <c r="F726" s="53"/>
      <c r="G726" s="55"/>
      <c r="H726" s="55"/>
      <c r="I726" s="55"/>
      <c r="J726" s="163"/>
      <c r="K726" s="55"/>
      <c r="L726" s="55"/>
      <c r="M726" s="55"/>
      <c r="N726" s="55"/>
      <c r="O726" s="55"/>
      <c r="P726" s="55"/>
      <c r="Q726" s="55"/>
      <c r="R726" s="55"/>
      <c r="S726" s="55"/>
    </row>
    <row r="727" spans="3:19" ht="13.5" customHeight="1">
      <c r="C727" s="55"/>
      <c r="D727" s="55"/>
      <c r="E727" s="55"/>
      <c r="F727" s="53"/>
      <c r="G727" s="55"/>
      <c r="H727" s="55"/>
      <c r="I727" s="55"/>
      <c r="J727" s="163"/>
      <c r="K727" s="55"/>
      <c r="L727" s="55"/>
      <c r="M727" s="55"/>
      <c r="N727" s="55"/>
      <c r="O727" s="55"/>
      <c r="P727" s="55"/>
      <c r="Q727" s="55"/>
      <c r="R727" s="55"/>
      <c r="S727" s="55"/>
    </row>
    <row r="728" spans="3:19" ht="13.5" customHeight="1">
      <c r="C728" s="55"/>
      <c r="D728" s="55"/>
      <c r="E728" s="55"/>
      <c r="F728" s="53"/>
      <c r="G728" s="55"/>
      <c r="H728" s="55"/>
      <c r="I728" s="55"/>
      <c r="J728" s="163"/>
      <c r="K728" s="55"/>
      <c r="L728" s="55"/>
      <c r="M728" s="55"/>
      <c r="N728" s="55"/>
      <c r="O728" s="55"/>
      <c r="P728" s="55"/>
      <c r="Q728" s="55"/>
      <c r="R728" s="55"/>
      <c r="S728" s="55"/>
    </row>
    <row r="729" spans="3:19" ht="13.5" customHeight="1">
      <c r="C729" s="55"/>
      <c r="D729" s="55"/>
      <c r="E729" s="55"/>
      <c r="F729" s="53"/>
      <c r="G729" s="55"/>
      <c r="H729" s="55"/>
      <c r="I729" s="55"/>
      <c r="J729" s="163"/>
      <c r="K729" s="55"/>
      <c r="L729" s="55"/>
      <c r="M729" s="55"/>
      <c r="N729" s="55"/>
      <c r="O729" s="55"/>
      <c r="P729" s="55"/>
      <c r="Q729" s="55"/>
      <c r="R729" s="55"/>
      <c r="S729" s="55"/>
    </row>
    <row r="730" spans="3:19" ht="13.5" customHeight="1">
      <c r="C730" s="55"/>
      <c r="D730" s="55"/>
      <c r="E730" s="55"/>
      <c r="F730" s="53"/>
      <c r="G730" s="55"/>
      <c r="H730" s="55"/>
      <c r="I730" s="55"/>
      <c r="J730" s="163"/>
      <c r="K730" s="55"/>
      <c r="L730" s="55"/>
      <c r="M730" s="55"/>
      <c r="N730" s="55"/>
      <c r="O730" s="55"/>
      <c r="P730" s="55"/>
      <c r="Q730" s="55"/>
      <c r="R730" s="55"/>
      <c r="S730" s="55"/>
    </row>
    <row r="731" spans="3:19" ht="13.5" customHeight="1">
      <c r="C731" s="55"/>
      <c r="D731" s="55"/>
      <c r="E731" s="55"/>
      <c r="F731" s="53"/>
      <c r="G731" s="55"/>
      <c r="H731" s="55"/>
      <c r="I731" s="55"/>
      <c r="J731" s="163"/>
      <c r="K731" s="55"/>
      <c r="L731" s="55"/>
      <c r="M731" s="55"/>
      <c r="N731" s="55"/>
      <c r="O731" s="55"/>
      <c r="P731" s="55"/>
      <c r="Q731" s="55"/>
      <c r="R731" s="55"/>
      <c r="S731" s="55"/>
    </row>
    <row r="732" spans="3:19" ht="13.5" customHeight="1">
      <c r="C732" s="55"/>
      <c r="D732" s="55"/>
      <c r="E732" s="55"/>
      <c r="F732" s="53"/>
      <c r="G732" s="55"/>
      <c r="H732" s="55"/>
      <c r="I732" s="55"/>
      <c r="J732" s="163"/>
      <c r="K732" s="55"/>
      <c r="L732" s="55"/>
      <c r="M732" s="55"/>
      <c r="N732" s="55"/>
      <c r="O732" s="55"/>
      <c r="P732" s="55"/>
      <c r="Q732" s="55"/>
      <c r="R732" s="55"/>
      <c r="S732" s="55"/>
    </row>
    <row r="733" spans="3:19" ht="13.5" customHeight="1">
      <c r="C733" s="55"/>
      <c r="D733" s="55"/>
      <c r="E733" s="55"/>
      <c r="F733" s="53"/>
      <c r="G733" s="55"/>
      <c r="H733" s="55"/>
      <c r="I733" s="55"/>
      <c r="J733" s="163"/>
      <c r="K733" s="55"/>
      <c r="L733" s="55"/>
      <c r="M733" s="55"/>
      <c r="N733" s="55"/>
      <c r="O733" s="55"/>
      <c r="P733" s="55"/>
      <c r="Q733" s="55"/>
      <c r="R733" s="55"/>
      <c r="S733" s="55"/>
    </row>
    <row r="734" spans="3:19" ht="13.5" customHeight="1">
      <c r="C734" s="55"/>
      <c r="D734" s="55"/>
      <c r="E734" s="55"/>
      <c r="F734" s="53"/>
      <c r="G734" s="55"/>
      <c r="H734" s="55"/>
      <c r="I734" s="55"/>
      <c r="J734" s="163"/>
      <c r="K734" s="55"/>
      <c r="L734" s="55"/>
      <c r="M734" s="55"/>
      <c r="N734" s="55"/>
      <c r="O734" s="55"/>
      <c r="P734" s="55"/>
      <c r="Q734" s="55"/>
      <c r="R734" s="55"/>
      <c r="S734" s="55"/>
    </row>
    <row r="735" spans="3:19" ht="13.5" customHeight="1">
      <c r="C735" s="55"/>
      <c r="D735" s="55"/>
      <c r="E735" s="55"/>
      <c r="F735" s="53"/>
      <c r="G735" s="55"/>
      <c r="H735" s="55"/>
      <c r="I735" s="55"/>
      <c r="J735" s="163"/>
      <c r="K735" s="55"/>
      <c r="L735" s="55"/>
      <c r="M735" s="55"/>
      <c r="N735" s="55"/>
      <c r="O735" s="55"/>
      <c r="P735" s="55"/>
      <c r="Q735" s="55"/>
      <c r="R735" s="55"/>
      <c r="S735" s="55"/>
    </row>
    <row r="736" spans="3:19" ht="13.5" customHeight="1">
      <c r="C736" s="55"/>
      <c r="D736" s="55"/>
      <c r="E736" s="55"/>
      <c r="F736" s="53"/>
      <c r="G736" s="55"/>
      <c r="H736" s="55"/>
      <c r="I736" s="55"/>
      <c r="J736" s="163"/>
      <c r="K736" s="55"/>
      <c r="L736" s="55"/>
      <c r="M736" s="55"/>
      <c r="N736" s="55"/>
      <c r="O736" s="55"/>
      <c r="P736" s="55"/>
      <c r="Q736" s="55"/>
      <c r="R736" s="55"/>
      <c r="S736" s="55"/>
    </row>
    <row r="737" spans="3:19" ht="13.5" customHeight="1">
      <c r="C737" s="55"/>
      <c r="D737" s="55"/>
      <c r="E737" s="55"/>
      <c r="F737" s="53"/>
      <c r="G737" s="55"/>
      <c r="H737" s="55"/>
      <c r="I737" s="55"/>
      <c r="J737" s="163"/>
      <c r="K737" s="55"/>
      <c r="L737" s="55"/>
      <c r="M737" s="55"/>
      <c r="N737" s="55"/>
      <c r="O737" s="55"/>
      <c r="P737" s="55"/>
      <c r="Q737" s="55"/>
      <c r="R737" s="55"/>
      <c r="S737" s="55"/>
    </row>
    <row r="738" spans="3:19" ht="13.5" customHeight="1">
      <c r="C738" s="55"/>
      <c r="D738" s="55"/>
      <c r="E738" s="55"/>
      <c r="F738" s="53"/>
      <c r="G738" s="55"/>
      <c r="H738" s="55"/>
      <c r="I738" s="55"/>
      <c r="J738" s="163"/>
      <c r="K738" s="55"/>
      <c r="L738" s="55"/>
      <c r="M738" s="55"/>
      <c r="N738" s="55"/>
      <c r="O738" s="55"/>
      <c r="P738" s="55"/>
      <c r="Q738" s="55"/>
      <c r="R738" s="55"/>
      <c r="S738" s="55"/>
    </row>
    <row r="739" spans="3:19" ht="13.5" customHeight="1">
      <c r="C739" s="55"/>
      <c r="D739" s="55"/>
      <c r="E739" s="55"/>
      <c r="F739" s="53"/>
      <c r="G739" s="55"/>
      <c r="H739" s="55"/>
      <c r="I739" s="55"/>
      <c r="J739" s="163"/>
      <c r="K739" s="55"/>
      <c r="L739" s="55"/>
      <c r="M739" s="55"/>
      <c r="N739" s="55"/>
      <c r="O739" s="55"/>
      <c r="P739" s="55"/>
      <c r="Q739" s="55"/>
      <c r="R739" s="55"/>
      <c r="S739" s="55"/>
    </row>
    <row r="740" spans="3:19" ht="13.5" customHeight="1">
      <c r="C740" s="55"/>
      <c r="D740" s="55"/>
      <c r="E740" s="55"/>
      <c r="F740" s="53"/>
      <c r="G740" s="55"/>
      <c r="H740" s="55"/>
      <c r="I740" s="55"/>
      <c r="J740" s="163"/>
      <c r="K740" s="55"/>
      <c r="L740" s="55"/>
      <c r="M740" s="55"/>
      <c r="N740" s="55"/>
      <c r="O740" s="55"/>
      <c r="P740" s="55"/>
      <c r="Q740" s="55"/>
      <c r="R740" s="55"/>
      <c r="S740" s="55"/>
    </row>
    <row r="741" spans="3:19" ht="13.5" customHeight="1">
      <c r="C741" s="55"/>
      <c r="D741" s="55"/>
      <c r="E741" s="55"/>
      <c r="F741" s="53"/>
      <c r="G741" s="55"/>
      <c r="H741" s="55"/>
      <c r="I741" s="55"/>
      <c r="J741" s="163"/>
      <c r="K741" s="55"/>
      <c r="L741" s="55"/>
      <c r="M741" s="55"/>
      <c r="N741" s="55"/>
      <c r="O741" s="55"/>
      <c r="P741" s="55"/>
      <c r="Q741" s="55"/>
      <c r="R741" s="55"/>
      <c r="S741" s="55"/>
    </row>
    <row r="742" spans="3:19" ht="13.5" customHeight="1">
      <c r="C742" s="55"/>
      <c r="D742" s="55"/>
      <c r="E742" s="55"/>
      <c r="F742" s="53"/>
      <c r="G742" s="55"/>
      <c r="H742" s="55"/>
      <c r="I742" s="55"/>
      <c r="J742" s="163"/>
      <c r="K742" s="55"/>
      <c r="L742" s="55"/>
      <c r="M742" s="55"/>
      <c r="N742" s="55"/>
      <c r="O742" s="55"/>
      <c r="P742" s="55"/>
      <c r="Q742" s="55"/>
      <c r="R742" s="55"/>
      <c r="S742" s="55"/>
    </row>
    <row r="743" spans="3:19" ht="13.5" customHeight="1">
      <c r="C743" s="55"/>
      <c r="D743" s="55"/>
      <c r="E743" s="55"/>
      <c r="F743" s="53"/>
      <c r="G743" s="55"/>
      <c r="H743" s="55"/>
      <c r="I743" s="55"/>
      <c r="J743" s="163"/>
      <c r="K743" s="55"/>
      <c r="L743" s="55"/>
      <c r="M743" s="55"/>
      <c r="N743" s="55"/>
      <c r="O743" s="55"/>
      <c r="P743" s="55"/>
      <c r="Q743" s="55"/>
      <c r="R743" s="55"/>
      <c r="S743" s="55"/>
    </row>
    <row r="744" spans="3:19" ht="13.5" customHeight="1">
      <c r="C744" s="55"/>
      <c r="D744" s="55"/>
      <c r="E744" s="55"/>
      <c r="F744" s="53"/>
      <c r="G744" s="55"/>
      <c r="H744" s="55"/>
      <c r="I744" s="55"/>
      <c r="J744" s="163"/>
      <c r="K744" s="55"/>
      <c r="L744" s="55"/>
      <c r="M744" s="55"/>
      <c r="N744" s="55"/>
      <c r="O744" s="55"/>
      <c r="P744" s="55"/>
      <c r="Q744" s="55"/>
      <c r="R744" s="55"/>
      <c r="S744" s="55"/>
    </row>
    <row r="745" spans="3:19" ht="13.5" customHeight="1">
      <c r="C745" s="55"/>
      <c r="D745" s="55"/>
      <c r="E745" s="55"/>
      <c r="F745" s="53"/>
      <c r="G745" s="55"/>
      <c r="H745" s="55"/>
      <c r="I745" s="55"/>
      <c r="J745" s="163"/>
      <c r="K745" s="55"/>
      <c r="L745" s="55"/>
      <c r="M745" s="55"/>
      <c r="N745" s="55"/>
      <c r="O745" s="55"/>
      <c r="P745" s="55"/>
      <c r="Q745" s="55"/>
      <c r="R745" s="55"/>
      <c r="S745" s="55"/>
    </row>
    <row r="746" spans="3:19" ht="13.5" customHeight="1">
      <c r="C746" s="55"/>
      <c r="D746" s="55"/>
      <c r="E746" s="55"/>
      <c r="F746" s="53"/>
      <c r="G746" s="55"/>
      <c r="H746" s="55"/>
      <c r="I746" s="55"/>
      <c r="J746" s="163"/>
      <c r="K746" s="55"/>
      <c r="L746" s="55"/>
      <c r="M746" s="55"/>
      <c r="N746" s="55"/>
      <c r="O746" s="55"/>
      <c r="P746" s="55"/>
      <c r="Q746" s="55"/>
      <c r="R746" s="55"/>
      <c r="S746" s="55"/>
    </row>
    <row r="747" spans="3:19" ht="13.5" customHeight="1">
      <c r="C747" s="55"/>
      <c r="D747" s="55"/>
      <c r="E747" s="55"/>
      <c r="F747" s="53"/>
      <c r="G747" s="55"/>
      <c r="H747" s="55"/>
      <c r="I747" s="55"/>
      <c r="J747" s="163"/>
      <c r="K747" s="55"/>
      <c r="L747" s="55"/>
      <c r="M747" s="55"/>
      <c r="N747" s="55"/>
      <c r="O747" s="55"/>
      <c r="P747" s="55"/>
      <c r="Q747" s="55"/>
      <c r="R747" s="55"/>
      <c r="S747" s="55"/>
    </row>
    <row r="748" spans="3:19" ht="13.5" customHeight="1">
      <c r="C748" s="55"/>
      <c r="D748" s="55"/>
      <c r="E748" s="55"/>
      <c r="F748" s="53"/>
      <c r="G748" s="55"/>
      <c r="H748" s="55"/>
      <c r="I748" s="55"/>
      <c r="J748" s="163"/>
      <c r="K748" s="55"/>
      <c r="L748" s="55"/>
      <c r="M748" s="55"/>
      <c r="N748" s="55"/>
      <c r="O748" s="55"/>
      <c r="P748" s="55"/>
      <c r="Q748" s="55"/>
      <c r="R748" s="55"/>
      <c r="S748" s="55"/>
    </row>
    <row r="749" spans="3:19" ht="13.5" customHeight="1">
      <c r="C749" s="55"/>
      <c r="D749" s="55"/>
      <c r="E749" s="55"/>
      <c r="F749" s="53"/>
      <c r="G749" s="55"/>
      <c r="H749" s="55"/>
      <c r="I749" s="55"/>
      <c r="J749" s="163"/>
      <c r="K749" s="55"/>
      <c r="L749" s="55"/>
      <c r="M749" s="55"/>
      <c r="N749" s="55"/>
      <c r="O749" s="55"/>
      <c r="P749" s="55"/>
      <c r="Q749" s="55"/>
      <c r="R749" s="55"/>
      <c r="S749" s="55"/>
    </row>
    <row r="750" spans="3:19" ht="13.5" customHeight="1">
      <c r="C750" s="55"/>
      <c r="D750" s="55"/>
      <c r="E750" s="55"/>
      <c r="F750" s="53"/>
      <c r="G750" s="55"/>
      <c r="H750" s="55"/>
      <c r="I750" s="55"/>
      <c r="J750" s="163"/>
      <c r="K750" s="55"/>
      <c r="L750" s="55"/>
      <c r="M750" s="55"/>
      <c r="N750" s="55"/>
      <c r="O750" s="55"/>
      <c r="P750" s="55"/>
      <c r="Q750" s="55"/>
      <c r="R750" s="55"/>
      <c r="S750" s="55"/>
    </row>
    <row r="751" spans="3:19" ht="13.5" customHeight="1">
      <c r="C751" s="55"/>
      <c r="D751" s="55"/>
      <c r="E751" s="55"/>
      <c r="F751" s="53"/>
      <c r="G751" s="55"/>
      <c r="H751" s="55"/>
      <c r="I751" s="55"/>
      <c r="J751" s="163"/>
      <c r="K751" s="55"/>
      <c r="L751" s="55"/>
      <c r="M751" s="55"/>
      <c r="N751" s="55"/>
      <c r="O751" s="55"/>
      <c r="P751" s="55"/>
      <c r="Q751" s="55"/>
      <c r="R751" s="55"/>
      <c r="S751" s="55"/>
    </row>
    <row r="752" spans="3:19" ht="13.5" customHeight="1">
      <c r="C752" s="55"/>
      <c r="D752" s="55"/>
      <c r="E752" s="55"/>
      <c r="F752" s="53"/>
      <c r="G752" s="55"/>
      <c r="H752" s="55"/>
      <c r="I752" s="55"/>
      <c r="J752" s="163"/>
      <c r="K752" s="55"/>
      <c r="L752" s="55"/>
      <c r="M752" s="55"/>
      <c r="N752" s="55"/>
      <c r="O752" s="55"/>
      <c r="P752" s="55"/>
      <c r="Q752" s="55"/>
      <c r="R752" s="55"/>
      <c r="S752" s="55"/>
    </row>
    <row r="753" spans="3:19" ht="13.5" customHeight="1">
      <c r="C753" s="55"/>
      <c r="D753" s="55"/>
      <c r="E753" s="55"/>
      <c r="F753" s="53"/>
      <c r="G753" s="55"/>
      <c r="H753" s="55"/>
      <c r="I753" s="55"/>
      <c r="J753" s="163"/>
      <c r="K753" s="55"/>
      <c r="L753" s="55"/>
      <c r="M753" s="55"/>
      <c r="N753" s="55"/>
      <c r="O753" s="55"/>
      <c r="P753" s="55"/>
      <c r="Q753" s="55"/>
      <c r="R753" s="55"/>
      <c r="S753" s="55"/>
    </row>
    <row r="754" spans="3:19" ht="13.5" customHeight="1">
      <c r="C754" s="55"/>
      <c r="D754" s="55"/>
      <c r="E754" s="55"/>
      <c r="F754" s="53"/>
      <c r="G754" s="55"/>
      <c r="H754" s="55"/>
      <c r="I754" s="55"/>
      <c r="J754" s="163"/>
      <c r="K754" s="55"/>
      <c r="L754" s="55"/>
      <c r="M754" s="55"/>
      <c r="N754" s="55"/>
      <c r="O754" s="55"/>
      <c r="P754" s="55"/>
      <c r="Q754" s="55"/>
      <c r="R754" s="55"/>
      <c r="S754" s="55"/>
    </row>
    <row r="755" spans="3:19" ht="13.5" customHeight="1">
      <c r="C755" s="55"/>
      <c r="D755" s="55"/>
      <c r="E755" s="55"/>
      <c r="F755" s="53"/>
      <c r="G755" s="55"/>
      <c r="H755" s="55"/>
      <c r="I755" s="55"/>
      <c r="J755" s="163"/>
      <c r="K755" s="55"/>
      <c r="L755" s="55"/>
      <c r="M755" s="55"/>
      <c r="N755" s="55"/>
      <c r="O755" s="55"/>
      <c r="P755" s="55"/>
      <c r="Q755" s="55"/>
      <c r="R755" s="55"/>
      <c r="S755" s="55"/>
    </row>
    <row r="756" spans="3:19" ht="13.5" customHeight="1">
      <c r="C756" s="55"/>
      <c r="D756" s="55"/>
      <c r="E756" s="55"/>
      <c r="F756" s="53"/>
      <c r="G756" s="55"/>
      <c r="H756" s="55"/>
      <c r="I756" s="55"/>
      <c r="J756" s="163"/>
      <c r="K756" s="55"/>
      <c r="L756" s="55"/>
      <c r="M756" s="55"/>
      <c r="N756" s="55"/>
      <c r="O756" s="55"/>
      <c r="P756" s="55"/>
      <c r="Q756" s="55"/>
      <c r="R756" s="55"/>
      <c r="S756" s="55"/>
    </row>
    <row r="757" spans="3:19" ht="13.5" customHeight="1">
      <c r="C757" s="55"/>
      <c r="D757" s="55"/>
      <c r="E757" s="55"/>
      <c r="F757" s="53"/>
      <c r="G757" s="55"/>
      <c r="H757" s="55"/>
      <c r="I757" s="55"/>
      <c r="J757" s="163"/>
      <c r="K757" s="55"/>
      <c r="L757" s="55"/>
      <c r="M757" s="55"/>
      <c r="N757" s="55"/>
      <c r="O757" s="55"/>
      <c r="P757" s="55"/>
      <c r="Q757" s="55"/>
      <c r="R757" s="55"/>
      <c r="S757" s="55"/>
    </row>
    <row r="758" spans="3:19" ht="13.5" customHeight="1">
      <c r="C758" s="55"/>
      <c r="D758" s="55"/>
      <c r="E758" s="55"/>
      <c r="F758" s="53"/>
      <c r="G758" s="55"/>
      <c r="H758" s="55"/>
      <c r="I758" s="55"/>
      <c r="J758" s="163"/>
      <c r="K758" s="55"/>
      <c r="L758" s="55"/>
      <c r="M758" s="55"/>
      <c r="N758" s="55"/>
      <c r="O758" s="55"/>
      <c r="P758" s="55"/>
      <c r="Q758" s="55"/>
      <c r="R758" s="55"/>
      <c r="S758" s="55"/>
    </row>
    <row r="759" spans="3:19" ht="13.5" customHeight="1">
      <c r="C759" s="55"/>
      <c r="D759" s="55"/>
      <c r="E759" s="55"/>
      <c r="F759" s="53"/>
      <c r="G759" s="55"/>
      <c r="H759" s="55"/>
      <c r="I759" s="55"/>
      <c r="J759" s="163"/>
      <c r="K759" s="55"/>
      <c r="L759" s="55"/>
      <c r="M759" s="55"/>
      <c r="N759" s="55"/>
      <c r="O759" s="55"/>
      <c r="P759" s="55"/>
      <c r="Q759" s="55"/>
      <c r="R759" s="55"/>
      <c r="S759" s="55"/>
    </row>
    <row r="760" spans="3:19" ht="13.5" customHeight="1">
      <c r="C760" s="55"/>
      <c r="D760" s="55"/>
      <c r="E760" s="55"/>
      <c r="F760" s="53"/>
      <c r="G760" s="55"/>
      <c r="H760" s="55"/>
      <c r="I760" s="55"/>
      <c r="J760" s="163"/>
      <c r="K760" s="55"/>
      <c r="L760" s="55"/>
      <c r="M760" s="55"/>
      <c r="N760" s="55"/>
      <c r="O760" s="55"/>
      <c r="P760" s="55"/>
      <c r="Q760" s="55"/>
      <c r="R760" s="55"/>
      <c r="S760" s="55"/>
    </row>
    <row r="761" spans="3:19" ht="13.5" customHeight="1">
      <c r="C761" s="55"/>
      <c r="D761" s="55"/>
      <c r="E761" s="55"/>
      <c r="F761" s="53"/>
      <c r="G761" s="55"/>
      <c r="H761" s="55"/>
      <c r="I761" s="55"/>
      <c r="J761" s="163"/>
      <c r="K761" s="55"/>
      <c r="L761" s="55"/>
      <c r="M761" s="55"/>
      <c r="N761" s="55"/>
      <c r="O761" s="55"/>
      <c r="P761" s="55"/>
      <c r="Q761" s="55"/>
      <c r="R761" s="55"/>
      <c r="S761" s="55"/>
    </row>
    <row r="762" spans="3:19" ht="13.5" customHeight="1">
      <c r="C762" s="55"/>
      <c r="D762" s="55"/>
      <c r="E762" s="55"/>
      <c r="F762" s="53"/>
      <c r="G762" s="55"/>
      <c r="H762" s="55"/>
      <c r="I762" s="55"/>
      <c r="J762" s="163"/>
      <c r="K762" s="55"/>
      <c r="L762" s="55"/>
      <c r="M762" s="55"/>
      <c r="N762" s="55"/>
      <c r="O762" s="55"/>
      <c r="P762" s="55"/>
      <c r="Q762" s="55"/>
      <c r="R762" s="55"/>
      <c r="S762" s="55"/>
    </row>
    <row r="763" spans="3:19" ht="13.5" customHeight="1">
      <c r="C763" s="55"/>
      <c r="D763" s="55"/>
      <c r="E763" s="55"/>
      <c r="F763" s="53"/>
      <c r="G763" s="55"/>
      <c r="H763" s="55"/>
      <c r="I763" s="55"/>
      <c r="J763" s="163"/>
      <c r="K763" s="55"/>
      <c r="L763" s="55"/>
      <c r="M763" s="55"/>
      <c r="N763" s="55"/>
      <c r="O763" s="55"/>
      <c r="P763" s="55"/>
      <c r="Q763" s="55"/>
      <c r="R763" s="55"/>
      <c r="S763" s="55"/>
    </row>
    <row r="764" spans="3:19" ht="13.5" customHeight="1">
      <c r="C764" s="55"/>
      <c r="D764" s="55"/>
      <c r="E764" s="55"/>
      <c r="F764" s="53"/>
      <c r="G764" s="55"/>
      <c r="H764" s="55"/>
      <c r="I764" s="55"/>
      <c r="J764" s="163"/>
      <c r="K764" s="55"/>
      <c r="L764" s="55"/>
      <c r="M764" s="55"/>
      <c r="N764" s="55"/>
      <c r="O764" s="55"/>
      <c r="P764" s="55"/>
      <c r="Q764" s="55"/>
      <c r="R764" s="55"/>
      <c r="S764" s="55"/>
    </row>
    <row r="765" spans="3:19" ht="13.5" customHeight="1">
      <c r="C765" s="55"/>
      <c r="D765" s="55"/>
      <c r="E765" s="55"/>
      <c r="F765" s="53"/>
      <c r="G765" s="55"/>
      <c r="H765" s="55"/>
      <c r="I765" s="55"/>
      <c r="J765" s="163"/>
      <c r="K765" s="55"/>
      <c r="L765" s="55"/>
      <c r="M765" s="55"/>
      <c r="N765" s="55"/>
      <c r="O765" s="55"/>
      <c r="P765" s="55"/>
      <c r="Q765" s="55"/>
      <c r="R765" s="55"/>
      <c r="S765" s="55"/>
    </row>
    <row r="766" spans="3:19" ht="13.5" customHeight="1">
      <c r="C766" s="55"/>
      <c r="D766" s="55"/>
      <c r="E766" s="55"/>
      <c r="F766" s="53"/>
      <c r="G766" s="55"/>
      <c r="H766" s="55"/>
      <c r="I766" s="55"/>
      <c r="J766" s="163"/>
      <c r="K766" s="55"/>
      <c r="L766" s="55"/>
      <c r="M766" s="55"/>
      <c r="N766" s="55"/>
      <c r="O766" s="55"/>
      <c r="P766" s="55"/>
      <c r="Q766" s="55"/>
      <c r="R766" s="55"/>
      <c r="S766" s="55"/>
    </row>
    <row r="767" spans="3:19" ht="13.5" customHeight="1">
      <c r="C767" s="55"/>
      <c r="D767" s="55"/>
      <c r="E767" s="55"/>
      <c r="F767" s="53"/>
      <c r="G767" s="55"/>
      <c r="H767" s="55"/>
      <c r="I767" s="55"/>
      <c r="J767" s="163"/>
      <c r="K767" s="55"/>
      <c r="L767" s="55"/>
      <c r="M767" s="55"/>
      <c r="N767" s="55"/>
      <c r="O767" s="55"/>
      <c r="P767" s="55"/>
      <c r="Q767" s="55"/>
      <c r="R767" s="55"/>
      <c r="S767" s="55"/>
    </row>
    <row r="768" spans="3:19" ht="13.5" customHeight="1">
      <c r="C768" s="55"/>
      <c r="D768" s="55"/>
      <c r="E768" s="55"/>
      <c r="F768" s="53"/>
      <c r="G768" s="55"/>
      <c r="H768" s="55"/>
      <c r="I768" s="55"/>
      <c r="J768" s="163"/>
      <c r="K768" s="55"/>
      <c r="L768" s="55"/>
      <c r="M768" s="55"/>
      <c r="N768" s="55"/>
      <c r="O768" s="55"/>
      <c r="P768" s="55"/>
      <c r="Q768" s="55"/>
      <c r="R768" s="55"/>
      <c r="S768" s="55"/>
    </row>
    <row r="769" spans="3:19" ht="13.5" customHeight="1">
      <c r="C769" s="55"/>
      <c r="D769" s="55"/>
      <c r="E769" s="55"/>
      <c r="F769" s="53"/>
      <c r="G769" s="55"/>
      <c r="H769" s="55"/>
      <c r="I769" s="55"/>
      <c r="J769" s="163"/>
      <c r="K769" s="55"/>
      <c r="L769" s="55"/>
      <c r="M769" s="55"/>
      <c r="N769" s="55"/>
      <c r="O769" s="55"/>
      <c r="P769" s="55"/>
      <c r="Q769" s="55"/>
      <c r="R769" s="55"/>
      <c r="S769" s="55"/>
    </row>
    <row r="770" spans="3:19" ht="13.5" customHeight="1">
      <c r="C770" s="55"/>
      <c r="D770" s="55"/>
      <c r="E770" s="55"/>
      <c r="F770" s="53"/>
      <c r="G770" s="55"/>
      <c r="H770" s="55"/>
      <c r="I770" s="55"/>
      <c r="J770" s="163"/>
      <c r="K770" s="55"/>
      <c r="L770" s="55"/>
      <c r="M770" s="55"/>
      <c r="N770" s="55"/>
      <c r="O770" s="55"/>
      <c r="P770" s="55"/>
      <c r="Q770" s="55"/>
      <c r="R770" s="55"/>
      <c r="S770" s="55"/>
    </row>
    <row r="771" spans="3:19" ht="13.5" customHeight="1">
      <c r="C771" s="55"/>
      <c r="D771" s="55"/>
      <c r="E771" s="55"/>
      <c r="F771" s="53"/>
      <c r="G771" s="55"/>
      <c r="H771" s="55"/>
      <c r="I771" s="55"/>
      <c r="J771" s="163"/>
      <c r="K771" s="55"/>
      <c r="L771" s="55"/>
      <c r="M771" s="55"/>
      <c r="N771" s="55"/>
      <c r="O771" s="55"/>
      <c r="P771" s="55"/>
      <c r="Q771" s="55"/>
      <c r="R771" s="55"/>
      <c r="S771" s="55"/>
    </row>
    <row r="772" spans="3:19" ht="13.5" customHeight="1">
      <c r="C772" s="55"/>
      <c r="D772" s="55"/>
      <c r="E772" s="55"/>
      <c r="F772" s="53"/>
      <c r="G772" s="55"/>
      <c r="H772" s="55"/>
      <c r="I772" s="55"/>
      <c r="J772" s="163"/>
      <c r="K772" s="55"/>
      <c r="L772" s="55"/>
      <c r="M772" s="55"/>
      <c r="N772" s="55"/>
      <c r="O772" s="55"/>
      <c r="P772" s="55"/>
      <c r="Q772" s="55"/>
      <c r="R772" s="55"/>
      <c r="S772" s="55"/>
    </row>
    <row r="773" spans="3:19" ht="13.5" customHeight="1">
      <c r="C773" s="55"/>
      <c r="D773" s="55"/>
      <c r="E773" s="55"/>
      <c r="F773" s="53"/>
      <c r="G773" s="55"/>
      <c r="H773" s="55"/>
      <c r="I773" s="55"/>
      <c r="J773" s="163"/>
      <c r="K773" s="55"/>
      <c r="L773" s="55"/>
      <c r="M773" s="55"/>
      <c r="N773" s="55"/>
      <c r="O773" s="55"/>
      <c r="P773" s="55"/>
      <c r="Q773" s="55"/>
      <c r="R773" s="55"/>
      <c r="S773" s="55"/>
    </row>
    <row r="774" spans="3:19" ht="13.5" customHeight="1">
      <c r="C774" s="55"/>
      <c r="D774" s="55"/>
      <c r="E774" s="55"/>
      <c r="F774" s="53"/>
      <c r="G774" s="55"/>
      <c r="H774" s="55"/>
      <c r="I774" s="55"/>
      <c r="J774" s="163"/>
      <c r="K774" s="55"/>
      <c r="L774" s="55"/>
      <c r="M774" s="55"/>
      <c r="N774" s="55"/>
      <c r="O774" s="55"/>
      <c r="P774" s="55"/>
      <c r="Q774" s="55"/>
      <c r="R774" s="55"/>
      <c r="S774" s="55"/>
    </row>
    <row r="775" spans="3:19" ht="13.5" customHeight="1">
      <c r="C775" s="55"/>
      <c r="D775" s="55"/>
      <c r="E775" s="55"/>
      <c r="F775" s="53"/>
      <c r="G775" s="55"/>
      <c r="H775" s="55"/>
      <c r="I775" s="55"/>
      <c r="J775" s="163"/>
      <c r="K775" s="55"/>
      <c r="L775" s="55"/>
      <c r="M775" s="55"/>
      <c r="N775" s="55"/>
      <c r="O775" s="55"/>
      <c r="P775" s="55"/>
      <c r="Q775" s="55"/>
      <c r="R775" s="55"/>
      <c r="S775" s="55"/>
    </row>
    <row r="776" spans="3:19" ht="13.5" customHeight="1">
      <c r="C776" s="55"/>
      <c r="D776" s="55"/>
      <c r="E776" s="55"/>
      <c r="F776" s="53"/>
      <c r="G776" s="55"/>
      <c r="H776" s="55"/>
      <c r="I776" s="55"/>
      <c r="J776" s="163"/>
      <c r="K776" s="55"/>
      <c r="L776" s="55"/>
      <c r="M776" s="55"/>
      <c r="N776" s="55"/>
      <c r="O776" s="55"/>
      <c r="P776" s="55"/>
      <c r="Q776" s="55"/>
      <c r="R776" s="55"/>
      <c r="S776" s="55"/>
    </row>
    <row r="777" spans="3:19" ht="13.5" customHeight="1">
      <c r="C777" s="55"/>
      <c r="D777" s="55"/>
      <c r="E777" s="55"/>
      <c r="F777" s="53"/>
      <c r="G777" s="55"/>
      <c r="H777" s="55"/>
      <c r="I777" s="55"/>
      <c r="J777" s="163"/>
      <c r="K777" s="55"/>
      <c r="L777" s="55"/>
      <c r="M777" s="55"/>
      <c r="N777" s="55"/>
      <c r="O777" s="55"/>
      <c r="P777" s="55"/>
      <c r="Q777" s="55"/>
      <c r="R777" s="55"/>
      <c r="S777" s="55"/>
    </row>
    <row r="778" spans="3:19" ht="13.5" customHeight="1">
      <c r="C778" s="55"/>
      <c r="D778" s="55"/>
      <c r="E778" s="55"/>
      <c r="F778" s="53"/>
      <c r="G778" s="55"/>
      <c r="H778" s="55"/>
      <c r="I778" s="55"/>
      <c r="J778" s="163"/>
      <c r="K778" s="55"/>
      <c r="L778" s="55"/>
      <c r="M778" s="55"/>
      <c r="N778" s="55"/>
      <c r="O778" s="55"/>
      <c r="P778" s="55"/>
      <c r="Q778" s="55"/>
      <c r="R778" s="55"/>
      <c r="S778" s="55"/>
    </row>
    <row r="779" spans="3:19" ht="13.5" customHeight="1">
      <c r="C779" s="55"/>
      <c r="D779" s="55"/>
      <c r="E779" s="55"/>
      <c r="F779" s="53"/>
      <c r="G779" s="55"/>
      <c r="H779" s="55"/>
      <c r="I779" s="55"/>
      <c r="J779" s="163"/>
      <c r="K779" s="55"/>
      <c r="L779" s="55"/>
      <c r="M779" s="55"/>
      <c r="N779" s="55"/>
      <c r="O779" s="55"/>
      <c r="P779" s="55"/>
      <c r="Q779" s="55"/>
      <c r="R779" s="55"/>
      <c r="S779" s="55"/>
    </row>
    <row r="780" spans="3:19" ht="13.5" customHeight="1">
      <c r="C780" s="55"/>
      <c r="D780" s="55"/>
      <c r="E780" s="55"/>
      <c r="F780" s="53"/>
      <c r="G780" s="55"/>
      <c r="H780" s="55"/>
      <c r="I780" s="55"/>
      <c r="J780" s="163"/>
      <c r="K780" s="55"/>
      <c r="L780" s="55"/>
      <c r="M780" s="55"/>
      <c r="N780" s="55"/>
      <c r="O780" s="55"/>
      <c r="P780" s="55"/>
      <c r="Q780" s="55"/>
      <c r="R780" s="55"/>
      <c r="S780" s="55"/>
    </row>
    <row r="781" spans="3:19" ht="13.5" customHeight="1">
      <c r="C781" s="55"/>
      <c r="D781" s="55"/>
      <c r="E781" s="55"/>
      <c r="F781" s="53"/>
      <c r="G781" s="55"/>
      <c r="H781" s="55"/>
      <c r="I781" s="55"/>
      <c r="J781" s="163"/>
      <c r="K781" s="55"/>
      <c r="L781" s="55"/>
      <c r="M781" s="55"/>
      <c r="N781" s="55"/>
      <c r="O781" s="55"/>
      <c r="P781" s="55"/>
      <c r="Q781" s="55"/>
      <c r="R781" s="55"/>
      <c r="S781" s="55"/>
    </row>
    <row r="782" spans="3:19" ht="13.5" customHeight="1">
      <c r="C782" s="55"/>
      <c r="D782" s="55"/>
      <c r="E782" s="55"/>
      <c r="F782" s="53"/>
      <c r="G782" s="55"/>
      <c r="H782" s="55"/>
      <c r="I782" s="55"/>
      <c r="J782" s="163"/>
      <c r="K782" s="55"/>
      <c r="L782" s="55"/>
      <c r="M782" s="55"/>
      <c r="N782" s="55"/>
      <c r="O782" s="55"/>
      <c r="P782" s="55"/>
      <c r="Q782" s="55"/>
      <c r="R782" s="55"/>
      <c r="S782" s="55"/>
    </row>
    <row r="783" spans="3:19" ht="13.5" customHeight="1">
      <c r="C783" s="55"/>
      <c r="D783" s="55"/>
      <c r="E783" s="55"/>
      <c r="F783" s="53"/>
      <c r="G783" s="55"/>
      <c r="H783" s="55"/>
      <c r="I783" s="55"/>
      <c r="J783" s="163"/>
      <c r="K783" s="55"/>
      <c r="L783" s="55"/>
      <c r="M783" s="55"/>
      <c r="N783" s="55"/>
      <c r="O783" s="55"/>
      <c r="P783" s="55"/>
      <c r="Q783" s="55"/>
      <c r="R783" s="55"/>
      <c r="S783" s="55"/>
    </row>
    <row r="784" spans="3:19" ht="13.5" customHeight="1">
      <c r="C784" s="55"/>
      <c r="D784" s="55"/>
      <c r="E784" s="55"/>
      <c r="F784" s="53"/>
      <c r="G784" s="55"/>
      <c r="H784" s="55"/>
      <c r="I784" s="55"/>
      <c r="J784" s="163"/>
      <c r="K784" s="55"/>
      <c r="L784" s="55"/>
      <c r="M784" s="55"/>
      <c r="N784" s="55"/>
      <c r="O784" s="55"/>
      <c r="P784" s="55"/>
      <c r="Q784" s="55"/>
      <c r="R784" s="55"/>
      <c r="S784" s="55"/>
    </row>
    <row r="785" spans="3:19" ht="13.5" customHeight="1">
      <c r="C785" s="55"/>
      <c r="D785" s="55"/>
      <c r="E785" s="55"/>
      <c r="F785" s="53"/>
      <c r="G785" s="55"/>
      <c r="H785" s="55"/>
      <c r="I785" s="55"/>
      <c r="J785" s="163"/>
      <c r="K785" s="55"/>
      <c r="L785" s="55"/>
      <c r="M785" s="55"/>
      <c r="N785" s="55"/>
      <c r="O785" s="55"/>
      <c r="P785" s="55"/>
      <c r="Q785" s="55"/>
      <c r="R785" s="55"/>
      <c r="S785" s="55"/>
    </row>
    <row r="786" spans="3:19" ht="13.5" customHeight="1">
      <c r="C786" s="55"/>
      <c r="D786" s="55"/>
      <c r="E786" s="55"/>
      <c r="F786" s="53"/>
      <c r="G786" s="55"/>
      <c r="H786" s="55"/>
      <c r="I786" s="55"/>
      <c r="J786" s="163"/>
      <c r="K786" s="55"/>
      <c r="L786" s="55"/>
      <c r="M786" s="55"/>
      <c r="N786" s="55"/>
      <c r="O786" s="55"/>
      <c r="P786" s="55"/>
      <c r="Q786" s="55"/>
      <c r="R786" s="55"/>
      <c r="S786" s="55"/>
    </row>
    <row r="787" spans="3:19" ht="13.5" customHeight="1">
      <c r="C787" s="55"/>
      <c r="D787" s="55"/>
      <c r="E787" s="55"/>
      <c r="F787" s="53"/>
      <c r="G787" s="55"/>
      <c r="H787" s="55"/>
      <c r="I787" s="55"/>
      <c r="J787" s="163"/>
      <c r="K787" s="55"/>
      <c r="L787" s="55"/>
      <c r="M787" s="55"/>
      <c r="N787" s="55"/>
      <c r="O787" s="55"/>
      <c r="P787" s="55"/>
      <c r="Q787" s="55"/>
      <c r="R787" s="55"/>
      <c r="S787" s="55"/>
    </row>
    <row r="788" spans="3:19" ht="13.5" customHeight="1">
      <c r="C788" s="55"/>
      <c r="D788" s="55"/>
      <c r="E788" s="55"/>
      <c r="F788" s="53"/>
      <c r="G788" s="55"/>
      <c r="H788" s="55"/>
      <c r="I788" s="55"/>
      <c r="J788" s="163"/>
      <c r="K788" s="55"/>
      <c r="L788" s="55"/>
      <c r="M788" s="55"/>
      <c r="N788" s="55"/>
      <c r="O788" s="55"/>
      <c r="P788" s="55"/>
      <c r="Q788" s="55"/>
      <c r="R788" s="55"/>
      <c r="S788" s="55"/>
    </row>
    <row r="789" spans="3:19" ht="13.5" customHeight="1">
      <c r="C789" s="55"/>
      <c r="D789" s="55"/>
      <c r="E789" s="55"/>
      <c r="F789" s="53"/>
      <c r="G789" s="55"/>
      <c r="H789" s="55"/>
      <c r="I789" s="55"/>
      <c r="J789" s="163"/>
      <c r="K789" s="55"/>
      <c r="L789" s="55"/>
      <c r="M789" s="55"/>
      <c r="N789" s="55"/>
      <c r="O789" s="55"/>
      <c r="P789" s="55"/>
      <c r="Q789" s="55"/>
      <c r="R789" s="55"/>
      <c r="S789" s="55"/>
    </row>
    <row r="790" spans="3:19" ht="13.5" customHeight="1">
      <c r="C790" s="55"/>
      <c r="D790" s="55"/>
      <c r="E790" s="55"/>
      <c r="F790" s="53"/>
      <c r="G790" s="55"/>
      <c r="H790" s="55"/>
      <c r="I790" s="55"/>
      <c r="J790" s="163"/>
      <c r="K790" s="55"/>
      <c r="L790" s="55"/>
      <c r="M790" s="55"/>
      <c r="N790" s="55"/>
      <c r="O790" s="55"/>
      <c r="P790" s="55"/>
      <c r="Q790" s="55"/>
      <c r="R790" s="55"/>
      <c r="S790" s="55"/>
    </row>
    <row r="791" spans="3:19" ht="13.5" customHeight="1">
      <c r="C791" s="55"/>
      <c r="D791" s="55"/>
      <c r="E791" s="55"/>
      <c r="F791" s="53"/>
      <c r="G791" s="55"/>
      <c r="H791" s="55"/>
      <c r="I791" s="55"/>
      <c r="J791" s="163"/>
      <c r="K791" s="55"/>
      <c r="L791" s="55"/>
      <c r="M791" s="55"/>
      <c r="N791" s="55"/>
      <c r="O791" s="55"/>
      <c r="P791" s="55"/>
      <c r="Q791" s="55"/>
      <c r="R791" s="55"/>
      <c r="S791" s="55"/>
    </row>
    <row r="792" spans="3:19" ht="13.5" customHeight="1">
      <c r="C792" s="55"/>
      <c r="D792" s="55"/>
      <c r="E792" s="55"/>
      <c r="F792" s="53"/>
      <c r="G792" s="55"/>
      <c r="H792" s="55"/>
      <c r="I792" s="55"/>
      <c r="J792" s="163"/>
      <c r="K792" s="55"/>
      <c r="L792" s="55"/>
      <c r="M792" s="55"/>
      <c r="N792" s="55"/>
      <c r="O792" s="55"/>
      <c r="P792" s="55"/>
      <c r="Q792" s="55"/>
      <c r="R792" s="55"/>
      <c r="S792" s="55"/>
    </row>
    <row r="793" spans="3:19" ht="13.5" customHeight="1">
      <c r="C793" s="55"/>
      <c r="D793" s="55"/>
      <c r="E793" s="55"/>
      <c r="F793" s="53"/>
      <c r="G793" s="55"/>
      <c r="H793" s="55"/>
      <c r="I793" s="55"/>
      <c r="J793" s="163"/>
      <c r="K793" s="55"/>
      <c r="L793" s="55"/>
      <c r="M793" s="55"/>
      <c r="N793" s="55"/>
      <c r="O793" s="55"/>
      <c r="P793" s="55"/>
      <c r="Q793" s="55"/>
      <c r="R793" s="55"/>
      <c r="S793" s="55"/>
    </row>
    <row r="794" spans="3:19" ht="13.5" customHeight="1">
      <c r="C794" s="55"/>
      <c r="D794" s="55"/>
      <c r="E794" s="55"/>
      <c r="F794" s="53"/>
      <c r="G794" s="55"/>
      <c r="H794" s="55"/>
      <c r="I794" s="55"/>
      <c r="J794" s="163"/>
      <c r="K794" s="55"/>
      <c r="L794" s="55"/>
      <c r="M794" s="55"/>
      <c r="N794" s="55"/>
      <c r="O794" s="55"/>
      <c r="P794" s="55"/>
      <c r="Q794" s="55"/>
      <c r="R794" s="55"/>
      <c r="S794" s="55"/>
    </row>
    <row r="795" spans="3:19" ht="13.5" customHeight="1">
      <c r="C795" s="55"/>
      <c r="D795" s="55"/>
      <c r="E795" s="55"/>
      <c r="F795" s="53"/>
      <c r="G795" s="55"/>
      <c r="H795" s="55"/>
      <c r="I795" s="55"/>
      <c r="J795" s="163"/>
      <c r="K795" s="55"/>
      <c r="L795" s="55"/>
      <c r="M795" s="55"/>
      <c r="N795" s="55"/>
      <c r="O795" s="55"/>
      <c r="P795" s="55"/>
      <c r="Q795" s="55"/>
      <c r="R795" s="55"/>
      <c r="S795" s="55"/>
    </row>
    <row r="796" spans="3:19" ht="13.5" customHeight="1">
      <c r="C796" s="55"/>
      <c r="D796" s="55"/>
      <c r="E796" s="55"/>
      <c r="F796" s="53"/>
      <c r="G796" s="55"/>
      <c r="H796" s="55"/>
      <c r="I796" s="55"/>
      <c r="J796" s="163"/>
      <c r="K796" s="55"/>
      <c r="L796" s="55"/>
      <c r="M796" s="55"/>
      <c r="N796" s="55"/>
      <c r="O796" s="55"/>
      <c r="P796" s="55"/>
      <c r="Q796" s="55"/>
      <c r="R796" s="55"/>
      <c r="S796" s="55"/>
    </row>
    <row r="797" spans="3:19" ht="13.5" customHeight="1">
      <c r="C797" s="55"/>
      <c r="D797" s="55"/>
      <c r="E797" s="55"/>
      <c r="F797" s="53"/>
      <c r="G797" s="55"/>
      <c r="H797" s="55"/>
      <c r="I797" s="55"/>
      <c r="J797" s="163"/>
      <c r="K797" s="55"/>
      <c r="L797" s="55"/>
      <c r="M797" s="55"/>
      <c r="N797" s="55"/>
      <c r="O797" s="55"/>
      <c r="P797" s="55"/>
      <c r="Q797" s="55"/>
      <c r="R797" s="55"/>
      <c r="S797" s="55"/>
    </row>
    <row r="798" spans="3:19" ht="13.5" customHeight="1">
      <c r="C798" s="55"/>
      <c r="D798" s="55"/>
      <c r="E798" s="55"/>
      <c r="F798" s="53"/>
      <c r="G798" s="55"/>
      <c r="H798" s="55"/>
      <c r="I798" s="55"/>
      <c r="J798" s="163"/>
      <c r="K798" s="55"/>
      <c r="L798" s="55"/>
      <c r="M798" s="55"/>
      <c r="N798" s="55"/>
      <c r="O798" s="55"/>
      <c r="P798" s="55"/>
      <c r="Q798" s="55"/>
      <c r="R798" s="55"/>
      <c r="S798" s="55"/>
    </row>
    <row r="799" spans="3:19" ht="13.5" customHeight="1">
      <c r="C799" s="55"/>
      <c r="D799" s="55"/>
      <c r="E799" s="55"/>
      <c r="F799" s="53"/>
      <c r="G799" s="55"/>
      <c r="H799" s="55"/>
      <c r="I799" s="55"/>
      <c r="J799" s="163"/>
      <c r="K799" s="55"/>
      <c r="L799" s="55"/>
      <c r="M799" s="55"/>
      <c r="N799" s="55"/>
      <c r="O799" s="55"/>
      <c r="P799" s="55"/>
      <c r="Q799" s="55"/>
      <c r="R799" s="55"/>
      <c r="S799" s="55"/>
    </row>
    <row r="800" spans="3:19" ht="13.5" customHeight="1">
      <c r="C800" s="55"/>
      <c r="D800" s="55"/>
      <c r="E800" s="55"/>
      <c r="F800" s="53"/>
      <c r="G800" s="55"/>
      <c r="H800" s="55"/>
      <c r="I800" s="55"/>
      <c r="J800" s="163"/>
      <c r="K800" s="55"/>
      <c r="L800" s="55"/>
      <c r="M800" s="55"/>
      <c r="N800" s="55"/>
      <c r="O800" s="55"/>
      <c r="P800" s="55"/>
      <c r="Q800" s="55"/>
      <c r="R800" s="55"/>
      <c r="S800" s="55"/>
    </row>
    <row r="801" spans="3:19" ht="13.5" customHeight="1">
      <c r="C801" s="55"/>
      <c r="D801" s="55"/>
      <c r="E801" s="55"/>
      <c r="F801" s="53"/>
      <c r="G801" s="55"/>
      <c r="H801" s="55"/>
      <c r="I801" s="55"/>
      <c r="J801" s="163"/>
      <c r="K801" s="55"/>
      <c r="L801" s="55"/>
      <c r="M801" s="55"/>
      <c r="N801" s="55"/>
      <c r="O801" s="55"/>
      <c r="P801" s="55"/>
      <c r="Q801" s="55"/>
      <c r="R801" s="55"/>
      <c r="S801" s="55"/>
    </row>
    <row r="802" spans="3:19" ht="13.5" customHeight="1">
      <c r="C802" s="55"/>
      <c r="D802" s="55"/>
      <c r="E802" s="55"/>
      <c r="F802" s="53"/>
      <c r="G802" s="55"/>
      <c r="H802" s="55"/>
      <c r="I802" s="55"/>
      <c r="J802" s="163"/>
      <c r="K802" s="55"/>
      <c r="L802" s="55"/>
      <c r="M802" s="55"/>
      <c r="N802" s="55"/>
      <c r="O802" s="55"/>
      <c r="P802" s="55"/>
      <c r="Q802" s="55"/>
      <c r="R802" s="55"/>
      <c r="S802" s="55"/>
    </row>
    <row r="803" spans="3:19" ht="13.5" customHeight="1">
      <c r="C803" s="55"/>
      <c r="D803" s="55"/>
      <c r="E803" s="55"/>
      <c r="F803" s="53"/>
      <c r="G803" s="55"/>
      <c r="H803" s="55"/>
      <c r="I803" s="55"/>
      <c r="J803" s="163"/>
      <c r="K803" s="55"/>
      <c r="L803" s="55"/>
      <c r="M803" s="55"/>
      <c r="N803" s="55"/>
      <c r="O803" s="55"/>
      <c r="P803" s="55"/>
      <c r="Q803" s="55"/>
      <c r="R803" s="55"/>
      <c r="S803" s="55"/>
    </row>
    <row r="804" spans="3:19" ht="13.5" customHeight="1">
      <c r="C804" s="55"/>
      <c r="D804" s="55"/>
      <c r="E804" s="55"/>
      <c r="F804" s="53"/>
      <c r="G804" s="55"/>
      <c r="H804" s="55"/>
      <c r="I804" s="55"/>
      <c r="J804" s="163"/>
      <c r="K804" s="55"/>
      <c r="L804" s="55"/>
      <c r="M804" s="55"/>
      <c r="N804" s="55"/>
      <c r="O804" s="55"/>
      <c r="P804" s="55"/>
      <c r="Q804" s="55"/>
      <c r="R804" s="55"/>
      <c r="S804" s="55"/>
    </row>
    <row r="805" spans="3:19" ht="13.5" customHeight="1">
      <c r="C805" s="55"/>
      <c r="D805" s="55"/>
      <c r="E805" s="55"/>
      <c r="F805" s="53"/>
      <c r="G805" s="55"/>
      <c r="H805" s="55"/>
      <c r="I805" s="55"/>
      <c r="J805" s="163"/>
      <c r="K805" s="55"/>
      <c r="L805" s="55"/>
      <c r="M805" s="55"/>
      <c r="N805" s="55"/>
      <c r="O805" s="55"/>
      <c r="P805" s="55"/>
      <c r="Q805" s="55"/>
      <c r="R805" s="55"/>
      <c r="S805" s="55"/>
    </row>
    <row r="806" spans="3:19" ht="13.5" customHeight="1">
      <c r="C806" s="55"/>
      <c r="D806" s="55"/>
      <c r="E806" s="55"/>
      <c r="F806" s="53"/>
      <c r="G806" s="55"/>
      <c r="H806" s="55"/>
      <c r="I806" s="55"/>
      <c r="J806" s="163"/>
      <c r="K806" s="55"/>
      <c r="L806" s="55"/>
      <c r="M806" s="55"/>
      <c r="N806" s="55"/>
      <c r="O806" s="55"/>
      <c r="P806" s="55"/>
      <c r="Q806" s="55"/>
      <c r="R806" s="55"/>
      <c r="S806" s="55"/>
    </row>
    <row r="807" spans="3:19" ht="13.5" customHeight="1">
      <c r="C807" s="55"/>
      <c r="D807" s="55"/>
      <c r="E807" s="55"/>
      <c r="F807" s="53"/>
      <c r="G807" s="55"/>
      <c r="H807" s="55"/>
      <c r="I807" s="55"/>
      <c r="J807" s="163"/>
      <c r="K807" s="55"/>
      <c r="L807" s="55"/>
      <c r="M807" s="55"/>
      <c r="N807" s="55"/>
      <c r="O807" s="55"/>
      <c r="P807" s="55"/>
      <c r="Q807" s="55"/>
      <c r="R807" s="55"/>
      <c r="S807" s="55"/>
    </row>
    <row r="808" spans="3:19" ht="13.5" customHeight="1">
      <c r="C808" s="55"/>
      <c r="D808" s="55"/>
      <c r="E808" s="55"/>
      <c r="F808" s="53"/>
      <c r="G808" s="55"/>
      <c r="H808" s="55"/>
      <c r="I808" s="55"/>
      <c r="J808" s="163"/>
      <c r="K808" s="55"/>
      <c r="L808" s="55"/>
      <c r="M808" s="55"/>
      <c r="N808" s="55"/>
      <c r="O808" s="55"/>
      <c r="P808" s="55"/>
      <c r="Q808" s="55"/>
      <c r="R808" s="55"/>
      <c r="S808" s="55"/>
    </row>
    <row r="809" spans="3:19" ht="13.5" customHeight="1">
      <c r="C809" s="55"/>
      <c r="D809" s="55"/>
      <c r="E809" s="55"/>
      <c r="F809" s="53"/>
      <c r="G809" s="55"/>
      <c r="H809" s="55"/>
      <c r="I809" s="55"/>
      <c r="J809" s="163"/>
      <c r="K809" s="55"/>
      <c r="L809" s="55"/>
      <c r="M809" s="55"/>
      <c r="N809" s="55"/>
      <c r="O809" s="55"/>
      <c r="P809" s="55"/>
      <c r="Q809" s="55"/>
      <c r="R809" s="55"/>
      <c r="S809" s="55"/>
    </row>
    <row r="810" spans="3:19" ht="13.5" customHeight="1">
      <c r="C810" s="55"/>
      <c r="D810" s="55"/>
      <c r="E810" s="55"/>
      <c r="F810" s="53"/>
      <c r="G810" s="55"/>
      <c r="H810" s="55"/>
      <c r="I810" s="55"/>
      <c r="J810" s="163"/>
      <c r="K810" s="55"/>
      <c r="L810" s="55"/>
      <c r="M810" s="55"/>
      <c r="N810" s="55"/>
      <c r="O810" s="55"/>
      <c r="P810" s="55"/>
      <c r="Q810" s="55"/>
      <c r="R810" s="55"/>
      <c r="S810" s="55"/>
    </row>
    <row r="811" spans="3:19" ht="13.5" customHeight="1">
      <c r="C811" s="55"/>
      <c r="D811" s="55"/>
      <c r="E811" s="55"/>
      <c r="F811" s="53"/>
      <c r="G811" s="55"/>
      <c r="H811" s="55"/>
      <c r="I811" s="55"/>
      <c r="J811" s="163"/>
      <c r="K811" s="55"/>
      <c r="L811" s="55"/>
      <c r="M811" s="55"/>
      <c r="N811" s="55"/>
      <c r="O811" s="55"/>
      <c r="P811" s="55"/>
      <c r="Q811" s="55"/>
      <c r="R811" s="55"/>
      <c r="S811" s="55"/>
    </row>
    <row r="812" spans="3:19" ht="13.5" customHeight="1">
      <c r="C812" s="55"/>
      <c r="D812" s="55"/>
      <c r="E812" s="55"/>
      <c r="F812" s="53"/>
      <c r="G812" s="55"/>
      <c r="H812" s="55"/>
      <c r="I812" s="55"/>
      <c r="J812" s="163"/>
      <c r="K812" s="55"/>
      <c r="L812" s="55"/>
      <c r="M812" s="55"/>
      <c r="N812" s="55"/>
      <c r="O812" s="55"/>
      <c r="P812" s="55"/>
      <c r="Q812" s="55"/>
      <c r="R812" s="55"/>
      <c r="S812" s="55"/>
    </row>
    <row r="813" spans="3:19" ht="13.5" customHeight="1">
      <c r="C813" s="55"/>
      <c r="D813" s="55"/>
      <c r="E813" s="55"/>
      <c r="F813" s="53"/>
      <c r="G813" s="55"/>
      <c r="H813" s="55"/>
      <c r="I813" s="55"/>
      <c r="J813" s="163"/>
      <c r="K813" s="55"/>
      <c r="L813" s="55"/>
      <c r="M813" s="55"/>
      <c r="N813" s="55"/>
      <c r="O813" s="55"/>
      <c r="P813" s="55"/>
      <c r="Q813" s="55"/>
      <c r="R813" s="55"/>
      <c r="S813" s="55"/>
    </row>
    <row r="814" spans="3:19" ht="13.5" customHeight="1">
      <c r="C814" s="55"/>
      <c r="D814" s="55"/>
      <c r="E814" s="55"/>
      <c r="F814" s="53"/>
      <c r="G814" s="55"/>
      <c r="H814" s="55"/>
      <c r="I814" s="55"/>
      <c r="J814" s="163"/>
      <c r="K814" s="55"/>
      <c r="L814" s="55"/>
      <c r="M814" s="55"/>
      <c r="N814" s="55"/>
      <c r="O814" s="55"/>
      <c r="P814" s="55"/>
      <c r="Q814" s="55"/>
      <c r="R814" s="55"/>
      <c r="S814" s="55"/>
    </row>
    <row r="815" spans="3:19" ht="13.5" customHeight="1">
      <c r="C815" s="55"/>
      <c r="D815" s="55"/>
      <c r="E815" s="55"/>
      <c r="F815" s="53"/>
      <c r="G815" s="55"/>
      <c r="H815" s="55"/>
      <c r="I815" s="55"/>
      <c r="J815" s="163"/>
      <c r="K815" s="55"/>
      <c r="L815" s="55"/>
      <c r="M815" s="55"/>
      <c r="N815" s="55"/>
      <c r="O815" s="55"/>
      <c r="P815" s="55"/>
      <c r="Q815" s="55"/>
      <c r="R815" s="55"/>
      <c r="S815" s="55"/>
    </row>
    <row r="816" spans="3:19" ht="13.5" customHeight="1">
      <c r="C816" s="55"/>
      <c r="D816" s="55"/>
      <c r="E816" s="55"/>
      <c r="F816" s="53"/>
      <c r="G816" s="55"/>
      <c r="H816" s="55"/>
      <c r="I816" s="55"/>
      <c r="J816" s="163"/>
      <c r="K816" s="55"/>
      <c r="L816" s="55"/>
      <c r="M816" s="55"/>
      <c r="N816" s="55"/>
      <c r="O816" s="55"/>
      <c r="P816" s="55"/>
      <c r="Q816" s="55"/>
      <c r="R816" s="55"/>
      <c r="S816" s="55"/>
    </row>
    <row r="817" spans="3:19" ht="13.5" customHeight="1">
      <c r="C817" s="55"/>
      <c r="D817" s="55"/>
      <c r="E817" s="55"/>
      <c r="F817" s="53"/>
      <c r="G817" s="55"/>
      <c r="H817" s="55"/>
      <c r="I817" s="55"/>
      <c r="J817" s="163"/>
      <c r="K817" s="55"/>
      <c r="L817" s="55"/>
      <c r="M817" s="55"/>
      <c r="N817" s="55"/>
      <c r="O817" s="55"/>
      <c r="P817" s="55"/>
      <c r="Q817" s="55"/>
      <c r="R817" s="55"/>
      <c r="S817" s="55"/>
    </row>
    <row r="818" spans="3:19" ht="13.5" customHeight="1">
      <c r="C818" s="55"/>
      <c r="D818" s="55"/>
      <c r="E818" s="55"/>
      <c r="F818" s="53"/>
      <c r="G818" s="55"/>
      <c r="H818" s="55"/>
      <c r="I818" s="55"/>
      <c r="J818" s="163"/>
      <c r="K818" s="55"/>
      <c r="L818" s="55"/>
      <c r="M818" s="55"/>
      <c r="N818" s="55"/>
      <c r="O818" s="55"/>
      <c r="P818" s="55"/>
      <c r="Q818" s="55"/>
      <c r="R818" s="55"/>
      <c r="S818" s="55"/>
    </row>
    <row r="819" spans="3:19" ht="13.5" customHeight="1">
      <c r="C819" s="55"/>
      <c r="D819" s="55"/>
      <c r="E819" s="55"/>
      <c r="F819" s="53"/>
      <c r="G819" s="55"/>
      <c r="H819" s="55"/>
      <c r="I819" s="55"/>
      <c r="J819" s="163"/>
      <c r="K819" s="55"/>
      <c r="L819" s="55"/>
      <c r="M819" s="55"/>
      <c r="N819" s="55"/>
      <c r="O819" s="55"/>
      <c r="P819" s="55"/>
      <c r="Q819" s="55"/>
      <c r="R819" s="55"/>
      <c r="S819" s="55"/>
    </row>
    <row r="820" spans="3:19" ht="13.5" customHeight="1">
      <c r="C820" s="55"/>
      <c r="D820" s="55"/>
      <c r="E820" s="55"/>
      <c r="F820" s="53"/>
      <c r="G820" s="55"/>
      <c r="H820" s="55"/>
      <c r="I820" s="55"/>
      <c r="J820" s="163"/>
      <c r="K820" s="55"/>
      <c r="L820" s="55"/>
      <c r="M820" s="55"/>
      <c r="N820" s="55"/>
      <c r="O820" s="55"/>
      <c r="P820" s="55"/>
      <c r="Q820" s="55"/>
      <c r="R820" s="55"/>
      <c r="S820" s="55"/>
    </row>
    <row r="821" spans="3:19" ht="13.5" customHeight="1">
      <c r="C821" s="55"/>
      <c r="D821" s="55"/>
      <c r="E821" s="55"/>
      <c r="F821" s="53"/>
      <c r="G821" s="55"/>
      <c r="H821" s="55"/>
      <c r="I821" s="55"/>
      <c r="J821" s="163"/>
      <c r="K821" s="55"/>
      <c r="L821" s="55"/>
      <c r="M821" s="55"/>
      <c r="N821" s="55"/>
      <c r="O821" s="55"/>
      <c r="P821" s="55"/>
      <c r="Q821" s="55"/>
      <c r="R821" s="55"/>
      <c r="S821" s="55"/>
    </row>
    <row r="822" spans="3:19" ht="13.5" customHeight="1">
      <c r="C822" s="55"/>
      <c r="D822" s="55"/>
      <c r="E822" s="55"/>
      <c r="F822" s="53"/>
      <c r="G822" s="55"/>
      <c r="H822" s="55"/>
      <c r="I822" s="55"/>
      <c r="J822" s="163"/>
      <c r="K822" s="55"/>
      <c r="L822" s="55"/>
      <c r="M822" s="55"/>
      <c r="N822" s="55"/>
      <c r="O822" s="55"/>
      <c r="P822" s="55"/>
      <c r="Q822" s="55"/>
      <c r="R822" s="55"/>
      <c r="S822" s="55"/>
    </row>
    <row r="823" spans="3:19" ht="13.5" customHeight="1">
      <c r="C823" s="55"/>
      <c r="D823" s="55"/>
      <c r="E823" s="55"/>
      <c r="F823" s="53"/>
      <c r="G823" s="55"/>
      <c r="H823" s="55"/>
      <c r="I823" s="55"/>
      <c r="J823" s="163"/>
      <c r="K823" s="55"/>
      <c r="L823" s="55"/>
      <c r="M823" s="55"/>
      <c r="N823" s="55"/>
      <c r="O823" s="55"/>
      <c r="P823" s="55"/>
      <c r="Q823" s="55"/>
      <c r="R823" s="55"/>
      <c r="S823" s="55"/>
    </row>
    <row r="824" spans="3:19" ht="13.5" customHeight="1">
      <c r="C824" s="55"/>
      <c r="D824" s="55"/>
      <c r="E824" s="55"/>
      <c r="F824" s="53"/>
      <c r="G824" s="55"/>
      <c r="H824" s="55"/>
      <c r="I824" s="55"/>
      <c r="J824" s="163"/>
      <c r="K824" s="55"/>
      <c r="L824" s="55"/>
      <c r="M824" s="55"/>
      <c r="N824" s="55"/>
      <c r="O824" s="55"/>
      <c r="P824" s="55"/>
      <c r="Q824" s="55"/>
      <c r="R824" s="55"/>
      <c r="S824" s="55"/>
    </row>
    <row r="825" spans="3:19" ht="13.5" customHeight="1">
      <c r="C825" s="55"/>
      <c r="D825" s="55"/>
      <c r="E825" s="55"/>
      <c r="F825" s="53"/>
      <c r="G825" s="55"/>
      <c r="H825" s="55"/>
      <c r="I825" s="55"/>
      <c r="J825" s="163"/>
      <c r="K825" s="55"/>
      <c r="L825" s="55"/>
      <c r="M825" s="55"/>
      <c r="N825" s="55"/>
      <c r="O825" s="55"/>
      <c r="P825" s="55"/>
      <c r="Q825" s="55"/>
      <c r="R825" s="55"/>
      <c r="S825" s="55"/>
    </row>
    <row r="826" spans="3:19" ht="13.5" customHeight="1">
      <c r="C826" s="55"/>
      <c r="D826" s="55"/>
      <c r="E826" s="55"/>
      <c r="F826" s="53"/>
      <c r="G826" s="55"/>
      <c r="H826" s="55"/>
      <c r="I826" s="55"/>
      <c r="J826" s="163"/>
      <c r="K826" s="55"/>
      <c r="L826" s="55"/>
      <c r="M826" s="55"/>
      <c r="N826" s="55"/>
      <c r="O826" s="55"/>
      <c r="P826" s="55"/>
      <c r="Q826" s="55"/>
      <c r="R826" s="55"/>
      <c r="S826" s="55"/>
    </row>
    <row r="827" spans="3:19" ht="13.5" customHeight="1">
      <c r="C827" s="55"/>
      <c r="D827" s="55"/>
      <c r="E827" s="55"/>
      <c r="F827" s="53"/>
      <c r="G827" s="55"/>
      <c r="H827" s="55"/>
      <c r="I827" s="55"/>
      <c r="J827" s="163"/>
      <c r="K827" s="55"/>
      <c r="L827" s="55"/>
      <c r="M827" s="55"/>
      <c r="N827" s="55"/>
      <c r="O827" s="55"/>
      <c r="P827" s="55"/>
      <c r="Q827" s="55"/>
      <c r="R827" s="55"/>
      <c r="S827" s="55"/>
    </row>
    <row r="828" spans="3:19" ht="13.5" customHeight="1">
      <c r="C828" s="55"/>
      <c r="D828" s="55"/>
      <c r="E828" s="55"/>
      <c r="F828" s="53"/>
      <c r="G828" s="55"/>
      <c r="H828" s="55"/>
      <c r="I828" s="55"/>
      <c r="J828" s="163"/>
      <c r="K828" s="55"/>
      <c r="L828" s="55"/>
      <c r="M828" s="55"/>
      <c r="N828" s="55"/>
      <c r="O828" s="55"/>
      <c r="P828" s="55"/>
      <c r="Q828" s="55"/>
      <c r="R828" s="55"/>
      <c r="S828" s="55"/>
    </row>
    <row r="829" spans="3:19" ht="13.5" customHeight="1">
      <c r="C829" s="55"/>
      <c r="D829" s="55"/>
      <c r="E829" s="55"/>
      <c r="F829" s="53"/>
      <c r="G829" s="55"/>
      <c r="H829" s="55"/>
      <c r="I829" s="55"/>
      <c r="J829" s="163"/>
      <c r="K829" s="55"/>
      <c r="L829" s="55"/>
      <c r="M829" s="55"/>
      <c r="N829" s="55"/>
      <c r="O829" s="55"/>
      <c r="P829" s="55"/>
      <c r="Q829" s="55"/>
      <c r="R829" s="55"/>
      <c r="S829" s="55"/>
    </row>
    <row r="830" spans="3:19" ht="13.5" customHeight="1">
      <c r="C830" s="55"/>
      <c r="D830" s="55"/>
      <c r="E830" s="55"/>
      <c r="F830" s="53"/>
      <c r="G830" s="55"/>
      <c r="H830" s="55"/>
      <c r="I830" s="55"/>
      <c r="J830" s="163"/>
      <c r="K830" s="55"/>
      <c r="L830" s="55"/>
      <c r="M830" s="55"/>
      <c r="N830" s="55"/>
      <c r="O830" s="55"/>
      <c r="P830" s="55"/>
      <c r="Q830" s="55"/>
      <c r="R830" s="55"/>
      <c r="S830" s="55"/>
    </row>
    <row r="831" spans="3:19" ht="13.5" customHeight="1">
      <c r="C831" s="55"/>
      <c r="D831" s="55"/>
      <c r="E831" s="55"/>
      <c r="F831" s="53"/>
      <c r="G831" s="55"/>
      <c r="H831" s="55"/>
      <c r="I831" s="55"/>
      <c r="J831" s="163"/>
      <c r="K831" s="55"/>
      <c r="L831" s="55"/>
      <c r="M831" s="55"/>
      <c r="N831" s="55"/>
      <c r="O831" s="55"/>
      <c r="P831" s="55"/>
      <c r="Q831" s="55"/>
      <c r="R831" s="55"/>
      <c r="S831" s="55"/>
    </row>
    <row r="832" spans="3:19" ht="13.5" customHeight="1">
      <c r="C832" s="55"/>
      <c r="D832" s="55"/>
      <c r="E832" s="55"/>
      <c r="F832" s="53"/>
      <c r="G832" s="55"/>
      <c r="H832" s="55"/>
      <c r="I832" s="55"/>
      <c r="J832" s="163"/>
      <c r="K832" s="55"/>
      <c r="L832" s="55"/>
      <c r="M832" s="55"/>
      <c r="N832" s="55"/>
      <c r="O832" s="55"/>
      <c r="P832" s="55"/>
      <c r="Q832" s="55"/>
      <c r="R832" s="55"/>
      <c r="S832" s="55"/>
    </row>
    <row r="833" spans="3:19" ht="13.5" customHeight="1">
      <c r="C833" s="55"/>
      <c r="D833" s="55"/>
      <c r="E833" s="55"/>
      <c r="F833" s="53"/>
      <c r="G833" s="55"/>
      <c r="H833" s="55"/>
      <c r="I833" s="55"/>
      <c r="J833" s="163"/>
      <c r="K833" s="55"/>
      <c r="L833" s="55"/>
      <c r="M833" s="55"/>
      <c r="N833" s="55"/>
      <c r="O833" s="55"/>
      <c r="P833" s="55"/>
      <c r="Q833" s="55"/>
      <c r="R833" s="55"/>
      <c r="S833" s="55"/>
    </row>
    <row r="834" spans="3:19" ht="13.5" customHeight="1">
      <c r="C834" s="55"/>
      <c r="D834" s="55"/>
      <c r="E834" s="55"/>
      <c r="F834" s="53"/>
      <c r="G834" s="55"/>
      <c r="H834" s="55"/>
      <c r="I834" s="55"/>
      <c r="J834" s="163"/>
      <c r="K834" s="55"/>
      <c r="L834" s="55"/>
      <c r="M834" s="55"/>
      <c r="N834" s="55"/>
      <c r="O834" s="55"/>
      <c r="P834" s="55"/>
      <c r="Q834" s="55"/>
      <c r="R834" s="55"/>
      <c r="S834" s="55"/>
    </row>
    <row r="835" spans="3:19" ht="13.5" customHeight="1">
      <c r="C835" s="55"/>
      <c r="D835" s="55"/>
      <c r="E835" s="55"/>
      <c r="F835" s="53"/>
      <c r="G835" s="55"/>
      <c r="H835" s="55"/>
      <c r="I835" s="55"/>
      <c r="J835" s="163"/>
      <c r="K835" s="55"/>
      <c r="L835" s="55"/>
      <c r="M835" s="55"/>
      <c r="N835" s="55"/>
      <c r="O835" s="55"/>
      <c r="P835" s="55"/>
      <c r="Q835" s="55"/>
      <c r="R835" s="55"/>
      <c r="S835" s="55"/>
    </row>
    <row r="836" spans="3:19" ht="13.5" customHeight="1">
      <c r="C836" s="55"/>
      <c r="D836" s="55"/>
      <c r="E836" s="55"/>
      <c r="F836" s="53"/>
      <c r="G836" s="55"/>
      <c r="H836" s="55"/>
      <c r="I836" s="55"/>
      <c r="J836" s="163"/>
      <c r="K836" s="55"/>
      <c r="L836" s="55"/>
      <c r="M836" s="55"/>
      <c r="N836" s="55"/>
      <c r="O836" s="55"/>
      <c r="P836" s="55"/>
      <c r="Q836" s="55"/>
      <c r="R836" s="55"/>
      <c r="S836" s="55"/>
    </row>
    <row r="837" spans="3:19" ht="13.5" customHeight="1">
      <c r="C837" s="55"/>
      <c r="D837" s="55"/>
      <c r="E837" s="55"/>
      <c r="F837" s="53"/>
      <c r="G837" s="55"/>
      <c r="H837" s="55"/>
      <c r="I837" s="55"/>
      <c r="J837" s="163"/>
      <c r="K837" s="55"/>
      <c r="L837" s="55"/>
      <c r="M837" s="55"/>
      <c r="N837" s="55"/>
      <c r="O837" s="55"/>
      <c r="P837" s="55"/>
      <c r="Q837" s="55"/>
      <c r="R837" s="55"/>
      <c r="S837" s="55"/>
    </row>
    <row r="838" spans="3:19" ht="13.5" customHeight="1">
      <c r="C838" s="55"/>
      <c r="D838" s="55"/>
      <c r="E838" s="55"/>
      <c r="F838" s="53"/>
      <c r="G838" s="55"/>
      <c r="H838" s="55"/>
      <c r="I838" s="55"/>
      <c r="J838" s="163"/>
      <c r="K838" s="55"/>
      <c r="L838" s="55"/>
      <c r="M838" s="55"/>
      <c r="N838" s="55"/>
      <c r="O838" s="55"/>
      <c r="P838" s="55"/>
      <c r="Q838" s="55"/>
      <c r="R838" s="55"/>
      <c r="S838" s="55"/>
    </row>
    <row r="839" spans="3:19" ht="13.5" customHeight="1">
      <c r="C839" s="55"/>
      <c r="D839" s="55"/>
      <c r="E839" s="55"/>
      <c r="F839" s="53"/>
      <c r="G839" s="55"/>
      <c r="H839" s="55"/>
      <c r="I839" s="55"/>
      <c r="J839" s="163"/>
      <c r="K839" s="55"/>
      <c r="L839" s="55"/>
      <c r="M839" s="55"/>
      <c r="N839" s="55"/>
      <c r="O839" s="55"/>
      <c r="P839" s="55"/>
      <c r="Q839" s="55"/>
      <c r="R839" s="55"/>
      <c r="S839" s="55"/>
    </row>
    <row r="840" spans="3:19" ht="13.5" customHeight="1">
      <c r="C840" s="55"/>
      <c r="D840" s="55"/>
      <c r="E840" s="55"/>
      <c r="F840" s="53"/>
      <c r="G840" s="55"/>
      <c r="H840" s="55"/>
      <c r="I840" s="55"/>
      <c r="J840" s="163"/>
      <c r="K840" s="55"/>
      <c r="L840" s="55"/>
      <c r="M840" s="55"/>
      <c r="N840" s="55"/>
      <c r="O840" s="55"/>
      <c r="P840" s="55"/>
      <c r="Q840" s="55"/>
      <c r="R840" s="55"/>
      <c r="S840" s="55"/>
    </row>
    <row r="841" spans="3:19" ht="13.5" customHeight="1">
      <c r="C841" s="55"/>
      <c r="D841" s="55"/>
      <c r="E841" s="55"/>
      <c r="F841" s="53"/>
      <c r="G841" s="55"/>
      <c r="H841" s="55"/>
      <c r="I841" s="55"/>
      <c r="J841" s="163"/>
      <c r="K841" s="55"/>
      <c r="L841" s="55"/>
      <c r="M841" s="55"/>
      <c r="N841" s="55"/>
      <c r="O841" s="55"/>
      <c r="P841" s="55"/>
      <c r="Q841" s="55"/>
      <c r="R841" s="55"/>
      <c r="S841" s="55"/>
    </row>
    <row r="842" spans="3:19" ht="13.5" customHeight="1">
      <c r="C842" s="55"/>
      <c r="D842" s="55"/>
      <c r="E842" s="55"/>
      <c r="F842" s="53"/>
      <c r="G842" s="55"/>
      <c r="H842" s="55"/>
      <c r="I842" s="55"/>
      <c r="J842" s="163"/>
      <c r="K842" s="55"/>
      <c r="L842" s="55"/>
      <c r="M842" s="55"/>
      <c r="N842" s="55"/>
      <c r="O842" s="55"/>
      <c r="P842" s="55"/>
      <c r="Q842" s="55"/>
      <c r="R842" s="55"/>
      <c r="S842" s="55"/>
    </row>
    <row r="843" spans="3:19" ht="13.5" customHeight="1">
      <c r="C843" s="55"/>
      <c r="D843" s="55"/>
      <c r="E843" s="55"/>
      <c r="F843" s="53"/>
      <c r="G843" s="55"/>
      <c r="H843" s="55"/>
      <c r="I843" s="55"/>
      <c r="J843" s="163"/>
      <c r="K843" s="55"/>
      <c r="L843" s="55"/>
      <c r="M843" s="55"/>
      <c r="N843" s="55"/>
      <c r="O843" s="55"/>
      <c r="P843" s="55"/>
      <c r="Q843" s="55"/>
      <c r="R843" s="55"/>
      <c r="S843" s="55"/>
    </row>
    <row r="844" spans="3:19" ht="13.5" customHeight="1">
      <c r="C844" s="55"/>
      <c r="D844" s="55"/>
      <c r="E844" s="55"/>
      <c r="F844" s="53"/>
      <c r="G844" s="55"/>
      <c r="H844" s="55"/>
      <c r="I844" s="55"/>
      <c r="J844" s="163"/>
      <c r="K844" s="55"/>
      <c r="L844" s="55"/>
      <c r="M844" s="55"/>
      <c r="N844" s="55"/>
      <c r="O844" s="55"/>
      <c r="P844" s="55"/>
      <c r="Q844" s="55"/>
      <c r="R844" s="55"/>
      <c r="S844" s="55"/>
    </row>
    <row r="845" spans="3:19" ht="13.5" customHeight="1">
      <c r="C845" s="55"/>
      <c r="D845" s="55"/>
      <c r="E845" s="55"/>
      <c r="F845" s="53"/>
      <c r="G845" s="55"/>
      <c r="H845" s="55"/>
      <c r="I845" s="55"/>
      <c r="J845" s="163"/>
      <c r="K845" s="55"/>
      <c r="L845" s="55"/>
      <c r="M845" s="55"/>
      <c r="N845" s="55"/>
      <c r="O845" s="55"/>
      <c r="P845" s="55"/>
      <c r="Q845" s="55"/>
      <c r="R845" s="55"/>
      <c r="S845" s="55"/>
    </row>
    <row r="846" spans="3:19" ht="13.5" customHeight="1">
      <c r="C846" s="55"/>
      <c r="D846" s="55"/>
      <c r="E846" s="55"/>
      <c r="F846" s="53"/>
      <c r="G846" s="55"/>
      <c r="H846" s="55"/>
      <c r="I846" s="55"/>
      <c r="J846" s="163"/>
      <c r="K846" s="55"/>
      <c r="L846" s="55"/>
      <c r="M846" s="55"/>
      <c r="N846" s="55"/>
      <c r="O846" s="55"/>
      <c r="P846" s="55"/>
      <c r="Q846" s="55"/>
      <c r="R846" s="55"/>
      <c r="S846" s="55"/>
    </row>
    <row r="847" spans="3:19" ht="13.5" customHeight="1">
      <c r="C847" s="55"/>
      <c r="D847" s="55"/>
      <c r="E847" s="55"/>
      <c r="F847" s="53"/>
      <c r="G847" s="55"/>
      <c r="H847" s="55"/>
      <c r="I847" s="55"/>
      <c r="J847" s="163"/>
      <c r="K847" s="55"/>
      <c r="L847" s="55"/>
      <c r="M847" s="55"/>
      <c r="N847" s="55"/>
      <c r="O847" s="55"/>
      <c r="P847" s="55"/>
      <c r="Q847" s="55"/>
      <c r="R847" s="55"/>
      <c r="S847" s="55"/>
    </row>
    <row r="848" spans="3:19" ht="13.5" customHeight="1">
      <c r="C848" s="55"/>
      <c r="D848" s="55"/>
      <c r="E848" s="55"/>
      <c r="F848" s="53"/>
      <c r="G848" s="55"/>
      <c r="H848" s="55"/>
      <c r="I848" s="55"/>
      <c r="J848" s="163"/>
      <c r="K848" s="55"/>
      <c r="L848" s="55"/>
      <c r="M848" s="55"/>
      <c r="N848" s="55"/>
      <c r="O848" s="55"/>
      <c r="P848" s="55"/>
      <c r="Q848" s="55"/>
      <c r="R848" s="55"/>
      <c r="S848" s="55"/>
    </row>
    <row r="849" spans="3:19" ht="13.5" customHeight="1">
      <c r="C849" s="55"/>
      <c r="D849" s="55"/>
      <c r="E849" s="55"/>
      <c r="F849" s="53"/>
      <c r="G849" s="55"/>
      <c r="H849" s="55"/>
      <c r="I849" s="55"/>
      <c r="J849" s="163"/>
      <c r="K849" s="55"/>
      <c r="L849" s="55"/>
      <c r="M849" s="55"/>
      <c r="N849" s="55"/>
      <c r="O849" s="55"/>
      <c r="P849" s="55"/>
      <c r="Q849" s="55"/>
      <c r="R849" s="55"/>
      <c r="S849" s="55"/>
    </row>
    <row r="850" spans="3:19" ht="13.5" customHeight="1">
      <c r="C850" s="55"/>
      <c r="D850" s="55"/>
      <c r="E850" s="55"/>
      <c r="F850" s="53"/>
      <c r="G850" s="55"/>
      <c r="H850" s="55"/>
      <c r="I850" s="55"/>
      <c r="J850" s="163"/>
      <c r="K850" s="55"/>
      <c r="L850" s="55"/>
      <c r="M850" s="55"/>
      <c r="N850" s="55"/>
      <c r="O850" s="55"/>
      <c r="P850" s="55"/>
      <c r="Q850" s="55"/>
      <c r="R850" s="55"/>
      <c r="S850" s="55"/>
    </row>
    <row r="851" spans="3:19" ht="13.5" customHeight="1">
      <c r="C851" s="55"/>
      <c r="D851" s="55"/>
      <c r="E851" s="55"/>
      <c r="F851" s="53"/>
      <c r="G851" s="55"/>
      <c r="H851" s="55"/>
      <c r="I851" s="55"/>
      <c r="J851" s="163"/>
      <c r="K851" s="55"/>
      <c r="L851" s="55"/>
      <c r="M851" s="55"/>
      <c r="N851" s="55"/>
      <c r="O851" s="55"/>
      <c r="P851" s="55"/>
      <c r="Q851" s="55"/>
      <c r="R851" s="55"/>
      <c r="S851" s="55"/>
    </row>
    <row r="852" spans="3:19" ht="13.5" customHeight="1">
      <c r="C852" s="55"/>
      <c r="D852" s="55"/>
      <c r="E852" s="55"/>
      <c r="F852" s="53"/>
      <c r="G852" s="55"/>
      <c r="H852" s="55"/>
      <c r="I852" s="55"/>
      <c r="J852" s="163"/>
      <c r="K852" s="55"/>
      <c r="L852" s="55"/>
      <c r="M852" s="55"/>
      <c r="N852" s="55"/>
      <c r="O852" s="55"/>
      <c r="P852" s="55"/>
      <c r="Q852" s="55"/>
      <c r="R852" s="55"/>
      <c r="S852" s="55"/>
    </row>
    <row r="853" spans="3:19" ht="13.5" customHeight="1">
      <c r="C853" s="55"/>
      <c r="D853" s="55"/>
      <c r="E853" s="55"/>
      <c r="F853" s="53"/>
      <c r="G853" s="55"/>
      <c r="H853" s="55"/>
      <c r="I853" s="55"/>
      <c r="J853" s="163"/>
      <c r="K853" s="55"/>
      <c r="L853" s="55"/>
      <c r="M853" s="55"/>
      <c r="N853" s="55"/>
      <c r="O853" s="55"/>
      <c r="P853" s="55"/>
      <c r="Q853" s="55"/>
      <c r="R853" s="55"/>
      <c r="S853" s="55"/>
    </row>
    <row r="854" spans="3:19" ht="13.5" customHeight="1">
      <c r="C854" s="55"/>
      <c r="D854" s="55"/>
      <c r="E854" s="55"/>
      <c r="F854" s="53"/>
      <c r="G854" s="55"/>
      <c r="H854" s="55"/>
      <c r="I854" s="55"/>
      <c r="J854" s="163"/>
      <c r="K854" s="55"/>
      <c r="L854" s="55"/>
      <c r="M854" s="55"/>
      <c r="N854" s="55"/>
      <c r="O854" s="55"/>
      <c r="P854" s="55"/>
      <c r="Q854" s="55"/>
      <c r="R854" s="55"/>
      <c r="S854" s="55"/>
    </row>
    <row r="855" spans="3:19" ht="13.5" customHeight="1">
      <c r="C855" s="55"/>
      <c r="D855" s="55"/>
      <c r="E855" s="55"/>
      <c r="F855" s="53"/>
      <c r="G855" s="55"/>
      <c r="H855" s="55"/>
      <c r="I855" s="55"/>
      <c r="J855" s="163"/>
      <c r="K855" s="55"/>
      <c r="L855" s="55"/>
      <c r="M855" s="55"/>
      <c r="N855" s="55"/>
      <c r="O855" s="55"/>
      <c r="P855" s="55"/>
      <c r="Q855" s="55"/>
      <c r="R855" s="55"/>
      <c r="S855" s="55"/>
    </row>
    <row r="856" spans="3:19" ht="13.5" customHeight="1">
      <c r="C856" s="55"/>
      <c r="D856" s="55"/>
      <c r="E856" s="55"/>
      <c r="F856" s="53"/>
      <c r="G856" s="55"/>
      <c r="H856" s="55"/>
      <c r="I856" s="55"/>
      <c r="J856" s="163"/>
      <c r="K856" s="55"/>
      <c r="L856" s="55"/>
      <c r="M856" s="55"/>
      <c r="N856" s="55"/>
      <c r="O856" s="55"/>
      <c r="P856" s="55"/>
      <c r="Q856" s="55"/>
      <c r="R856" s="55"/>
      <c r="S856" s="55"/>
    </row>
    <row r="857" spans="3:19" ht="13.5" customHeight="1">
      <c r="C857" s="55"/>
      <c r="D857" s="55"/>
      <c r="E857" s="55"/>
      <c r="F857" s="53"/>
      <c r="G857" s="55"/>
      <c r="H857" s="55"/>
      <c r="I857" s="55"/>
      <c r="J857" s="163"/>
      <c r="K857" s="55"/>
      <c r="L857" s="55"/>
      <c r="M857" s="55"/>
      <c r="N857" s="55"/>
      <c r="O857" s="55"/>
      <c r="P857" s="55"/>
      <c r="Q857" s="55"/>
      <c r="R857" s="55"/>
      <c r="S857" s="55"/>
    </row>
    <row r="858" spans="3:19" ht="13.5" customHeight="1">
      <c r="C858" s="55"/>
      <c r="D858" s="55"/>
      <c r="E858" s="55"/>
      <c r="F858" s="53"/>
      <c r="G858" s="55"/>
      <c r="H858" s="55"/>
      <c r="I858" s="55"/>
      <c r="J858" s="163"/>
      <c r="K858" s="55"/>
      <c r="L858" s="55"/>
      <c r="M858" s="55"/>
      <c r="N858" s="55"/>
      <c r="O858" s="55"/>
      <c r="P858" s="55"/>
      <c r="Q858" s="55"/>
      <c r="R858" s="55"/>
      <c r="S858" s="55"/>
    </row>
    <row r="859" spans="3:19" ht="13.5" customHeight="1">
      <c r="C859" s="55"/>
      <c r="D859" s="55"/>
      <c r="E859" s="55"/>
      <c r="F859" s="53"/>
      <c r="G859" s="55"/>
      <c r="H859" s="55"/>
      <c r="I859" s="55"/>
      <c r="J859" s="163"/>
      <c r="K859" s="55"/>
      <c r="L859" s="55"/>
      <c r="M859" s="55"/>
      <c r="N859" s="55"/>
      <c r="O859" s="55"/>
      <c r="P859" s="55"/>
      <c r="Q859" s="55"/>
      <c r="R859" s="55"/>
      <c r="S859" s="55"/>
    </row>
    <row r="860" spans="3:19" ht="13.5" customHeight="1">
      <c r="C860" s="55"/>
      <c r="D860" s="55"/>
      <c r="E860" s="55"/>
      <c r="F860" s="53"/>
      <c r="G860" s="55"/>
      <c r="H860" s="55"/>
      <c r="I860" s="55"/>
      <c r="J860" s="163"/>
      <c r="K860" s="55"/>
      <c r="L860" s="55"/>
      <c r="M860" s="55"/>
      <c r="N860" s="55"/>
      <c r="O860" s="55"/>
      <c r="P860" s="55"/>
      <c r="Q860" s="55"/>
      <c r="R860" s="55"/>
      <c r="S860" s="55"/>
    </row>
    <row r="861" spans="3:19" ht="13.5" customHeight="1">
      <c r="C861" s="55"/>
      <c r="D861" s="55"/>
      <c r="E861" s="55"/>
      <c r="F861" s="53"/>
      <c r="G861" s="55"/>
      <c r="H861" s="55"/>
      <c r="I861" s="55"/>
      <c r="J861" s="163"/>
      <c r="K861" s="55"/>
      <c r="L861" s="55"/>
      <c r="M861" s="55"/>
      <c r="N861" s="55"/>
      <c r="O861" s="55"/>
      <c r="P861" s="55"/>
      <c r="Q861" s="55"/>
      <c r="R861" s="55"/>
      <c r="S861" s="55"/>
    </row>
    <row r="862" spans="3:19" ht="13.5" customHeight="1">
      <c r="C862" s="55"/>
      <c r="D862" s="55"/>
      <c r="E862" s="55"/>
      <c r="F862" s="53"/>
      <c r="G862" s="55"/>
      <c r="H862" s="55"/>
      <c r="I862" s="55"/>
      <c r="J862" s="163"/>
      <c r="K862" s="55"/>
      <c r="L862" s="55"/>
      <c r="M862" s="55"/>
      <c r="N862" s="55"/>
      <c r="O862" s="55"/>
      <c r="P862" s="55"/>
      <c r="Q862" s="55"/>
      <c r="R862" s="55"/>
      <c r="S862" s="55"/>
    </row>
    <row r="863" spans="3:19" ht="13.5" customHeight="1">
      <c r="C863" s="55"/>
      <c r="D863" s="55"/>
      <c r="E863" s="55"/>
      <c r="F863" s="53"/>
      <c r="G863" s="55"/>
      <c r="H863" s="55"/>
      <c r="I863" s="55"/>
      <c r="J863" s="163"/>
      <c r="K863" s="55"/>
      <c r="L863" s="55"/>
      <c r="M863" s="55"/>
      <c r="N863" s="55"/>
      <c r="O863" s="55"/>
      <c r="P863" s="55"/>
      <c r="Q863" s="55"/>
      <c r="R863" s="55"/>
      <c r="S863" s="55"/>
    </row>
    <row r="864" spans="3:19" ht="13.5" customHeight="1">
      <c r="C864" s="55"/>
      <c r="D864" s="55"/>
      <c r="E864" s="55"/>
      <c r="F864" s="53"/>
      <c r="G864" s="55"/>
      <c r="H864" s="55"/>
      <c r="I864" s="55"/>
      <c r="J864" s="163"/>
      <c r="K864" s="55"/>
      <c r="L864" s="55"/>
      <c r="M864" s="55"/>
      <c r="N864" s="55"/>
      <c r="O864" s="55"/>
      <c r="P864" s="55"/>
      <c r="Q864" s="55"/>
      <c r="R864" s="55"/>
      <c r="S864" s="55"/>
    </row>
    <row r="865" spans="3:19" ht="13.5" customHeight="1">
      <c r="C865" s="55"/>
      <c r="D865" s="55"/>
      <c r="E865" s="55"/>
      <c r="F865" s="53"/>
      <c r="G865" s="55"/>
      <c r="H865" s="55"/>
      <c r="I865" s="55"/>
      <c r="J865" s="163"/>
      <c r="K865" s="55"/>
      <c r="L865" s="55"/>
      <c r="M865" s="55"/>
      <c r="N865" s="55"/>
      <c r="O865" s="55"/>
      <c r="P865" s="55"/>
      <c r="Q865" s="55"/>
      <c r="R865" s="55"/>
      <c r="S865" s="55"/>
    </row>
    <row r="866" spans="3:19" ht="13.5" customHeight="1">
      <c r="C866" s="55"/>
      <c r="D866" s="55"/>
      <c r="E866" s="55"/>
      <c r="F866" s="53"/>
      <c r="G866" s="55"/>
      <c r="H866" s="55"/>
      <c r="I866" s="55"/>
      <c r="J866" s="163"/>
      <c r="K866" s="55"/>
      <c r="L866" s="55"/>
      <c r="M866" s="55"/>
      <c r="N866" s="55"/>
      <c r="O866" s="55"/>
      <c r="P866" s="55"/>
      <c r="Q866" s="55"/>
      <c r="R866" s="55"/>
      <c r="S866" s="55"/>
    </row>
    <row r="867" spans="3:19" ht="13.5" customHeight="1">
      <c r="C867" s="55"/>
      <c r="D867" s="55"/>
      <c r="E867" s="55"/>
      <c r="F867" s="53"/>
      <c r="G867" s="55"/>
      <c r="H867" s="55"/>
      <c r="I867" s="55"/>
      <c r="J867" s="163"/>
      <c r="K867" s="55"/>
      <c r="L867" s="55"/>
      <c r="M867" s="55"/>
      <c r="N867" s="55"/>
      <c r="O867" s="55"/>
      <c r="P867" s="55"/>
      <c r="Q867" s="55"/>
      <c r="R867" s="55"/>
      <c r="S867" s="55"/>
    </row>
    <row r="868" spans="3:19" ht="13.5" customHeight="1">
      <c r="C868" s="55"/>
      <c r="D868" s="55"/>
      <c r="E868" s="55"/>
      <c r="F868" s="53"/>
      <c r="G868" s="55"/>
      <c r="H868" s="55"/>
      <c r="I868" s="55"/>
      <c r="J868" s="163"/>
      <c r="K868" s="55"/>
      <c r="L868" s="55"/>
      <c r="M868" s="55"/>
      <c r="N868" s="55"/>
      <c r="O868" s="55"/>
      <c r="P868" s="55"/>
      <c r="Q868" s="55"/>
      <c r="R868" s="55"/>
      <c r="S868" s="55"/>
    </row>
    <row r="869" spans="3:19" ht="13.5" customHeight="1">
      <c r="C869" s="55"/>
      <c r="D869" s="55"/>
      <c r="E869" s="55"/>
      <c r="F869" s="53"/>
      <c r="G869" s="55"/>
      <c r="H869" s="55"/>
      <c r="I869" s="55"/>
      <c r="J869" s="163"/>
      <c r="K869" s="55"/>
      <c r="L869" s="55"/>
      <c r="M869" s="55"/>
      <c r="N869" s="55"/>
      <c r="O869" s="55"/>
      <c r="P869" s="55"/>
      <c r="Q869" s="55"/>
      <c r="R869" s="55"/>
      <c r="S869" s="55"/>
    </row>
    <row r="870" spans="3:19" ht="13.5" customHeight="1">
      <c r="C870" s="55"/>
      <c r="D870" s="55"/>
      <c r="E870" s="55"/>
      <c r="F870" s="53"/>
      <c r="G870" s="55"/>
      <c r="H870" s="55"/>
      <c r="I870" s="55"/>
      <c r="J870" s="163"/>
      <c r="K870" s="55"/>
      <c r="L870" s="55"/>
      <c r="M870" s="55"/>
      <c r="N870" s="55"/>
      <c r="O870" s="55"/>
      <c r="P870" s="55"/>
      <c r="Q870" s="55"/>
      <c r="R870" s="55"/>
      <c r="S870" s="55"/>
    </row>
    <row r="871" spans="3:19" ht="13.5" customHeight="1">
      <c r="C871" s="55"/>
      <c r="D871" s="55"/>
      <c r="E871" s="55"/>
      <c r="F871" s="53"/>
      <c r="G871" s="55"/>
      <c r="H871" s="55"/>
      <c r="I871" s="55"/>
      <c r="J871" s="163"/>
      <c r="K871" s="55"/>
      <c r="L871" s="55"/>
      <c r="M871" s="55"/>
      <c r="N871" s="55"/>
      <c r="O871" s="55"/>
      <c r="P871" s="55"/>
      <c r="Q871" s="55"/>
      <c r="R871" s="55"/>
      <c r="S871" s="55"/>
    </row>
    <row r="872" spans="3:19" ht="13.5" customHeight="1">
      <c r="C872" s="55"/>
      <c r="D872" s="55"/>
      <c r="E872" s="55"/>
      <c r="F872" s="53"/>
      <c r="G872" s="55"/>
      <c r="H872" s="55"/>
      <c r="I872" s="55"/>
      <c r="J872" s="163"/>
      <c r="K872" s="55"/>
      <c r="L872" s="55"/>
      <c r="M872" s="55"/>
      <c r="N872" s="55"/>
      <c r="O872" s="55"/>
      <c r="P872" s="55"/>
      <c r="Q872" s="55"/>
      <c r="R872" s="55"/>
      <c r="S872" s="55"/>
    </row>
    <row r="873" spans="3:19" ht="13.5" customHeight="1">
      <c r="C873" s="55"/>
      <c r="D873" s="55"/>
      <c r="E873" s="55"/>
      <c r="F873" s="53"/>
      <c r="G873" s="55"/>
      <c r="H873" s="55"/>
      <c r="I873" s="55"/>
      <c r="J873" s="163"/>
      <c r="K873" s="55"/>
      <c r="L873" s="55"/>
      <c r="M873" s="55"/>
      <c r="N873" s="55"/>
      <c r="O873" s="55"/>
      <c r="P873" s="55"/>
      <c r="Q873" s="55"/>
      <c r="R873" s="55"/>
      <c r="S873" s="55"/>
    </row>
    <row r="874" spans="3:19" ht="13.5" customHeight="1">
      <c r="C874" s="55"/>
      <c r="D874" s="55"/>
      <c r="E874" s="55"/>
      <c r="F874" s="53"/>
      <c r="G874" s="55"/>
      <c r="H874" s="55"/>
      <c r="I874" s="55"/>
      <c r="J874" s="163"/>
      <c r="K874" s="55"/>
      <c r="L874" s="55"/>
      <c r="M874" s="55"/>
      <c r="N874" s="55"/>
      <c r="O874" s="55"/>
      <c r="P874" s="55"/>
      <c r="Q874" s="55"/>
      <c r="R874" s="55"/>
      <c r="S874" s="55"/>
    </row>
    <row r="875" spans="3:19" ht="13.5" customHeight="1">
      <c r="C875" s="55"/>
      <c r="D875" s="55"/>
      <c r="E875" s="55"/>
      <c r="F875" s="53"/>
      <c r="G875" s="55"/>
      <c r="H875" s="55"/>
      <c r="I875" s="55"/>
      <c r="J875" s="163"/>
      <c r="K875" s="55"/>
      <c r="L875" s="55"/>
      <c r="M875" s="55"/>
      <c r="N875" s="55"/>
      <c r="O875" s="55"/>
      <c r="P875" s="55"/>
      <c r="Q875" s="55"/>
      <c r="R875" s="55"/>
      <c r="S875" s="55"/>
    </row>
    <row r="876" spans="3:19" ht="13.5" customHeight="1">
      <c r="C876" s="55"/>
      <c r="D876" s="55"/>
      <c r="E876" s="55"/>
      <c r="F876" s="53"/>
      <c r="G876" s="55"/>
      <c r="H876" s="55"/>
      <c r="I876" s="55"/>
      <c r="J876" s="163"/>
      <c r="K876" s="55"/>
      <c r="L876" s="55"/>
      <c r="M876" s="55"/>
      <c r="N876" s="55"/>
      <c r="O876" s="55"/>
      <c r="P876" s="55"/>
      <c r="Q876" s="55"/>
      <c r="R876" s="55"/>
      <c r="S876" s="55"/>
    </row>
    <row r="877" spans="3:19" ht="13.5" customHeight="1">
      <c r="C877" s="55"/>
      <c r="D877" s="55"/>
      <c r="E877" s="55"/>
      <c r="F877" s="53"/>
      <c r="G877" s="55"/>
      <c r="H877" s="55"/>
      <c r="I877" s="55"/>
      <c r="J877" s="163"/>
      <c r="K877" s="55"/>
      <c r="L877" s="55"/>
      <c r="M877" s="55"/>
      <c r="N877" s="55"/>
      <c r="O877" s="55"/>
      <c r="P877" s="55"/>
      <c r="Q877" s="55"/>
      <c r="R877" s="55"/>
      <c r="S877" s="55"/>
    </row>
    <row r="878" spans="3:19" ht="13.5" customHeight="1">
      <c r="C878" s="55"/>
      <c r="D878" s="55"/>
      <c r="E878" s="55"/>
      <c r="F878" s="53"/>
      <c r="G878" s="55"/>
      <c r="H878" s="55"/>
      <c r="I878" s="55"/>
      <c r="J878" s="163"/>
      <c r="K878" s="55"/>
      <c r="L878" s="55"/>
      <c r="M878" s="55"/>
      <c r="N878" s="55"/>
      <c r="O878" s="55"/>
      <c r="P878" s="55"/>
      <c r="Q878" s="55"/>
      <c r="R878" s="55"/>
      <c r="S878" s="55"/>
    </row>
    <row r="879" spans="3:19" ht="13.5" customHeight="1">
      <c r="C879" s="55"/>
      <c r="D879" s="55"/>
      <c r="E879" s="55"/>
      <c r="F879" s="53"/>
      <c r="G879" s="55"/>
      <c r="H879" s="55"/>
      <c r="I879" s="55"/>
      <c r="J879" s="163"/>
      <c r="K879" s="55"/>
      <c r="L879" s="55"/>
      <c r="M879" s="55"/>
      <c r="N879" s="55"/>
      <c r="O879" s="55"/>
      <c r="P879" s="55"/>
      <c r="Q879" s="55"/>
      <c r="R879" s="55"/>
      <c r="S879" s="55"/>
    </row>
    <row r="880" spans="3:19" ht="13.5" customHeight="1">
      <c r="C880" s="55"/>
      <c r="D880" s="55"/>
      <c r="E880" s="55"/>
      <c r="F880" s="53"/>
      <c r="G880" s="55"/>
      <c r="H880" s="55"/>
      <c r="I880" s="55"/>
      <c r="J880" s="163"/>
      <c r="K880" s="55"/>
      <c r="L880" s="55"/>
      <c r="M880" s="55"/>
      <c r="N880" s="55"/>
      <c r="O880" s="55"/>
      <c r="P880" s="55"/>
      <c r="Q880" s="55"/>
      <c r="R880" s="55"/>
      <c r="S880" s="55"/>
    </row>
    <row r="881" spans="3:19" ht="13.5" customHeight="1">
      <c r="C881" s="55"/>
      <c r="D881" s="55"/>
      <c r="E881" s="55"/>
      <c r="F881" s="53"/>
      <c r="G881" s="55"/>
      <c r="H881" s="55"/>
      <c r="I881" s="55"/>
      <c r="J881" s="163"/>
      <c r="K881" s="55"/>
      <c r="L881" s="55"/>
      <c r="M881" s="55"/>
      <c r="N881" s="55"/>
      <c r="O881" s="55"/>
      <c r="P881" s="55"/>
      <c r="Q881" s="55"/>
      <c r="R881" s="55"/>
      <c r="S881" s="55"/>
    </row>
    <row r="882" spans="3:19" ht="13.5" customHeight="1">
      <c r="C882" s="55"/>
      <c r="D882" s="55"/>
      <c r="E882" s="55"/>
      <c r="F882" s="53"/>
      <c r="G882" s="55"/>
      <c r="H882" s="55"/>
      <c r="I882" s="55"/>
      <c r="J882" s="163"/>
      <c r="K882" s="55"/>
      <c r="L882" s="55"/>
      <c r="M882" s="55"/>
      <c r="N882" s="55"/>
      <c r="O882" s="55"/>
      <c r="P882" s="55"/>
      <c r="Q882" s="55"/>
      <c r="R882" s="55"/>
      <c r="S882" s="55"/>
    </row>
    <row r="883" spans="3:19" ht="13.5" customHeight="1">
      <c r="C883" s="55"/>
      <c r="D883" s="55"/>
      <c r="E883" s="55"/>
      <c r="F883" s="53"/>
      <c r="G883" s="55"/>
      <c r="H883" s="55"/>
      <c r="I883" s="55"/>
      <c r="J883" s="163"/>
      <c r="K883" s="55"/>
      <c r="L883" s="55"/>
      <c r="M883" s="55"/>
      <c r="N883" s="55"/>
      <c r="O883" s="55"/>
      <c r="P883" s="55"/>
      <c r="Q883" s="55"/>
      <c r="R883" s="55"/>
      <c r="S883" s="55"/>
    </row>
    <row r="884" spans="3:19" ht="13.5" customHeight="1">
      <c r="C884" s="55"/>
      <c r="D884" s="55"/>
      <c r="E884" s="55"/>
      <c r="F884" s="53"/>
      <c r="G884" s="55"/>
      <c r="H884" s="55"/>
      <c r="I884" s="55"/>
      <c r="J884" s="163"/>
      <c r="K884" s="55"/>
      <c r="L884" s="55"/>
      <c r="M884" s="55"/>
      <c r="N884" s="55"/>
      <c r="O884" s="55"/>
      <c r="P884" s="55"/>
      <c r="Q884" s="55"/>
      <c r="R884" s="55"/>
      <c r="S884" s="55"/>
    </row>
    <row r="885" spans="3:19" ht="13.5" customHeight="1">
      <c r="C885" s="55"/>
      <c r="D885" s="55"/>
      <c r="E885" s="55"/>
      <c r="F885" s="53"/>
      <c r="G885" s="55"/>
      <c r="H885" s="55"/>
      <c r="I885" s="55"/>
      <c r="J885" s="163"/>
      <c r="K885" s="55"/>
      <c r="L885" s="55"/>
      <c r="M885" s="55"/>
      <c r="N885" s="55"/>
      <c r="O885" s="55"/>
      <c r="P885" s="55"/>
      <c r="Q885" s="55"/>
      <c r="R885" s="55"/>
      <c r="S885" s="55"/>
    </row>
    <row r="886" spans="3:19" ht="13.5" customHeight="1">
      <c r="C886" s="55"/>
      <c r="D886" s="55"/>
      <c r="E886" s="55"/>
      <c r="F886" s="53"/>
      <c r="G886" s="55"/>
      <c r="H886" s="55"/>
      <c r="I886" s="55"/>
      <c r="J886" s="163"/>
      <c r="K886" s="55"/>
      <c r="L886" s="55"/>
      <c r="M886" s="55"/>
      <c r="N886" s="55"/>
      <c r="O886" s="55"/>
      <c r="P886" s="55"/>
      <c r="Q886" s="55"/>
      <c r="R886" s="55"/>
      <c r="S886" s="55"/>
    </row>
    <row r="887" spans="3:19" ht="13.5" customHeight="1">
      <c r="C887" s="55"/>
      <c r="D887" s="55"/>
      <c r="E887" s="55"/>
      <c r="F887" s="53"/>
      <c r="G887" s="55"/>
      <c r="H887" s="55"/>
      <c r="I887" s="55"/>
      <c r="J887" s="163"/>
      <c r="K887" s="55"/>
      <c r="L887" s="55"/>
      <c r="M887" s="55"/>
      <c r="N887" s="55"/>
      <c r="O887" s="55"/>
      <c r="P887" s="55"/>
      <c r="Q887" s="55"/>
      <c r="R887" s="55"/>
      <c r="S887" s="55"/>
    </row>
    <row r="888" spans="3:19" ht="13.5" customHeight="1">
      <c r="C888" s="55"/>
      <c r="D888" s="55"/>
      <c r="E888" s="55"/>
      <c r="F888" s="53"/>
      <c r="G888" s="55"/>
      <c r="H888" s="55"/>
      <c r="I888" s="55"/>
      <c r="J888" s="163"/>
      <c r="K888" s="55"/>
      <c r="L888" s="55"/>
      <c r="M888" s="55"/>
      <c r="N888" s="55"/>
      <c r="O888" s="55"/>
      <c r="P888" s="55"/>
      <c r="Q888" s="55"/>
      <c r="R888" s="55"/>
      <c r="S888" s="55"/>
    </row>
    <row r="889" spans="3:19" ht="13.5" customHeight="1">
      <c r="C889" s="55"/>
      <c r="D889" s="55"/>
      <c r="E889" s="55"/>
      <c r="F889" s="53"/>
      <c r="G889" s="55"/>
      <c r="H889" s="55"/>
      <c r="I889" s="55"/>
      <c r="J889" s="163"/>
      <c r="K889" s="55"/>
      <c r="L889" s="55"/>
      <c r="M889" s="55"/>
      <c r="N889" s="55"/>
      <c r="O889" s="55"/>
      <c r="P889" s="55"/>
      <c r="Q889" s="55"/>
      <c r="R889" s="55"/>
      <c r="S889" s="55"/>
    </row>
    <row r="890" spans="3:19" ht="13.5" customHeight="1">
      <c r="C890" s="55"/>
      <c r="D890" s="55"/>
      <c r="E890" s="55"/>
      <c r="F890" s="53"/>
      <c r="G890" s="55"/>
      <c r="H890" s="55"/>
      <c r="I890" s="55"/>
      <c r="J890" s="163"/>
      <c r="K890" s="55"/>
      <c r="L890" s="55"/>
      <c r="M890" s="55"/>
      <c r="N890" s="55"/>
      <c r="O890" s="55"/>
      <c r="P890" s="55"/>
      <c r="Q890" s="55"/>
      <c r="R890" s="55"/>
      <c r="S890" s="55"/>
    </row>
    <row r="891" spans="3:19" ht="13.5" customHeight="1">
      <c r="C891" s="55"/>
      <c r="D891" s="55"/>
      <c r="E891" s="55"/>
      <c r="F891" s="53"/>
      <c r="G891" s="55"/>
      <c r="H891" s="55"/>
      <c r="I891" s="55"/>
      <c r="J891" s="163"/>
      <c r="K891" s="55"/>
      <c r="L891" s="55"/>
      <c r="M891" s="55"/>
      <c r="N891" s="55"/>
      <c r="O891" s="55"/>
      <c r="P891" s="55"/>
      <c r="Q891" s="55"/>
      <c r="R891" s="55"/>
      <c r="S891" s="55"/>
    </row>
    <row r="892" spans="3:19" ht="13.5" customHeight="1">
      <c r="C892" s="55"/>
      <c r="D892" s="55"/>
      <c r="E892" s="55"/>
      <c r="F892" s="53"/>
      <c r="G892" s="55"/>
      <c r="H892" s="55"/>
      <c r="I892" s="55"/>
      <c r="J892" s="163"/>
      <c r="K892" s="55"/>
      <c r="L892" s="55"/>
      <c r="M892" s="55"/>
      <c r="N892" s="55"/>
      <c r="O892" s="55"/>
      <c r="P892" s="55"/>
      <c r="Q892" s="55"/>
      <c r="R892" s="55"/>
      <c r="S892" s="55"/>
    </row>
    <row r="893" spans="3:19" ht="13.5" customHeight="1">
      <c r="C893" s="55"/>
      <c r="D893" s="55"/>
      <c r="E893" s="55"/>
      <c r="F893" s="53"/>
      <c r="G893" s="55"/>
      <c r="H893" s="55"/>
      <c r="I893" s="55"/>
      <c r="J893" s="163"/>
      <c r="K893" s="55"/>
      <c r="L893" s="55"/>
      <c r="M893" s="55"/>
      <c r="N893" s="55"/>
      <c r="O893" s="55"/>
      <c r="P893" s="55"/>
      <c r="Q893" s="55"/>
      <c r="R893" s="55"/>
      <c r="S893" s="55"/>
    </row>
    <row r="894" spans="3:19" ht="13.5" customHeight="1">
      <c r="C894" s="55"/>
      <c r="D894" s="55"/>
      <c r="E894" s="55"/>
      <c r="F894" s="53"/>
      <c r="G894" s="55"/>
      <c r="H894" s="55"/>
      <c r="I894" s="55"/>
      <c r="J894" s="163"/>
      <c r="K894" s="55"/>
      <c r="L894" s="55"/>
      <c r="M894" s="55"/>
      <c r="N894" s="55"/>
      <c r="O894" s="55"/>
      <c r="P894" s="55"/>
      <c r="Q894" s="55"/>
      <c r="R894" s="55"/>
      <c r="S894" s="55"/>
    </row>
    <row r="895" spans="3:19" ht="13.5" customHeight="1">
      <c r="C895" s="55"/>
      <c r="D895" s="55"/>
      <c r="E895" s="55"/>
      <c r="F895" s="53"/>
      <c r="G895" s="55"/>
      <c r="H895" s="55"/>
      <c r="I895" s="55"/>
      <c r="J895" s="163"/>
      <c r="K895" s="55"/>
      <c r="L895" s="55"/>
      <c r="M895" s="55"/>
      <c r="N895" s="55"/>
      <c r="O895" s="55"/>
      <c r="P895" s="55"/>
      <c r="Q895" s="55"/>
      <c r="R895" s="55"/>
      <c r="S895" s="55"/>
    </row>
    <row r="896" spans="3:19" ht="13.5" customHeight="1">
      <c r="C896" s="55"/>
      <c r="D896" s="55"/>
      <c r="E896" s="55"/>
      <c r="F896" s="53"/>
      <c r="G896" s="55"/>
      <c r="H896" s="55"/>
      <c r="I896" s="55"/>
      <c r="J896" s="163"/>
      <c r="K896" s="55"/>
      <c r="L896" s="55"/>
      <c r="M896" s="55"/>
      <c r="N896" s="55"/>
      <c r="O896" s="55"/>
      <c r="P896" s="55"/>
      <c r="Q896" s="55"/>
      <c r="R896" s="55"/>
      <c r="S896" s="55"/>
    </row>
    <row r="897" spans="3:19" ht="13.5" customHeight="1">
      <c r="C897" s="55"/>
      <c r="D897" s="55"/>
      <c r="E897" s="55"/>
      <c r="F897" s="53"/>
      <c r="G897" s="55"/>
      <c r="H897" s="55"/>
      <c r="I897" s="55"/>
      <c r="J897" s="163"/>
      <c r="K897" s="55"/>
      <c r="L897" s="55"/>
      <c r="M897" s="55"/>
      <c r="N897" s="55"/>
      <c r="O897" s="55"/>
      <c r="P897" s="55"/>
      <c r="Q897" s="55"/>
      <c r="R897" s="55"/>
      <c r="S897" s="55"/>
    </row>
    <row r="898" spans="3:19" ht="13.5" customHeight="1">
      <c r="C898" s="55"/>
      <c r="D898" s="55"/>
      <c r="E898" s="55"/>
      <c r="F898" s="53"/>
      <c r="G898" s="55"/>
      <c r="H898" s="55"/>
      <c r="I898" s="55"/>
      <c r="J898" s="163"/>
      <c r="K898" s="55"/>
      <c r="L898" s="55"/>
      <c r="M898" s="55"/>
      <c r="N898" s="55"/>
      <c r="O898" s="55"/>
      <c r="P898" s="55"/>
      <c r="Q898" s="55"/>
      <c r="R898" s="55"/>
      <c r="S898" s="55"/>
    </row>
    <row r="899" spans="3:19" ht="13.5" customHeight="1">
      <c r="C899" s="55"/>
      <c r="D899" s="55"/>
      <c r="E899" s="55"/>
      <c r="F899" s="53"/>
      <c r="G899" s="55"/>
      <c r="H899" s="55"/>
      <c r="I899" s="55"/>
      <c r="J899" s="163"/>
      <c r="K899" s="55"/>
      <c r="L899" s="55"/>
      <c r="M899" s="55"/>
      <c r="N899" s="55"/>
      <c r="O899" s="55"/>
      <c r="P899" s="55"/>
      <c r="Q899" s="55"/>
      <c r="R899" s="55"/>
      <c r="S899" s="55"/>
    </row>
    <row r="900" spans="3:19" ht="13.5" customHeight="1">
      <c r="C900" s="55"/>
      <c r="D900" s="55"/>
      <c r="E900" s="55"/>
      <c r="F900" s="53"/>
      <c r="G900" s="55"/>
      <c r="H900" s="55"/>
      <c r="I900" s="55"/>
      <c r="J900" s="163"/>
      <c r="K900" s="55"/>
      <c r="L900" s="55"/>
      <c r="M900" s="55"/>
      <c r="N900" s="55"/>
      <c r="O900" s="55"/>
      <c r="P900" s="55"/>
      <c r="Q900" s="55"/>
      <c r="R900" s="55"/>
      <c r="S900" s="55"/>
    </row>
    <row r="901" spans="3:19" ht="13.5" customHeight="1">
      <c r="C901" s="55"/>
      <c r="D901" s="55"/>
      <c r="E901" s="55"/>
      <c r="F901" s="53"/>
      <c r="G901" s="55"/>
      <c r="H901" s="55"/>
      <c r="I901" s="55"/>
      <c r="J901" s="163"/>
      <c r="K901" s="55"/>
      <c r="L901" s="55"/>
      <c r="M901" s="55"/>
      <c r="N901" s="55"/>
      <c r="O901" s="55"/>
      <c r="P901" s="55"/>
      <c r="Q901" s="55"/>
      <c r="R901" s="55"/>
      <c r="S901" s="55"/>
    </row>
    <row r="902" spans="3:19" ht="13.5" customHeight="1">
      <c r="C902" s="55"/>
      <c r="D902" s="55"/>
      <c r="E902" s="55"/>
      <c r="F902" s="53"/>
      <c r="G902" s="55"/>
      <c r="H902" s="55"/>
      <c r="I902" s="55"/>
      <c r="J902" s="163"/>
      <c r="K902" s="55"/>
      <c r="L902" s="55"/>
      <c r="M902" s="55"/>
      <c r="N902" s="55"/>
      <c r="O902" s="55"/>
      <c r="P902" s="55"/>
      <c r="Q902" s="55"/>
      <c r="R902" s="55"/>
      <c r="S902" s="55"/>
    </row>
    <row r="903" spans="3:19" ht="13.5" customHeight="1">
      <c r="C903" s="55"/>
      <c r="D903" s="55"/>
      <c r="E903" s="55"/>
      <c r="F903" s="53"/>
      <c r="G903" s="55"/>
      <c r="H903" s="55"/>
      <c r="I903" s="55"/>
      <c r="J903" s="163"/>
      <c r="K903" s="55"/>
      <c r="L903" s="55"/>
      <c r="M903" s="55"/>
      <c r="N903" s="55"/>
      <c r="O903" s="55"/>
      <c r="P903" s="55"/>
      <c r="Q903" s="55"/>
      <c r="R903" s="55"/>
      <c r="S903" s="55"/>
    </row>
    <row r="904" spans="3:19" ht="13.5" customHeight="1">
      <c r="C904" s="55"/>
      <c r="D904" s="55"/>
      <c r="E904" s="55"/>
      <c r="F904" s="53"/>
      <c r="G904" s="55"/>
      <c r="H904" s="55"/>
      <c r="I904" s="55"/>
      <c r="J904" s="163"/>
      <c r="K904" s="55"/>
      <c r="L904" s="55"/>
      <c r="M904" s="55"/>
      <c r="N904" s="55"/>
      <c r="O904" s="55"/>
      <c r="P904" s="55"/>
      <c r="Q904" s="55"/>
      <c r="R904" s="55"/>
      <c r="S904" s="55"/>
    </row>
    <row r="905" spans="3:19" ht="13.5" customHeight="1">
      <c r="C905" s="55"/>
      <c r="D905" s="55"/>
      <c r="E905" s="55"/>
      <c r="F905" s="53"/>
      <c r="G905" s="55"/>
      <c r="H905" s="55"/>
      <c r="I905" s="55"/>
      <c r="J905" s="163"/>
      <c r="K905" s="55"/>
      <c r="L905" s="55"/>
      <c r="M905" s="55"/>
      <c r="N905" s="55"/>
      <c r="O905" s="55"/>
      <c r="P905" s="55"/>
      <c r="Q905" s="55"/>
      <c r="R905" s="55"/>
      <c r="S905" s="55"/>
    </row>
    <row r="906" spans="3:19" ht="13.5" customHeight="1">
      <c r="C906" s="55"/>
      <c r="D906" s="55"/>
      <c r="E906" s="55"/>
      <c r="F906" s="53"/>
      <c r="G906" s="55"/>
      <c r="H906" s="55"/>
      <c r="I906" s="55"/>
      <c r="J906" s="163"/>
      <c r="K906" s="55"/>
      <c r="L906" s="55"/>
      <c r="M906" s="55"/>
      <c r="N906" s="55"/>
      <c r="O906" s="55"/>
      <c r="P906" s="55"/>
      <c r="Q906" s="55"/>
      <c r="R906" s="55"/>
      <c r="S906" s="55"/>
    </row>
    <row r="907" spans="3:19" ht="13.5" customHeight="1">
      <c r="C907" s="55"/>
      <c r="D907" s="55"/>
      <c r="E907" s="55"/>
      <c r="F907" s="53"/>
      <c r="G907" s="55"/>
      <c r="H907" s="55"/>
      <c r="I907" s="55"/>
      <c r="J907" s="163"/>
      <c r="K907" s="55"/>
      <c r="L907" s="55"/>
      <c r="M907" s="55"/>
      <c r="N907" s="55"/>
      <c r="O907" s="55"/>
      <c r="P907" s="55"/>
      <c r="Q907" s="55"/>
      <c r="R907" s="55"/>
      <c r="S907" s="55"/>
    </row>
    <row r="908" spans="3:19" ht="13.5" customHeight="1">
      <c r="C908" s="55"/>
      <c r="D908" s="55"/>
      <c r="E908" s="55"/>
      <c r="F908" s="53"/>
      <c r="G908" s="55"/>
      <c r="H908" s="55"/>
      <c r="I908" s="55"/>
      <c r="J908" s="163"/>
      <c r="K908" s="55"/>
      <c r="L908" s="55"/>
      <c r="M908" s="55"/>
      <c r="N908" s="55"/>
      <c r="O908" s="55"/>
      <c r="P908" s="55"/>
      <c r="Q908" s="55"/>
      <c r="R908" s="55"/>
      <c r="S908" s="55"/>
    </row>
    <row r="909" spans="3:19" ht="13.5" customHeight="1">
      <c r="C909" s="55"/>
      <c r="D909" s="55"/>
      <c r="E909" s="55"/>
      <c r="F909" s="53"/>
      <c r="G909" s="55"/>
      <c r="H909" s="55"/>
      <c r="I909" s="55"/>
      <c r="J909" s="163"/>
      <c r="K909" s="55"/>
      <c r="L909" s="55"/>
      <c r="M909" s="55"/>
      <c r="N909" s="55"/>
      <c r="O909" s="55"/>
      <c r="P909" s="55"/>
      <c r="Q909" s="55"/>
      <c r="R909" s="55"/>
      <c r="S909" s="55"/>
    </row>
    <row r="910" spans="3:19" ht="13.5" customHeight="1">
      <c r="C910" s="55"/>
      <c r="D910" s="55"/>
      <c r="E910" s="55"/>
      <c r="F910" s="53"/>
      <c r="G910" s="55"/>
      <c r="H910" s="55"/>
      <c r="I910" s="55"/>
      <c r="J910" s="163"/>
      <c r="K910" s="55"/>
      <c r="L910" s="55"/>
      <c r="M910" s="55"/>
      <c r="N910" s="55"/>
      <c r="O910" s="55"/>
      <c r="P910" s="55"/>
      <c r="Q910" s="55"/>
      <c r="R910" s="55"/>
      <c r="S910" s="55"/>
    </row>
    <row r="911" spans="3:19" ht="13.5" customHeight="1">
      <c r="C911" s="55"/>
      <c r="D911" s="55"/>
      <c r="E911" s="55"/>
      <c r="F911" s="53"/>
      <c r="G911" s="55"/>
      <c r="H911" s="55"/>
      <c r="I911" s="55"/>
      <c r="J911" s="163"/>
      <c r="K911" s="55"/>
      <c r="L911" s="55"/>
      <c r="M911" s="55"/>
      <c r="N911" s="55"/>
      <c r="O911" s="55"/>
      <c r="P911" s="55"/>
      <c r="Q911" s="55"/>
      <c r="R911" s="55"/>
      <c r="S911" s="55"/>
    </row>
    <row r="912" spans="3:19" ht="13.5" customHeight="1">
      <c r="C912" s="55"/>
      <c r="D912" s="55"/>
      <c r="E912" s="55"/>
      <c r="F912" s="53"/>
      <c r="G912" s="55"/>
      <c r="H912" s="55"/>
      <c r="I912" s="55"/>
      <c r="J912" s="163"/>
      <c r="K912" s="55"/>
      <c r="L912" s="55"/>
      <c r="M912" s="55"/>
      <c r="N912" s="55"/>
      <c r="O912" s="55"/>
      <c r="P912" s="55"/>
      <c r="Q912" s="55"/>
      <c r="R912" s="55"/>
      <c r="S912" s="55"/>
    </row>
    <row r="913" spans="3:19" ht="13.5" customHeight="1">
      <c r="C913" s="55"/>
      <c r="D913" s="55"/>
      <c r="E913" s="55"/>
      <c r="F913" s="53"/>
      <c r="G913" s="55"/>
      <c r="H913" s="55"/>
      <c r="I913" s="55"/>
      <c r="J913" s="163"/>
      <c r="K913" s="55"/>
      <c r="L913" s="55"/>
      <c r="M913" s="55"/>
      <c r="N913" s="55"/>
      <c r="O913" s="55"/>
      <c r="P913" s="55"/>
      <c r="Q913" s="55"/>
      <c r="R913" s="55"/>
      <c r="S913" s="55"/>
    </row>
    <row r="914" spans="3:19" ht="13.5" customHeight="1">
      <c r="C914" s="55"/>
      <c r="D914" s="55"/>
      <c r="E914" s="55"/>
      <c r="F914" s="53"/>
      <c r="G914" s="55"/>
      <c r="H914" s="55"/>
      <c r="I914" s="55"/>
      <c r="J914" s="163"/>
      <c r="K914" s="55"/>
      <c r="L914" s="55"/>
      <c r="M914" s="55"/>
      <c r="N914" s="55"/>
      <c r="O914" s="55"/>
      <c r="P914" s="55"/>
      <c r="Q914" s="55"/>
      <c r="R914" s="55"/>
      <c r="S914" s="55"/>
    </row>
    <row r="915" spans="3:19" ht="13.5" customHeight="1">
      <c r="C915" s="55"/>
      <c r="D915" s="55"/>
      <c r="E915" s="55"/>
      <c r="F915" s="53"/>
      <c r="G915" s="55"/>
      <c r="H915" s="55"/>
      <c r="I915" s="55"/>
      <c r="J915" s="163"/>
      <c r="K915" s="55"/>
      <c r="L915" s="55"/>
      <c r="M915" s="55"/>
      <c r="N915" s="55"/>
      <c r="O915" s="55"/>
      <c r="P915" s="55"/>
      <c r="Q915" s="55"/>
      <c r="R915" s="55"/>
      <c r="S915" s="55"/>
    </row>
    <row r="916" spans="3:19" ht="13.5" customHeight="1">
      <c r="C916" s="55"/>
      <c r="D916" s="55"/>
      <c r="E916" s="55"/>
      <c r="F916" s="53"/>
      <c r="G916" s="55"/>
      <c r="H916" s="55"/>
      <c r="I916" s="55"/>
      <c r="J916" s="163"/>
      <c r="K916" s="55"/>
      <c r="L916" s="55"/>
      <c r="M916" s="55"/>
      <c r="N916" s="55"/>
      <c r="O916" s="55"/>
      <c r="P916" s="55"/>
      <c r="Q916" s="55"/>
      <c r="R916" s="55"/>
      <c r="S916" s="55"/>
    </row>
    <row r="917" spans="3:19" ht="13.5" customHeight="1">
      <c r="C917" s="55"/>
      <c r="D917" s="55"/>
      <c r="E917" s="55"/>
      <c r="F917" s="53"/>
      <c r="G917" s="55"/>
      <c r="H917" s="55"/>
      <c r="I917" s="55"/>
      <c r="J917" s="163"/>
      <c r="K917" s="55"/>
      <c r="L917" s="55"/>
      <c r="M917" s="55"/>
      <c r="N917" s="55"/>
      <c r="O917" s="55"/>
      <c r="P917" s="55"/>
      <c r="Q917" s="55"/>
      <c r="R917" s="55"/>
      <c r="S917" s="55"/>
    </row>
    <row r="918" spans="3:19" ht="13.5" customHeight="1">
      <c r="C918" s="55"/>
      <c r="D918" s="55"/>
      <c r="E918" s="55"/>
      <c r="F918" s="53"/>
      <c r="G918" s="55"/>
      <c r="H918" s="55"/>
      <c r="I918" s="55"/>
      <c r="J918" s="163"/>
      <c r="K918" s="55"/>
      <c r="L918" s="55"/>
      <c r="M918" s="55"/>
      <c r="N918" s="55"/>
      <c r="O918" s="55"/>
      <c r="P918" s="55"/>
      <c r="Q918" s="55"/>
      <c r="R918" s="55"/>
      <c r="S918" s="55"/>
    </row>
    <row r="919" spans="3:19" ht="13.5" customHeight="1">
      <c r="C919" s="55"/>
      <c r="D919" s="55"/>
      <c r="E919" s="55"/>
      <c r="F919" s="53"/>
      <c r="G919" s="55"/>
      <c r="H919" s="55"/>
      <c r="I919" s="55"/>
      <c r="J919" s="163"/>
      <c r="K919" s="55"/>
      <c r="L919" s="55"/>
      <c r="M919" s="55"/>
      <c r="N919" s="55"/>
      <c r="O919" s="55"/>
      <c r="P919" s="55"/>
      <c r="Q919" s="55"/>
      <c r="R919" s="55"/>
      <c r="S919" s="55"/>
    </row>
    <row r="920" spans="3:19" ht="13.5" customHeight="1">
      <c r="C920" s="55"/>
      <c r="D920" s="55"/>
      <c r="E920" s="55"/>
      <c r="F920" s="53"/>
      <c r="G920" s="55"/>
      <c r="H920" s="55"/>
      <c r="I920" s="55"/>
      <c r="J920" s="163"/>
      <c r="K920" s="55"/>
      <c r="L920" s="55"/>
      <c r="M920" s="55"/>
      <c r="N920" s="55"/>
      <c r="O920" s="55"/>
      <c r="P920" s="55"/>
      <c r="Q920" s="55"/>
      <c r="R920" s="55"/>
      <c r="S920" s="55"/>
    </row>
    <row r="921" spans="3:19" ht="13.5" customHeight="1">
      <c r="C921" s="55"/>
      <c r="D921" s="55"/>
      <c r="E921" s="55"/>
      <c r="F921" s="53"/>
      <c r="G921" s="55"/>
      <c r="H921" s="55"/>
      <c r="I921" s="55"/>
      <c r="J921" s="163"/>
      <c r="K921" s="55"/>
      <c r="L921" s="55"/>
      <c r="M921" s="55"/>
      <c r="N921" s="55"/>
      <c r="O921" s="55"/>
      <c r="P921" s="55"/>
      <c r="Q921" s="55"/>
      <c r="R921" s="55"/>
      <c r="S921" s="55"/>
    </row>
    <row r="922" spans="3:19" ht="13.5" customHeight="1">
      <c r="C922" s="55"/>
      <c r="D922" s="55"/>
      <c r="E922" s="55"/>
      <c r="F922" s="53"/>
      <c r="G922" s="55"/>
      <c r="H922" s="55"/>
      <c r="I922" s="55"/>
      <c r="J922" s="163"/>
      <c r="K922" s="55"/>
      <c r="L922" s="55"/>
      <c r="M922" s="55"/>
      <c r="N922" s="55"/>
      <c r="O922" s="55"/>
      <c r="P922" s="55"/>
      <c r="Q922" s="55"/>
      <c r="R922" s="55"/>
      <c r="S922" s="55"/>
    </row>
    <row r="923" spans="3:19" ht="13.5" customHeight="1">
      <c r="C923" s="55"/>
      <c r="D923" s="55"/>
      <c r="E923" s="55"/>
      <c r="F923" s="53"/>
      <c r="G923" s="55"/>
      <c r="H923" s="55"/>
      <c r="I923" s="55"/>
      <c r="J923" s="163"/>
      <c r="K923" s="55"/>
      <c r="L923" s="55"/>
      <c r="M923" s="55"/>
      <c r="N923" s="55"/>
      <c r="O923" s="55"/>
      <c r="P923" s="55"/>
      <c r="Q923" s="55"/>
      <c r="R923" s="55"/>
      <c r="S923" s="55"/>
    </row>
    <row r="924" spans="3:19" ht="13.5" customHeight="1">
      <c r="C924" s="55"/>
      <c r="D924" s="55"/>
      <c r="E924" s="55"/>
      <c r="F924" s="53"/>
      <c r="G924" s="55"/>
      <c r="H924" s="55"/>
      <c r="I924" s="55"/>
      <c r="J924" s="163"/>
      <c r="K924" s="55"/>
      <c r="L924" s="55"/>
      <c r="M924" s="55"/>
      <c r="N924" s="55"/>
      <c r="O924" s="55"/>
      <c r="P924" s="55"/>
      <c r="Q924" s="55"/>
      <c r="R924" s="55"/>
      <c r="S924" s="55"/>
    </row>
    <row r="925" spans="3:19" ht="13.5" customHeight="1">
      <c r="C925" s="55"/>
      <c r="D925" s="55"/>
      <c r="E925" s="55"/>
      <c r="F925" s="53"/>
      <c r="G925" s="55"/>
      <c r="H925" s="55"/>
      <c r="I925" s="55"/>
      <c r="J925" s="163"/>
      <c r="K925" s="55"/>
      <c r="L925" s="55"/>
      <c r="M925" s="55"/>
      <c r="N925" s="55"/>
      <c r="O925" s="55"/>
      <c r="P925" s="55"/>
      <c r="Q925" s="55"/>
      <c r="R925" s="55"/>
      <c r="S925" s="55"/>
    </row>
    <row r="926" spans="3:19" ht="13.5" customHeight="1">
      <c r="C926" s="55"/>
      <c r="D926" s="55"/>
      <c r="E926" s="55"/>
      <c r="F926" s="53"/>
      <c r="G926" s="55"/>
      <c r="H926" s="55"/>
      <c r="I926" s="55"/>
      <c r="J926" s="163"/>
      <c r="K926" s="55"/>
      <c r="L926" s="55"/>
      <c r="M926" s="55"/>
      <c r="N926" s="55"/>
      <c r="O926" s="55"/>
      <c r="P926" s="55"/>
      <c r="Q926" s="55"/>
      <c r="R926" s="55"/>
      <c r="S926" s="55"/>
    </row>
    <row r="927" spans="3:19" ht="13.5" customHeight="1">
      <c r="C927" s="55"/>
      <c r="D927" s="55"/>
      <c r="E927" s="55"/>
      <c r="F927" s="53"/>
      <c r="G927" s="55"/>
      <c r="H927" s="55"/>
      <c r="I927" s="55"/>
      <c r="J927" s="163"/>
      <c r="K927" s="55"/>
      <c r="L927" s="55"/>
      <c r="M927" s="55"/>
      <c r="N927" s="55"/>
      <c r="O927" s="55"/>
      <c r="P927" s="55"/>
      <c r="Q927" s="55"/>
      <c r="R927" s="55"/>
      <c r="S927" s="55"/>
    </row>
    <row r="928" spans="3:19" ht="13.5" customHeight="1">
      <c r="C928" s="55"/>
      <c r="D928" s="55"/>
      <c r="E928" s="55"/>
      <c r="F928" s="53"/>
      <c r="G928" s="55"/>
      <c r="H928" s="55"/>
      <c r="I928" s="55"/>
      <c r="J928" s="163"/>
      <c r="K928" s="55"/>
      <c r="L928" s="55"/>
      <c r="M928" s="55"/>
      <c r="N928" s="55"/>
      <c r="O928" s="55"/>
      <c r="P928" s="55"/>
      <c r="Q928" s="55"/>
      <c r="R928" s="55"/>
      <c r="S928" s="55"/>
    </row>
    <row r="929" spans="3:19" ht="13.5" customHeight="1">
      <c r="C929" s="55"/>
      <c r="D929" s="55"/>
      <c r="E929" s="55"/>
      <c r="F929" s="53"/>
      <c r="G929" s="55"/>
      <c r="H929" s="55"/>
      <c r="I929" s="55"/>
      <c r="J929" s="163"/>
      <c r="K929" s="55"/>
      <c r="L929" s="55"/>
      <c r="M929" s="55"/>
      <c r="N929" s="55"/>
      <c r="O929" s="55"/>
      <c r="P929" s="55"/>
      <c r="Q929" s="55"/>
      <c r="R929" s="55"/>
      <c r="S929" s="55"/>
    </row>
    <row r="930" spans="3:19" ht="13.5" customHeight="1">
      <c r="C930" s="55"/>
      <c r="D930" s="55"/>
      <c r="E930" s="55"/>
      <c r="F930" s="53"/>
      <c r="G930" s="55"/>
      <c r="H930" s="55"/>
      <c r="I930" s="55"/>
      <c r="J930" s="163"/>
      <c r="K930" s="55"/>
      <c r="L930" s="55"/>
      <c r="M930" s="55"/>
      <c r="N930" s="55"/>
      <c r="O930" s="55"/>
      <c r="P930" s="55"/>
      <c r="Q930" s="55"/>
      <c r="R930" s="55"/>
      <c r="S930" s="55"/>
    </row>
    <row r="931" spans="3:19" ht="13.5" customHeight="1">
      <c r="C931" s="55"/>
      <c r="D931" s="55"/>
      <c r="E931" s="55"/>
      <c r="F931" s="53"/>
      <c r="G931" s="55"/>
      <c r="H931" s="55"/>
      <c r="I931" s="55"/>
      <c r="J931" s="163"/>
      <c r="K931" s="55"/>
      <c r="L931" s="55"/>
      <c r="M931" s="55"/>
      <c r="N931" s="55"/>
      <c r="O931" s="55"/>
      <c r="P931" s="55"/>
      <c r="Q931" s="55"/>
      <c r="R931" s="55"/>
      <c r="S931" s="55"/>
    </row>
    <row r="932" spans="3:19" ht="13.5" customHeight="1">
      <c r="C932" s="55"/>
      <c r="D932" s="55"/>
      <c r="E932" s="55"/>
      <c r="F932" s="53"/>
      <c r="G932" s="55"/>
      <c r="H932" s="55"/>
      <c r="I932" s="55"/>
      <c r="J932" s="163"/>
      <c r="K932" s="55"/>
      <c r="L932" s="55"/>
      <c r="M932" s="55"/>
      <c r="N932" s="55"/>
      <c r="O932" s="55"/>
      <c r="P932" s="55"/>
      <c r="Q932" s="55"/>
      <c r="R932" s="55"/>
      <c r="S932" s="55"/>
    </row>
    <row r="933" spans="3:19" ht="13.5" customHeight="1">
      <c r="C933" s="55"/>
      <c r="D933" s="55"/>
      <c r="E933" s="55"/>
      <c r="F933" s="53"/>
      <c r="G933" s="55"/>
      <c r="H933" s="55"/>
      <c r="I933" s="55"/>
      <c r="J933" s="163"/>
      <c r="K933" s="55"/>
      <c r="L933" s="55"/>
      <c r="M933" s="55"/>
      <c r="N933" s="55"/>
      <c r="O933" s="55"/>
      <c r="P933" s="55"/>
      <c r="Q933" s="55"/>
      <c r="R933" s="55"/>
      <c r="S933" s="55"/>
    </row>
    <row r="934" spans="3:19" ht="13.5" customHeight="1">
      <c r="C934" s="55"/>
      <c r="D934" s="55"/>
      <c r="E934" s="55"/>
      <c r="F934" s="53"/>
      <c r="G934" s="55"/>
      <c r="H934" s="55"/>
      <c r="I934" s="55"/>
      <c r="J934" s="163"/>
      <c r="K934" s="55"/>
      <c r="L934" s="55"/>
      <c r="M934" s="55"/>
      <c r="N934" s="55"/>
      <c r="O934" s="55"/>
      <c r="P934" s="55"/>
      <c r="Q934" s="55"/>
      <c r="R934" s="55"/>
      <c r="S934" s="55"/>
    </row>
    <row r="935" spans="3:19" ht="13.5" customHeight="1">
      <c r="C935" s="55"/>
      <c r="D935" s="55"/>
      <c r="E935" s="55"/>
      <c r="F935" s="53"/>
      <c r="G935" s="55"/>
      <c r="H935" s="55"/>
      <c r="I935" s="55"/>
      <c r="J935" s="163"/>
      <c r="K935" s="55"/>
      <c r="L935" s="55"/>
      <c r="M935" s="55"/>
      <c r="N935" s="55"/>
      <c r="O935" s="55"/>
      <c r="P935" s="55"/>
      <c r="Q935" s="55"/>
      <c r="R935" s="55"/>
      <c r="S935" s="55"/>
    </row>
    <row r="936" spans="3:19" ht="13.5" customHeight="1">
      <c r="C936" s="55"/>
      <c r="D936" s="55"/>
      <c r="E936" s="55"/>
      <c r="F936" s="53"/>
      <c r="G936" s="55"/>
      <c r="H936" s="55"/>
      <c r="I936" s="55"/>
      <c r="J936" s="163"/>
      <c r="K936" s="55"/>
      <c r="L936" s="55"/>
      <c r="M936" s="55"/>
      <c r="N936" s="55"/>
      <c r="O936" s="55"/>
      <c r="P936" s="55"/>
      <c r="Q936" s="55"/>
      <c r="R936" s="55"/>
      <c r="S936" s="55"/>
    </row>
    <row r="937" spans="3:19" ht="13.5" customHeight="1">
      <c r="C937" s="55"/>
      <c r="D937" s="55"/>
      <c r="E937" s="55"/>
      <c r="F937" s="53"/>
      <c r="G937" s="55"/>
      <c r="H937" s="55"/>
      <c r="I937" s="55"/>
      <c r="J937" s="163"/>
      <c r="K937" s="55"/>
      <c r="L937" s="55"/>
      <c r="M937" s="55"/>
      <c r="N937" s="55"/>
      <c r="O937" s="55"/>
      <c r="P937" s="55"/>
      <c r="Q937" s="55"/>
      <c r="R937" s="55"/>
      <c r="S937" s="55"/>
    </row>
    <row r="938" spans="3:19" ht="13.5" customHeight="1">
      <c r="C938" s="55"/>
      <c r="D938" s="55"/>
      <c r="E938" s="55"/>
      <c r="F938" s="53"/>
      <c r="G938" s="55"/>
      <c r="H938" s="55"/>
      <c r="I938" s="55"/>
      <c r="J938" s="163"/>
      <c r="K938" s="55"/>
      <c r="L938" s="55"/>
      <c r="M938" s="55"/>
      <c r="N938" s="55"/>
      <c r="O938" s="55"/>
      <c r="P938" s="55"/>
      <c r="Q938" s="55"/>
      <c r="R938" s="55"/>
      <c r="S938" s="55"/>
    </row>
    <row r="939" spans="3:19" ht="13.5" customHeight="1">
      <c r="C939" s="55"/>
      <c r="D939" s="55"/>
      <c r="E939" s="55"/>
      <c r="F939" s="53"/>
      <c r="G939" s="55"/>
      <c r="H939" s="55"/>
      <c r="I939" s="55"/>
      <c r="J939" s="163"/>
      <c r="K939" s="55"/>
      <c r="L939" s="55"/>
      <c r="M939" s="55"/>
      <c r="N939" s="55"/>
      <c r="O939" s="55"/>
      <c r="P939" s="55"/>
      <c r="Q939" s="55"/>
      <c r="R939" s="55"/>
      <c r="S939" s="55"/>
    </row>
    <row r="940" spans="3:19" ht="13.5" customHeight="1">
      <c r="C940" s="55"/>
      <c r="D940" s="55"/>
      <c r="E940" s="55"/>
      <c r="F940" s="53"/>
      <c r="G940" s="55"/>
      <c r="H940" s="55"/>
      <c r="I940" s="55"/>
      <c r="J940" s="163"/>
      <c r="K940" s="55"/>
      <c r="L940" s="55"/>
      <c r="M940" s="55"/>
      <c r="N940" s="55"/>
      <c r="O940" s="55"/>
      <c r="P940" s="55"/>
      <c r="Q940" s="55"/>
      <c r="R940" s="55"/>
      <c r="S940" s="55"/>
    </row>
    <row r="941" spans="3:19" ht="13.5" customHeight="1">
      <c r="C941" s="55"/>
      <c r="D941" s="55"/>
      <c r="E941" s="55"/>
      <c r="F941" s="53"/>
      <c r="G941" s="55"/>
      <c r="H941" s="55"/>
      <c r="I941" s="55"/>
      <c r="J941" s="163"/>
      <c r="K941" s="55"/>
      <c r="L941" s="55"/>
      <c r="M941" s="55"/>
      <c r="N941" s="55"/>
      <c r="O941" s="55"/>
      <c r="P941" s="55"/>
      <c r="Q941" s="55"/>
      <c r="R941" s="55"/>
      <c r="S941" s="55"/>
    </row>
    <row r="942" spans="3:19" ht="13.5" customHeight="1">
      <c r="C942" s="55"/>
      <c r="D942" s="55"/>
      <c r="E942" s="55"/>
      <c r="F942" s="53"/>
      <c r="G942" s="55"/>
      <c r="H942" s="55"/>
      <c r="I942" s="55"/>
      <c r="J942" s="163"/>
      <c r="K942" s="55"/>
      <c r="L942" s="55"/>
      <c r="M942" s="55"/>
      <c r="N942" s="55"/>
      <c r="O942" s="55"/>
      <c r="P942" s="55"/>
      <c r="Q942" s="55"/>
      <c r="R942" s="55"/>
      <c r="S942" s="55"/>
    </row>
    <row r="943" spans="3:19" ht="13.5" customHeight="1">
      <c r="C943" s="55"/>
      <c r="D943" s="55"/>
      <c r="E943" s="55"/>
      <c r="F943" s="53"/>
      <c r="G943" s="55"/>
      <c r="H943" s="55"/>
      <c r="I943" s="55"/>
      <c r="J943" s="163"/>
      <c r="K943" s="55"/>
      <c r="L943" s="55"/>
      <c r="M943" s="55"/>
      <c r="N943" s="55"/>
      <c r="O943" s="55"/>
      <c r="P943" s="55"/>
      <c r="Q943" s="55"/>
      <c r="R943" s="55"/>
      <c r="S943" s="55"/>
    </row>
    <row r="944" spans="3:19" ht="13.5" customHeight="1">
      <c r="C944" s="55"/>
      <c r="D944" s="55"/>
      <c r="E944" s="55"/>
      <c r="F944" s="53"/>
      <c r="G944" s="55"/>
      <c r="H944" s="55"/>
      <c r="I944" s="55"/>
      <c r="J944" s="163"/>
      <c r="K944" s="55"/>
      <c r="L944" s="55"/>
      <c r="M944" s="55"/>
      <c r="N944" s="55"/>
      <c r="O944" s="55"/>
      <c r="P944" s="55"/>
      <c r="Q944" s="55"/>
      <c r="R944" s="55"/>
      <c r="S944" s="55"/>
    </row>
    <row r="945" spans="3:19" ht="13.5" customHeight="1">
      <c r="C945" s="55"/>
      <c r="D945" s="55"/>
      <c r="E945" s="55"/>
      <c r="F945" s="53"/>
      <c r="G945" s="55"/>
      <c r="H945" s="55"/>
      <c r="I945" s="55"/>
      <c r="J945" s="163"/>
      <c r="K945" s="55"/>
      <c r="L945" s="55"/>
      <c r="M945" s="55"/>
      <c r="N945" s="55"/>
      <c r="O945" s="55"/>
      <c r="P945" s="55"/>
      <c r="Q945" s="55"/>
      <c r="R945" s="55"/>
      <c r="S945" s="55"/>
    </row>
    <row r="946" spans="3:19" ht="13.5" customHeight="1">
      <c r="C946" s="55"/>
      <c r="D946" s="55"/>
      <c r="E946" s="55"/>
      <c r="F946" s="53"/>
      <c r="G946" s="55"/>
      <c r="H946" s="55"/>
      <c r="I946" s="55"/>
      <c r="J946" s="163"/>
      <c r="K946" s="55"/>
      <c r="L946" s="55"/>
      <c r="M946" s="55"/>
      <c r="N946" s="55"/>
      <c r="O946" s="55"/>
      <c r="P946" s="55"/>
      <c r="Q946" s="55"/>
      <c r="R946" s="55"/>
      <c r="S946" s="55"/>
    </row>
    <row r="947" spans="3:19" ht="13.5" customHeight="1">
      <c r="C947" s="55"/>
      <c r="D947" s="55"/>
      <c r="E947" s="55"/>
      <c r="F947" s="53"/>
      <c r="G947" s="55"/>
      <c r="H947" s="55"/>
      <c r="I947" s="55"/>
      <c r="J947" s="163"/>
      <c r="K947" s="55"/>
      <c r="L947" s="55"/>
      <c r="M947" s="55"/>
      <c r="N947" s="55"/>
      <c r="O947" s="55"/>
      <c r="P947" s="55"/>
      <c r="Q947" s="55"/>
      <c r="R947" s="55"/>
      <c r="S947" s="55"/>
    </row>
    <row r="948" spans="3:19" ht="13.5" customHeight="1">
      <c r="C948" s="55"/>
      <c r="D948" s="55"/>
      <c r="E948" s="55"/>
      <c r="F948" s="53"/>
      <c r="G948" s="55"/>
      <c r="H948" s="55"/>
      <c r="I948" s="55"/>
      <c r="J948" s="163"/>
      <c r="K948" s="55"/>
      <c r="L948" s="55"/>
      <c r="M948" s="55"/>
      <c r="N948" s="55"/>
      <c r="O948" s="55"/>
      <c r="P948" s="55"/>
      <c r="Q948" s="55"/>
      <c r="R948" s="55"/>
      <c r="S948" s="55"/>
    </row>
    <row r="949" spans="3:19" ht="13.5" customHeight="1">
      <c r="C949" s="55"/>
      <c r="D949" s="55"/>
      <c r="E949" s="55"/>
      <c r="F949" s="53"/>
      <c r="G949" s="55"/>
      <c r="H949" s="55"/>
      <c r="I949" s="55"/>
      <c r="J949" s="163"/>
      <c r="K949" s="55"/>
      <c r="L949" s="55"/>
      <c r="M949" s="55"/>
      <c r="N949" s="55"/>
      <c r="O949" s="55"/>
      <c r="P949" s="55"/>
      <c r="Q949" s="55"/>
      <c r="R949" s="55"/>
      <c r="S949" s="55"/>
    </row>
    <row r="950" spans="3:19" ht="13.5" customHeight="1">
      <c r="C950" s="55"/>
      <c r="D950" s="55"/>
      <c r="E950" s="55"/>
      <c r="F950" s="53"/>
      <c r="G950" s="55"/>
      <c r="H950" s="55"/>
      <c r="I950" s="55"/>
      <c r="J950" s="163"/>
      <c r="K950" s="55"/>
      <c r="L950" s="55"/>
      <c r="M950" s="55"/>
      <c r="N950" s="55"/>
      <c r="O950" s="55"/>
      <c r="P950" s="55"/>
      <c r="Q950" s="55"/>
      <c r="R950" s="55"/>
      <c r="S950" s="55"/>
    </row>
    <row r="951" spans="3:19" ht="13.5" customHeight="1">
      <c r="C951" s="55"/>
      <c r="D951" s="55"/>
      <c r="E951" s="55"/>
      <c r="F951" s="53"/>
      <c r="G951" s="55"/>
      <c r="H951" s="55"/>
      <c r="I951" s="55"/>
      <c r="J951" s="163"/>
      <c r="K951" s="55"/>
      <c r="L951" s="55"/>
      <c r="M951" s="55"/>
      <c r="N951" s="55"/>
      <c r="O951" s="55"/>
      <c r="P951" s="55"/>
      <c r="Q951" s="55"/>
      <c r="R951" s="55"/>
      <c r="S951" s="55"/>
    </row>
    <row r="952" spans="3:19" ht="13.5" customHeight="1">
      <c r="C952" s="55"/>
      <c r="D952" s="55"/>
      <c r="E952" s="55"/>
      <c r="F952" s="53"/>
      <c r="G952" s="55"/>
      <c r="H952" s="55"/>
      <c r="I952" s="55"/>
      <c r="J952" s="163"/>
      <c r="K952" s="55"/>
      <c r="L952" s="55"/>
      <c r="M952" s="55"/>
      <c r="N952" s="55"/>
      <c r="O952" s="55"/>
      <c r="P952" s="55"/>
      <c r="Q952" s="55"/>
      <c r="R952" s="55"/>
      <c r="S952" s="55"/>
    </row>
    <row r="953" spans="3:19" ht="13.5" customHeight="1">
      <c r="C953" s="55"/>
      <c r="D953" s="55"/>
      <c r="E953" s="55"/>
      <c r="F953" s="53"/>
      <c r="G953" s="55"/>
      <c r="H953" s="55"/>
      <c r="I953" s="55"/>
      <c r="J953" s="163"/>
      <c r="K953" s="55"/>
      <c r="L953" s="55"/>
      <c r="M953" s="55"/>
      <c r="N953" s="55"/>
      <c r="O953" s="55"/>
      <c r="P953" s="55"/>
      <c r="Q953" s="55"/>
      <c r="R953" s="55"/>
      <c r="S953" s="55"/>
    </row>
    <row r="954" spans="3:19" ht="13.5" customHeight="1">
      <c r="C954" s="55"/>
      <c r="D954" s="55"/>
      <c r="E954" s="55"/>
      <c r="F954" s="53"/>
      <c r="G954" s="55"/>
      <c r="H954" s="55"/>
      <c r="I954" s="55"/>
      <c r="J954" s="163"/>
      <c r="K954" s="55"/>
      <c r="L954" s="55"/>
      <c r="M954" s="55"/>
      <c r="N954" s="55"/>
      <c r="O954" s="55"/>
      <c r="P954" s="55"/>
      <c r="Q954" s="55"/>
      <c r="R954" s="55"/>
      <c r="S954" s="55"/>
    </row>
    <row r="955" spans="3:19" ht="13.5" customHeight="1">
      <c r="C955" s="55"/>
      <c r="D955" s="55"/>
      <c r="E955" s="55"/>
      <c r="F955" s="53"/>
      <c r="G955" s="55"/>
      <c r="H955" s="55"/>
      <c r="I955" s="55"/>
      <c r="J955" s="163"/>
      <c r="K955" s="55"/>
      <c r="L955" s="55"/>
      <c r="M955" s="55"/>
      <c r="N955" s="55"/>
      <c r="O955" s="55"/>
      <c r="P955" s="55"/>
      <c r="Q955" s="55"/>
      <c r="R955" s="55"/>
      <c r="S955" s="55"/>
    </row>
    <row r="956" spans="3:19" ht="13.5" customHeight="1">
      <c r="C956" s="55"/>
      <c r="D956" s="55"/>
      <c r="E956" s="55"/>
      <c r="F956" s="53"/>
      <c r="G956" s="55"/>
      <c r="H956" s="55"/>
      <c r="I956" s="55"/>
      <c r="J956" s="163"/>
      <c r="K956" s="55"/>
      <c r="L956" s="55"/>
      <c r="M956" s="55"/>
      <c r="N956" s="55"/>
      <c r="O956" s="55"/>
      <c r="P956" s="55"/>
      <c r="Q956" s="55"/>
      <c r="R956" s="55"/>
      <c r="S956" s="55"/>
    </row>
    <row r="957" spans="3:19" ht="13.5" customHeight="1">
      <c r="C957" s="55"/>
      <c r="D957" s="55"/>
      <c r="E957" s="55"/>
      <c r="F957" s="53"/>
      <c r="G957" s="55"/>
      <c r="H957" s="55"/>
      <c r="I957" s="55"/>
      <c r="J957" s="163"/>
      <c r="K957" s="55"/>
      <c r="L957" s="55"/>
      <c r="M957" s="55"/>
      <c r="N957" s="55"/>
      <c r="O957" s="55"/>
      <c r="P957" s="55"/>
      <c r="Q957" s="55"/>
      <c r="R957" s="55"/>
      <c r="S957" s="55"/>
    </row>
    <row r="958" spans="3:19" ht="13.5" customHeight="1">
      <c r="C958" s="55"/>
      <c r="D958" s="55"/>
      <c r="E958" s="55"/>
      <c r="F958" s="53"/>
      <c r="G958" s="55"/>
      <c r="H958" s="55"/>
      <c r="I958" s="55"/>
      <c r="J958" s="163"/>
      <c r="K958" s="55"/>
      <c r="L958" s="55"/>
      <c r="M958" s="55"/>
      <c r="N958" s="55"/>
      <c r="O958" s="55"/>
      <c r="P958" s="55"/>
      <c r="Q958" s="55"/>
      <c r="R958" s="55"/>
      <c r="S958" s="55"/>
    </row>
    <row r="959" spans="3:19" ht="13.5" customHeight="1">
      <c r="C959" s="55"/>
      <c r="D959" s="55"/>
      <c r="E959" s="55"/>
      <c r="F959" s="53"/>
      <c r="G959" s="55"/>
      <c r="H959" s="55"/>
      <c r="I959" s="55"/>
      <c r="J959" s="163"/>
      <c r="K959" s="55"/>
      <c r="L959" s="55"/>
      <c r="M959" s="55"/>
      <c r="N959" s="55"/>
      <c r="O959" s="55"/>
      <c r="P959" s="55"/>
      <c r="Q959" s="55"/>
      <c r="R959" s="55"/>
      <c r="S959" s="55"/>
    </row>
    <row r="960" spans="3:19" ht="13.5" customHeight="1">
      <c r="C960" s="55"/>
      <c r="D960" s="55"/>
      <c r="E960" s="55"/>
      <c r="F960" s="53"/>
      <c r="G960" s="55"/>
      <c r="H960" s="55"/>
      <c r="I960" s="55"/>
      <c r="J960" s="163"/>
      <c r="K960" s="55"/>
      <c r="L960" s="55"/>
      <c r="M960" s="55"/>
      <c r="N960" s="55"/>
      <c r="O960" s="55"/>
      <c r="P960" s="55"/>
      <c r="Q960" s="55"/>
      <c r="R960" s="55"/>
      <c r="S960" s="55"/>
    </row>
    <row r="961" spans="3:19" ht="13.5" customHeight="1">
      <c r="C961" s="55"/>
      <c r="D961" s="55"/>
      <c r="E961" s="55"/>
      <c r="F961" s="53"/>
      <c r="G961" s="55"/>
      <c r="H961" s="55"/>
      <c r="I961" s="55"/>
      <c r="J961" s="163"/>
      <c r="K961" s="55"/>
      <c r="L961" s="55"/>
      <c r="M961" s="55"/>
      <c r="N961" s="55"/>
      <c r="O961" s="55"/>
      <c r="P961" s="55"/>
      <c r="Q961" s="55"/>
      <c r="R961" s="55"/>
      <c r="S961" s="55"/>
    </row>
    <row r="962" spans="3:19" ht="13.5" customHeight="1">
      <c r="C962" s="55"/>
      <c r="D962" s="55"/>
      <c r="E962" s="55"/>
      <c r="F962" s="53"/>
      <c r="G962" s="55"/>
      <c r="H962" s="55"/>
      <c r="I962" s="55"/>
      <c r="J962" s="163"/>
      <c r="K962" s="55"/>
      <c r="L962" s="55"/>
      <c r="M962" s="55"/>
      <c r="N962" s="55"/>
      <c r="O962" s="55"/>
      <c r="P962" s="55"/>
      <c r="Q962" s="55"/>
      <c r="R962" s="55"/>
      <c r="S962" s="55"/>
    </row>
    <row r="963" spans="3:19" ht="13.5" customHeight="1">
      <c r="C963" s="55"/>
      <c r="D963" s="55"/>
      <c r="E963" s="55"/>
      <c r="F963" s="53"/>
      <c r="G963" s="55"/>
      <c r="H963" s="55"/>
      <c r="I963" s="55"/>
      <c r="J963" s="163"/>
      <c r="K963" s="55"/>
      <c r="L963" s="55"/>
      <c r="M963" s="55"/>
      <c r="N963" s="55"/>
      <c r="O963" s="55"/>
      <c r="P963" s="55"/>
      <c r="Q963" s="55"/>
      <c r="R963" s="55"/>
      <c r="S963" s="55"/>
    </row>
    <row r="964" spans="3:19" ht="13.5" customHeight="1">
      <c r="C964" s="55"/>
      <c r="D964" s="55"/>
      <c r="E964" s="55"/>
      <c r="F964" s="53"/>
      <c r="G964" s="55"/>
      <c r="H964" s="55"/>
      <c r="I964" s="55"/>
      <c r="J964" s="163"/>
      <c r="K964" s="55"/>
      <c r="L964" s="55"/>
      <c r="M964" s="55"/>
      <c r="N964" s="55"/>
      <c r="O964" s="55"/>
      <c r="P964" s="55"/>
      <c r="Q964" s="55"/>
      <c r="R964" s="55"/>
      <c r="S964" s="55"/>
    </row>
    <row r="965" spans="3:19" ht="13.5" customHeight="1">
      <c r="C965" s="55"/>
      <c r="D965" s="55"/>
      <c r="E965" s="55"/>
      <c r="F965" s="53"/>
      <c r="G965" s="55"/>
      <c r="H965" s="55"/>
      <c r="I965" s="55"/>
      <c r="J965" s="163"/>
      <c r="K965" s="55"/>
      <c r="L965" s="55"/>
      <c r="M965" s="55"/>
      <c r="N965" s="55"/>
      <c r="O965" s="55"/>
      <c r="P965" s="55"/>
      <c r="Q965" s="55"/>
      <c r="R965" s="55"/>
      <c r="S965" s="55"/>
    </row>
    <row r="966" spans="3:19" ht="13.5" customHeight="1">
      <c r="C966" s="55"/>
      <c r="D966" s="55"/>
      <c r="E966" s="55"/>
      <c r="F966" s="53"/>
      <c r="G966" s="55"/>
      <c r="H966" s="55"/>
      <c r="I966" s="55"/>
      <c r="J966" s="163"/>
      <c r="K966" s="55"/>
      <c r="L966" s="55"/>
      <c r="M966" s="55"/>
      <c r="N966" s="55"/>
      <c r="O966" s="55"/>
      <c r="P966" s="55"/>
      <c r="Q966" s="55"/>
      <c r="R966" s="55"/>
      <c r="S966" s="55"/>
    </row>
    <row r="967" spans="3:19" ht="13.5" customHeight="1">
      <c r="C967" s="55"/>
      <c r="D967" s="55"/>
      <c r="E967" s="55"/>
      <c r="F967" s="53"/>
      <c r="G967" s="55"/>
      <c r="H967" s="55"/>
      <c r="I967" s="55"/>
      <c r="J967" s="163"/>
      <c r="K967" s="55"/>
      <c r="L967" s="55"/>
      <c r="M967" s="55"/>
      <c r="N967" s="55"/>
      <c r="O967" s="55"/>
      <c r="P967" s="55"/>
      <c r="Q967" s="55"/>
      <c r="R967" s="55"/>
      <c r="S967" s="55"/>
    </row>
    <row r="968" spans="3:19" ht="13.5" customHeight="1">
      <c r="C968" s="55"/>
      <c r="D968" s="55"/>
      <c r="E968" s="55"/>
      <c r="F968" s="53"/>
      <c r="G968" s="55"/>
      <c r="H968" s="55"/>
      <c r="I968" s="55"/>
      <c r="J968" s="163"/>
      <c r="K968" s="55"/>
      <c r="L968" s="55"/>
      <c r="M968" s="55"/>
      <c r="N968" s="55"/>
      <c r="O968" s="55"/>
      <c r="P968" s="55"/>
      <c r="Q968" s="55"/>
      <c r="R968" s="55"/>
      <c r="S968" s="55"/>
    </row>
    <row r="969" spans="3:19" ht="13.5" customHeight="1">
      <c r="C969" s="55"/>
      <c r="D969" s="55"/>
      <c r="E969" s="55"/>
      <c r="F969" s="53"/>
      <c r="G969" s="55"/>
      <c r="H969" s="55"/>
      <c r="I969" s="55"/>
      <c r="J969" s="163"/>
      <c r="K969" s="55"/>
      <c r="L969" s="55"/>
      <c r="M969" s="55"/>
      <c r="N969" s="55"/>
      <c r="O969" s="55"/>
      <c r="P969" s="55"/>
      <c r="Q969" s="55"/>
      <c r="R969" s="55"/>
      <c r="S969" s="55"/>
    </row>
    <row r="970" spans="3:19" ht="13.5" customHeight="1">
      <c r="C970" s="55"/>
      <c r="D970" s="55"/>
      <c r="E970" s="55"/>
      <c r="F970" s="53"/>
      <c r="G970" s="55"/>
      <c r="H970" s="55"/>
      <c r="I970" s="55"/>
      <c r="J970" s="163"/>
      <c r="K970" s="55"/>
      <c r="L970" s="55"/>
      <c r="M970" s="55"/>
      <c r="N970" s="55"/>
      <c r="O970" s="55"/>
      <c r="P970" s="55"/>
      <c r="Q970" s="55"/>
      <c r="R970" s="55"/>
      <c r="S970" s="55"/>
    </row>
    <row r="971" spans="3:19" ht="13.5" customHeight="1">
      <c r="C971" s="55"/>
      <c r="D971" s="55"/>
      <c r="E971" s="55"/>
      <c r="F971" s="53"/>
      <c r="G971" s="55"/>
      <c r="H971" s="55"/>
      <c r="I971" s="55"/>
      <c r="J971" s="163"/>
      <c r="K971" s="55"/>
      <c r="L971" s="55"/>
      <c r="M971" s="55"/>
      <c r="N971" s="55"/>
      <c r="O971" s="55"/>
      <c r="P971" s="55"/>
      <c r="Q971" s="55"/>
      <c r="R971" s="55"/>
      <c r="S971" s="55"/>
    </row>
    <row r="972" spans="3:19" ht="13.5" customHeight="1">
      <c r="C972" s="55"/>
      <c r="D972" s="55"/>
      <c r="E972" s="55"/>
      <c r="F972" s="53"/>
      <c r="G972" s="55"/>
      <c r="H972" s="55"/>
      <c r="I972" s="55"/>
      <c r="J972" s="163"/>
      <c r="K972" s="55"/>
      <c r="L972" s="55"/>
      <c r="M972" s="55"/>
      <c r="N972" s="55"/>
      <c r="O972" s="55"/>
      <c r="P972" s="55"/>
      <c r="Q972" s="55"/>
      <c r="R972" s="55"/>
      <c r="S972" s="55"/>
    </row>
    <row r="973" spans="3:19" ht="13.5" customHeight="1">
      <c r="C973" s="55"/>
      <c r="D973" s="55"/>
      <c r="E973" s="55"/>
      <c r="F973" s="53"/>
      <c r="G973" s="55"/>
      <c r="H973" s="55"/>
      <c r="I973" s="55"/>
      <c r="J973" s="163"/>
      <c r="K973" s="55"/>
      <c r="L973" s="55"/>
      <c r="M973" s="55"/>
      <c r="N973" s="55"/>
      <c r="O973" s="55"/>
      <c r="P973" s="55"/>
      <c r="Q973" s="55"/>
      <c r="R973" s="55"/>
      <c r="S973" s="55"/>
    </row>
    <row r="974" spans="3:19" ht="13.5" customHeight="1">
      <c r="C974" s="55"/>
      <c r="D974" s="55"/>
      <c r="E974" s="55"/>
      <c r="F974" s="53"/>
      <c r="G974" s="55"/>
      <c r="H974" s="55"/>
      <c r="I974" s="55"/>
      <c r="J974" s="163"/>
      <c r="K974" s="55"/>
      <c r="L974" s="55"/>
      <c r="M974" s="55"/>
      <c r="N974" s="55"/>
      <c r="O974" s="55"/>
      <c r="P974" s="55"/>
      <c r="Q974" s="55"/>
      <c r="R974" s="55"/>
      <c r="S974" s="55"/>
    </row>
    <row r="975" spans="3:19" ht="13.5" customHeight="1">
      <c r="C975" s="55"/>
      <c r="D975" s="55"/>
      <c r="E975" s="55"/>
      <c r="F975" s="53"/>
      <c r="G975" s="55"/>
      <c r="H975" s="55"/>
      <c r="I975" s="55"/>
      <c r="J975" s="163"/>
      <c r="K975" s="55"/>
      <c r="L975" s="55"/>
      <c r="M975" s="55"/>
      <c r="N975" s="55"/>
      <c r="O975" s="55"/>
      <c r="P975" s="55"/>
      <c r="Q975" s="55"/>
      <c r="R975" s="55"/>
      <c r="S975" s="55"/>
    </row>
    <row r="976" spans="3:19" ht="13.5" customHeight="1">
      <c r="C976" s="55"/>
      <c r="D976" s="55"/>
      <c r="E976" s="55"/>
      <c r="F976" s="53"/>
      <c r="G976" s="55"/>
      <c r="H976" s="55"/>
      <c r="I976" s="55"/>
      <c r="J976" s="163"/>
      <c r="K976" s="55"/>
      <c r="L976" s="55"/>
      <c r="M976" s="55"/>
      <c r="N976" s="55"/>
      <c r="O976" s="55"/>
      <c r="P976" s="55"/>
      <c r="Q976" s="55"/>
      <c r="R976" s="55"/>
      <c r="S976" s="55"/>
    </row>
    <row r="977" spans="3:19" ht="13.5" customHeight="1">
      <c r="C977" s="55"/>
      <c r="D977" s="55"/>
      <c r="E977" s="55"/>
      <c r="F977" s="53"/>
      <c r="G977" s="55"/>
      <c r="H977" s="55"/>
      <c r="I977" s="55"/>
      <c r="J977" s="163"/>
      <c r="K977" s="55"/>
      <c r="L977" s="55"/>
      <c r="M977" s="55"/>
      <c r="N977" s="55"/>
      <c r="O977" s="55"/>
      <c r="P977" s="55"/>
      <c r="Q977" s="55"/>
      <c r="R977" s="55"/>
      <c r="S977" s="55"/>
    </row>
    <row r="978" spans="3:19" ht="13.5" customHeight="1">
      <c r="C978" s="55"/>
      <c r="D978" s="55"/>
      <c r="E978" s="55"/>
      <c r="F978" s="53"/>
      <c r="G978" s="55"/>
      <c r="H978" s="55"/>
      <c r="I978" s="55"/>
      <c r="J978" s="163"/>
      <c r="K978" s="55"/>
      <c r="L978" s="55"/>
      <c r="M978" s="55"/>
      <c r="N978" s="55"/>
      <c r="O978" s="55"/>
      <c r="P978" s="55"/>
      <c r="Q978" s="55"/>
      <c r="R978" s="55"/>
      <c r="S978" s="55"/>
    </row>
    <row r="979" spans="3:19" ht="13.5" customHeight="1">
      <c r="C979" s="55"/>
      <c r="D979" s="55"/>
      <c r="E979" s="55"/>
      <c r="F979" s="53"/>
      <c r="G979" s="55"/>
      <c r="H979" s="55"/>
      <c r="I979" s="55"/>
      <c r="J979" s="163"/>
      <c r="K979" s="55"/>
      <c r="L979" s="55"/>
      <c r="M979" s="55"/>
      <c r="N979" s="55"/>
      <c r="O979" s="55"/>
      <c r="P979" s="55"/>
      <c r="Q979" s="55"/>
      <c r="R979" s="55"/>
      <c r="S979" s="55"/>
    </row>
    <row r="980" spans="3:19" ht="13.5" customHeight="1">
      <c r="C980" s="55"/>
      <c r="D980" s="55"/>
      <c r="E980" s="55"/>
      <c r="F980" s="53"/>
      <c r="G980" s="55"/>
      <c r="H980" s="55"/>
      <c r="I980" s="55"/>
      <c r="J980" s="163"/>
      <c r="K980" s="55"/>
      <c r="L980" s="55"/>
      <c r="M980" s="55"/>
      <c r="N980" s="55"/>
      <c r="O980" s="55"/>
      <c r="P980" s="55"/>
      <c r="Q980" s="55"/>
      <c r="R980" s="55"/>
      <c r="S980" s="55"/>
    </row>
    <row r="981" spans="3:19" ht="13.5" customHeight="1">
      <c r="C981" s="55"/>
      <c r="D981" s="55"/>
      <c r="E981" s="55"/>
      <c r="F981" s="53"/>
      <c r="G981" s="55"/>
      <c r="H981" s="55"/>
      <c r="I981" s="55"/>
      <c r="J981" s="163"/>
      <c r="K981" s="55"/>
      <c r="L981" s="55"/>
      <c r="M981" s="55"/>
      <c r="N981" s="55"/>
      <c r="O981" s="55"/>
      <c r="P981" s="55"/>
      <c r="Q981" s="55"/>
      <c r="R981" s="55"/>
      <c r="S981" s="55"/>
    </row>
    <row r="982" spans="3:19" ht="13.5" customHeight="1">
      <c r="C982" s="55"/>
      <c r="D982" s="55"/>
      <c r="E982" s="55"/>
      <c r="F982" s="53"/>
      <c r="G982" s="55"/>
      <c r="H982" s="55"/>
      <c r="I982" s="55"/>
      <c r="J982" s="163"/>
      <c r="K982" s="55"/>
      <c r="L982" s="55"/>
      <c r="M982" s="55"/>
      <c r="N982" s="55"/>
      <c r="O982" s="55"/>
      <c r="P982" s="55"/>
      <c r="Q982" s="55"/>
      <c r="R982" s="55"/>
      <c r="S982" s="55"/>
    </row>
    <row r="983" spans="3:19" ht="13.5" customHeight="1">
      <c r="C983" s="55"/>
      <c r="D983" s="55"/>
      <c r="E983" s="55"/>
      <c r="F983" s="53"/>
      <c r="G983" s="55"/>
      <c r="H983" s="55"/>
      <c r="I983" s="55"/>
      <c r="J983" s="163"/>
      <c r="K983" s="55"/>
      <c r="L983" s="55"/>
      <c r="M983" s="55"/>
      <c r="N983" s="55"/>
      <c r="O983" s="55"/>
      <c r="P983" s="55"/>
      <c r="Q983" s="55"/>
      <c r="R983" s="55"/>
      <c r="S983" s="55"/>
    </row>
    <row r="984" spans="3:19" ht="13.5" customHeight="1">
      <c r="C984" s="55"/>
      <c r="D984" s="55"/>
      <c r="E984" s="55"/>
      <c r="F984" s="53"/>
      <c r="G984" s="55"/>
      <c r="H984" s="55"/>
      <c r="I984" s="55"/>
      <c r="J984" s="163"/>
      <c r="K984" s="55"/>
      <c r="L984" s="55"/>
      <c r="M984" s="55"/>
      <c r="N984" s="55"/>
      <c r="O984" s="55"/>
      <c r="P984" s="55"/>
      <c r="Q984" s="55"/>
      <c r="R984" s="55"/>
      <c r="S984" s="55"/>
    </row>
    <row r="985" spans="3:19" ht="13.5" customHeight="1">
      <c r="C985" s="55"/>
      <c r="D985" s="55"/>
      <c r="E985" s="55"/>
      <c r="F985" s="53"/>
      <c r="G985" s="55"/>
      <c r="H985" s="55"/>
      <c r="I985" s="55"/>
      <c r="J985" s="163"/>
      <c r="K985" s="55"/>
      <c r="L985" s="55"/>
      <c r="M985" s="55"/>
      <c r="N985" s="55"/>
      <c r="O985" s="55"/>
      <c r="P985" s="55"/>
      <c r="Q985" s="55"/>
      <c r="R985" s="55"/>
      <c r="S985" s="55"/>
    </row>
    <row r="986" spans="3:19" ht="13.5" customHeight="1">
      <c r="C986" s="55"/>
      <c r="D986" s="55"/>
      <c r="E986" s="55"/>
      <c r="F986" s="53"/>
      <c r="G986" s="55"/>
      <c r="H986" s="55"/>
      <c r="I986" s="55"/>
      <c r="J986" s="163"/>
      <c r="K986" s="55"/>
      <c r="L986" s="55"/>
      <c r="M986" s="55"/>
      <c r="N986" s="55"/>
      <c r="O986" s="55"/>
      <c r="P986" s="55"/>
      <c r="Q986" s="55"/>
      <c r="R986" s="55"/>
      <c r="S986" s="55"/>
    </row>
    <row r="987" spans="3:19" ht="13.5" customHeight="1">
      <c r="C987" s="55"/>
      <c r="D987" s="55"/>
      <c r="E987" s="55"/>
      <c r="F987" s="53"/>
      <c r="G987" s="55"/>
      <c r="H987" s="55"/>
      <c r="I987" s="55"/>
      <c r="J987" s="163"/>
      <c r="K987" s="55"/>
      <c r="L987" s="55"/>
      <c r="M987" s="55"/>
      <c r="N987" s="55"/>
      <c r="O987" s="55"/>
      <c r="P987" s="55"/>
      <c r="Q987" s="55"/>
      <c r="R987" s="55"/>
      <c r="S987" s="55"/>
    </row>
    <row r="988" spans="3:19" ht="13.5" customHeight="1">
      <c r="C988" s="55"/>
      <c r="D988" s="55"/>
      <c r="E988" s="55"/>
      <c r="F988" s="53"/>
      <c r="G988" s="55"/>
      <c r="H988" s="55"/>
      <c r="I988" s="55"/>
      <c r="J988" s="163"/>
      <c r="K988" s="55"/>
      <c r="L988" s="55"/>
      <c r="M988" s="55"/>
      <c r="N988" s="55"/>
      <c r="O988" s="55"/>
      <c r="P988" s="55"/>
      <c r="Q988" s="55"/>
      <c r="R988" s="55"/>
      <c r="S988" s="55"/>
    </row>
    <row r="989" spans="3:19" ht="13.5" customHeight="1">
      <c r="C989" s="55"/>
      <c r="D989" s="55"/>
      <c r="E989" s="55"/>
      <c r="F989" s="53"/>
      <c r="G989" s="55"/>
      <c r="H989" s="55"/>
      <c r="I989" s="55"/>
      <c r="J989" s="163"/>
      <c r="K989" s="55"/>
      <c r="L989" s="55"/>
      <c r="M989" s="55"/>
      <c r="N989" s="55"/>
      <c r="O989" s="55"/>
      <c r="P989" s="55"/>
      <c r="Q989" s="55"/>
      <c r="R989" s="55"/>
      <c r="S989" s="55"/>
    </row>
    <row r="990" spans="3:19" ht="13.5" customHeight="1">
      <c r="C990" s="55"/>
      <c r="D990" s="55"/>
      <c r="E990" s="55"/>
      <c r="F990" s="53"/>
      <c r="G990" s="55"/>
      <c r="H990" s="55"/>
      <c r="I990" s="55"/>
      <c r="J990" s="163"/>
      <c r="K990" s="55"/>
      <c r="L990" s="55"/>
      <c r="M990" s="55"/>
      <c r="N990" s="55"/>
      <c r="O990" s="55"/>
      <c r="P990" s="55"/>
      <c r="Q990" s="55"/>
      <c r="R990" s="55"/>
      <c r="S990" s="55"/>
    </row>
    <row r="991" spans="3:19" ht="13.5" customHeight="1">
      <c r="C991" s="55"/>
      <c r="D991" s="55"/>
      <c r="E991" s="55"/>
      <c r="F991" s="53"/>
      <c r="G991" s="55"/>
      <c r="H991" s="55"/>
      <c r="I991" s="55"/>
      <c r="J991" s="163"/>
      <c r="K991" s="55"/>
      <c r="L991" s="55"/>
      <c r="M991" s="55"/>
      <c r="N991" s="55"/>
      <c r="O991" s="55"/>
      <c r="P991" s="55"/>
      <c r="Q991" s="55"/>
      <c r="R991" s="55"/>
      <c r="S991" s="55"/>
    </row>
    <row r="992" spans="3:19" ht="13.5" customHeight="1">
      <c r="C992" s="55"/>
      <c r="D992" s="55"/>
      <c r="E992" s="55"/>
      <c r="F992" s="53"/>
      <c r="G992" s="55"/>
      <c r="H992" s="55"/>
      <c r="I992" s="55"/>
      <c r="J992" s="163"/>
      <c r="K992" s="55"/>
      <c r="L992" s="55"/>
      <c r="M992" s="55"/>
      <c r="N992" s="55"/>
      <c r="O992" s="55"/>
      <c r="P992" s="55"/>
      <c r="Q992" s="55"/>
      <c r="R992" s="55"/>
      <c r="S992" s="55"/>
    </row>
    <row r="993" spans="3:19" ht="13.5" customHeight="1">
      <c r="C993" s="55"/>
      <c r="D993" s="55"/>
      <c r="E993" s="55"/>
      <c r="F993" s="53"/>
      <c r="G993" s="55"/>
      <c r="H993" s="55"/>
      <c r="I993" s="55"/>
      <c r="J993" s="163"/>
      <c r="K993" s="55"/>
      <c r="L993" s="55"/>
      <c r="M993" s="55"/>
      <c r="N993" s="55"/>
      <c r="O993" s="55"/>
      <c r="P993" s="55"/>
      <c r="Q993" s="55"/>
      <c r="R993" s="55"/>
      <c r="S993" s="55"/>
    </row>
    <row r="994" spans="3:19" ht="13.5" customHeight="1">
      <c r="C994" s="55"/>
      <c r="D994" s="55"/>
      <c r="E994" s="55"/>
      <c r="F994" s="53"/>
      <c r="G994" s="55"/>
      <c r="H994" s="55"/>
      <c r="I994" s="55"/>
      <c r="J994" s="163"/>
      <c r="K994" s="55"/>
      <c r="L994" s="55"/>
      <c r="M994" s="55"/>
      <c r="N994" s="55"/>
      <c r="O994" s="55"/>
      <c r="P994" s="55"/>
      <c r="Q994" s="55"/>
      <c r="R994" s="55"/>
      <c r="S994" s="55"/>
    </row>
    <row r="995" spans="3:19" ht="13.5" customHeight="1">
      <c r="C995" s="55"/>
      <c r="D995" s="55"/>
      <c r="E995" s="55"/>
      <c r="F995" s="53"/>
      <c r="G995" s="55"/>
      <c r="H995" s="55"/>
      <c r="I995" s="55"/>
      <c r="J995" s="163"/>
      <c r="K995" s="55"/>
      <c r="L995" s="55"/>
      <c r="M995" s="55"/>
      <c r="N995" s="55"/>
      <c r="O995" s="55"/>
      <c r="P995" s="55"/>
      <c r="Q995" s="55"/>
      <c r="R995" s="55"/>
      <c r="S995" s="55"/>
    </row>
    <row r="996" spans="3:19" ht="13.5" customHeight="1">
      <c r="C996" s="55"/>
      <c r="D996" s="55"/>
      <c r="E996" s="55"/>
      <c r="F996" s="53"/>
      <c r="G996" s="55"/>
      <c r="H996" s="55"/>
      <c r="I996" s="55"/>
      <c r="J996" s="163"/>
      <c r="K996" s="55"/>
      <c r="L996" s="55"/>
      <c r="M996" s="55"/>
      <c r="N996" s="55"/>
      <c r="O996" s="55"/>
      <c r="P996" s="55"/>
      <c r="Q996" s="55"/>
      <c r="R996" s="55"/>
      <c r="S996" s="55"/>
    </row>
    <row r="997" spans="3:19" ht="13.5" customHeight="1">
      <c r="C997" s="55"/>
      <c r="D997" s="55"/>
      <c r="E997" s="55"/>
      <c r="F997" s="53"/>
      <c r="G997" s="55"/>
      <c r="H997" s="55"/>
      <c r="I997" s="55"/>
      <c r="J997" s="163"/>
      <c r="K997" s="55"/>
      <c r="L997" s="55"/>
      <c r="M997" s="55"/>
      <c r="N997" s="55"/>
      <c r="O997" s="55"/>
      <c r="P997" s="55"/>
      <c r="Q997" s="55"/>
      <c r="R997" s="55"/>
      <c r="S997" s="55"/>
    </row>
    <row r="998" spans="3:19" ht="13.5" customHeight="1">
      <c r="C998" s="55"/>
      <c r="D998" s="55"/>
      <c r="E998" s="55"/>
      <c r="F998" s="53"/>
      <c r="G998" s="55"/>
      <c r="H998" s="55"/>
      <c r="I998" s="55"/>
      <c r="J998" s="163"/>
      <c r="K998" s="55"/>
      <c r="L998" s="55"/>
      <c r="M998" s="55"/>
      <c r="N998" s="55"/>
      <c r="O998" s="55"/>
      <c r="P998" s="55"/>
      <c r="Q998" s="55"/>
      <c r="R998" s="55"/>
      <c r="S998" s="55"/>
    </row>
    <row r="999" spans="3:19" ht="13.5" customHeight="1">
      <c r="C999" s="55"/>
      <c r="D999" s="55"/>
      <c r="E999" s="55"/>
      <c r="F999" s="53"/>
      <c r="G999" s="55"/>
      <c r="H999" s="55"/>
      <c r="I999" s="55"/>
      <c r="J999" s="163"/>
      <c r="K999" s="55"/>
      <c r="L999" s="55"/>
      <c r="M999" s="55"/>
      <c r="N999" s="55"/>
      <c r="O999" s="55"/>
      <c r="P999" s="55"/>
      <c r="Q999" s="55"/>
      <c r="R999" s="55"/>
      <c r="S999" s="55"/>
    </row>
    <row r="1000" spans="3:19" ht="13.5" customHeight="1">
      <c r="C1000" s="55"/>
      <c r="D1000" s="55"/>
      <c r="E1000" s="55"/>
      <c r="F1000" s="53"/>
      <c r="G1000" s="55"/>
      <c r="H1000" s="55"/>
      <c r="I1000" s="55"/>
      <c r="J1000" s="163"/>
      <c r="K1000" s="55"/>
      <c r="L1000" s="55"/>
      <c r="M1000" s="55"/>
      <c r="N1000" s="55"/>
      <c r="O1000" s="55"/>
      <c r="P1000" s="55"/>
      <c r="Q1000" s="55"/>
      <c r="R1000" s="55"/>
      <c r="S1000" s="55"/>
    </row>
    <row r="1001" spans="3:19" ht="13.5" customHeight="1">
      <c r="C1001" s="55"/>
      <c r="D1001" s="55"/>
      <c r="E1001" s="55"/>
      <c r="F1001" s="53"/>
      <c r="G1001" s="55"/>
      <c r="H1001" s="55"/>
      <c r="I1001" s="55"/>
      <c r="J1001" s="163"/>
      <c r="K1001" s="55"/>
      <c r="L1001" s="55"/>
      <c r="M1001" s="55"/>
      <c r="N1001" s="55"/>
      <c r="O1001" s="55"/>
      <c r="P1001" s="55"/>
      <c r="Q1001" s="55"/>
      <c r="R1001" s="55"/>
      <c r="S1001" s="55"/>
    </row>
    <row r="1002" spans="3:19" ht="13.5" customHeight="1">
      <c r="C1002" s="55"/>
      <c r="D1002" s="55"/>
      <c r="E1002" s="55"/>
      <c r="F1002" s="53"/>
      <c r="G1002" s="55"/>
      <c r="H1002" s="55"/>
      <c r="I1002" s="55"/>
      <c r="J1002" s="163"/>
      <c r="K1002" s="55"/>
      <c r="L1002" s="55"/>
      <c r="M1002" s="55"/>
      <c r="N1002" s="55"/>
      <c r="O1002" s="55"/>
      <c r="P1002" s="55"/>
      <c r="Q1002" s="55"/>
      <c r="R1002" s="55"/>
      <c r="S1002" s="55"/>
    </row>
    <row r="1003" spans="3:19" ht="13.5" customHeight="1">
      <c r="C1003" s="55"/>
      <c r="D1003" s="55"/>
      <c r="E1003" s="55"/>
      <c r="F1003" s="53"/>
      <c r="G1003" s="55"/>
      <c r="H1003" s="55"/>
      <c r="I1003" s="55"/>
      <c r="J1003" s="163"/>
      <c r="K1003" s="55"/>
      <c r="L1003" s="55"/>
      <c r="M1003" s="55"/>
      <c r="N1003" s="55"/>
      <c r="O1003" s="55"/>
      <c r="P1003" s="55"/>
      <c r="Q1003" s="55"/>
      <c r="R1003" s="55"/>
      <c r="S1003" s="55"/>
    </row>
    <row r="1004" spans="3:19" ht="13.5" customHeight="1">
      <c r="C1004" s="55"/>
      <c r="D1004" s="55"/>
      <c r="E1004" s="55"/>
      <c r="F1004" s="53"/>
      <c r="G1004" s="55"/>
      <c r="H1004" s="55"/>
      <c r="I1004" s="55"/>
      <c r="J1004" s="163"/>
      <c r="K1004" s="55"/>
      <c r="L1004" s="55"/>
      <c r="M1004" s="55"/>
      <c r="N1004" s="55"/>
      <c r="O1004" s="55"/>
      <c r="P1004" s="55"/>
      <c r="Q1004" s="55"/>
      <c r="R1004" s="55"/>
      <c r="S1004" s="55"/>
    </row>
    <row r="1005" spans="3:19" ht="13.5" customHeight="1">
      <c r="C1005" s="55"/>
      <c r="D1005" s="55"/>
      <c r="E1005" s="55"/>
      <c r="F1005" s="53"/>
      <c r="G1005" s="55"/>
      <c r="H1005" s="55"/>
      <c r="I1005" s="55"/>
      <c r="J1005" s="163"/>
      <c r="K1005" s="55"/>
      <c r="L1005" s="55"/>
      <c r="M1005" s="55"/>
      <c r="N1005" s="55"/>
      <c r="O1005" s="55"/>
      <c r="P1005" s="55"/>
      <c r="Q1005" s="55"/>
      <c r="R1005" s="55"/>
      <c r="S1005" s="55"/>
    </row>
    <row r="1006" spans="3:19" ht="13.5" customHeight="1">
      <c r="C1006" s="55"/>
      <c r="D1006" s="55"/>
      <c r="E1006" s="55"/>
      <c r="F1006" s="53"/>
      <c r="G1006" s="55"/>
      <c r="H1006" s="55"/>
      <c r="I1006" s="55"/>
      <c r="J1006" s="163"/>
      <c r="K1006" s="55"/>
      <c r="L1006" s="55"/>
      <c r="M1006" s="55"/>
      <c r="N1006" s="55"/>
      <c r="O1006" s="55"/>
      <c r="P1006" s="55"/>
      <c r="Q1006" s="55"/>
      <c r="R1006" s="55"/>
      <c r="S1006" s="55"/>
    </row>
    <row r="1007" spans="3:19" ht="13.5" customHeight="1">
      <c r="C1007" s="55"/>
      <c r="D1007" s="55"/>
      <c r="E1007" s="55"/>
      <c r="F1007" s="53"/>
      <c r="G1007" s="55"/>
      <c r="H1007" s="55"/>
      <c r="I1007" s="55"/>
      <c r="J1007" s="163"/>
      <c r="K1007" s="55"/>
      <c r="L1007" s="55"/>
      <c r="M1007" s="55"/>
      <c r="N1007" s="55"/>
      <c r="O1007" s="55"/>
      <c r="P1007" s="55"/>
      <c r="Q1007" s="55"/>
      <c r="R1007" s="55"/>
      <c r="S1007" s="55"/>
    </row>
    <row r="1008" spans="3:19" ht="13.5" customHeight="1">
      <c r="C1008" s="55"/>
      <c r="D1008" s="55"/>
      <c r="E1008" s="55"/>
      <c r="F1008" s="53"/>
      <c r="G1008" s="55"/>
      <c r="H1008" s="55"/>
      <c r="I1008" s="55"/>
      <c r="J1008" s="163"/>
      <c r="K1008" s="55"/>
      <c r="L1008" s="55"/>
      <c r="M1008" s="55"/>
      <c r="N1008" s="55"/>
      <c r="O1008" s="55"/>
      <c r="P1008" s="55"/>
      <c r="Q1008" s="55"/>
      <c r="R1008" s="55"/>
      <c r="S1008" s="55"/>
    </row>
    <row r="1009" spans="3:19" ht="13.5" customHeight="1">
      <c r="C1009" s="55"/>
      <c r="D1009" s="55"/>
      <c r="E1009" s="55"/>
      <c r="F1009" s="53"/>
      <c r="G1009" s="55"/>
      <c r="H1009" s="55"/>
      <c r="I1009" s="55"/>
      <c r="J1009" s="163"/>
      <c r="K1009" s="55"/>
      <c r="L1009" s="55"/>
      <c r="M1009" s="55"/>
      <c r="N1009" s="55"/>
      <c r="O1009" s="55"/>
      <c r="P1009" s="55"/>
      <c r="Q1009" s="55"/>
      <c r="R1009" s="55"/>
      <c r="S1009" s="55"/>
    </row>
    <row r="1010" spans="3:19" ht="13.5" customHeight="1">
      <c r="C1010" s="55"/>
      <c r="D1010" s="55"/>
      <c r="E1010" s="55"/>
      <c r="F1010" s="53"/>
      <c r="G1010" s="55"/>
      <c r="H1010" s="55"/>
      <c r="I1010" s="55"/>
      <c r="J1010" s="163"/>
      <c r="K1010" s="55"/>
      <c r="L1010" s="55"/>
      <c r="M1010" s="55"/>
      <c r="N1010" s="55"/>
      <c r="O1010" s="55"/>
      <c r="P1010" s="55"/>
      <c r="Q1010" s="55"/>
      <c r="R1010" s="55"/>
      <c r="S1010" s="55"/>
    </row>
    <row r="1011" spans="3:19" ht="13.5" customHeight="1">
      <c r="C1011" s="55"/>
      <c r="D1011" s="55"/>
      <c r="E1011" s="55"/>
      <c r="F1011" s="53"/>
      <c r="G1011" s="55"/>
      <c r="H1011" s="55"/>
      <c r="I1011" s="55"/>
      <c r="J1011" s="163"/>
      <c r="K1011" s="55"/>
      <c r="L1011" s="55"/>
      <c r="M1011" s="55"/>
      <c r="N1011" s="55"/>
      <c r="O1011" s="55"/>
      <c r="P1011" s="55"/>
      <c r="Q1011" s="55"/>
      <c r="R1011" s="55"/>
      <c r="S1011" s="55"/>
    </row>
    <row r="1012" spans="3:19" ht="13.5" customHeight="1">
      <c r="C1012" s="55"/>
      <c r="D1012" s="55"/>
      <c r="E1012" s="55"/>
      <c r="F1012" s="53"/>
      <c r="G1012" s="55"/>
      <c r="H1012" s="55"/>
      <c r="I1012" s="55"/>
      <c r="J1012" s="163"/>
      <c r="K1012" s="55"/>
      <c r="L1012" s="55"/>
      <c r="M1012" s="55"/>
      <c r="N1012" s="55"/>
      <c r="O1012" s="55"/>
      <c r="P1012" s="55"/>
      <c r="Q1012" s="55"/>
      <c r="R1012" s="55"/>
      <c r="S1012" s="55"/>
    </row>
    <row r="1013" spans="3:19" ht="13.5" customHeight="1">
      <c r="C1013" s="55"/>
      <c r="D1013" s="55"/>
      <c r="E1013" s="55"/>
      <c r="F1013" s="53"/>
      <c r="G1013" s="55"/>
      <c r="H1013" s="55"/>
      <c r="I1013" s="55"/>
      <c r="J1013" s="163"/>
      <c r="K1013" s="55"/>
      <c r="L1013" s="55"/>
      <c r="M1013" s="55"/>
      <c r="N1013" s="55"/>
      <c r="O1013" s="55"/>
      <c r="P1013" s="55"/>
      <c r="Q1013" s="55"/>
      <c r="R1013" s="55"/>
      <c r="S1013" s="55"/>
    </row>
    <row r="1014" spans="3:19" ht="13.5" customHeight="1">
      <c r="C1014" s="55"/>
      <c r="D1014" s="55"/>
      <c r="E1014" s="55"/>
      <c r="F1014" s="53"/>
      <c r="G1014" s="55"/>
      <c r="H1014" s="55"/>
      <c r="I1014" s="55"/>
      <c r="J1014" s="163"/>
      <c r="K1014" s="55"/>
      <c r="L1014" s="55"/>
      <c r="M1014" s="55"/>
      <c r="N1014" s="55"/>
      <c r="O1014" s="55"/>
      <c r="P1014" s="55"/>
      <c r="Q1014" s="55"/>
      <c r="R1014" s="55"/>
      <c r="S1014" s="55"/>
    </row>
    <row r="1015" spans="3:19" ht="13.5" customHeight="1">
      <c r="C1015" s="55"/>
      <c r="D1015" s="55"/>
      <c r="E1015" s="55"/>
      <c r="F1015" s="53"/>
      <c r="G1015" s="55"/>
      <c r="H1015" s="55"/>
      <c r="I1015" s="55"/>
      <c r="J1015" s="163"/>
      <c r="K1015" s="55"/>
      <c r="L1015" s="55"/>
      <c r="M1015" s="55"/>
      <c r="N1015" s="55"/>
      <c r="O1015" s="55"/>
      <c r="P1015" s="55"/>
      <c r="Q1015" s="55"/>
      <c r="R1015" s="55"/>
      <c r="S1015" s="55"/>
    </row>
    <row r="1016" spans="3:19" ht="13.5" customHeight="1">
      <c r="C1016" s="55"/>
      <c r="D1016" s="55"/>
      <c r="E1016" s="55"/>
      <c r="F1016" s="53"/>
      <c r="G1016" s="55"/>
      <c r="H1016" s="55"/>
      <c r="I1016" s="55"/>
      <c r="J1016" s="163"/>
      <c r="K1016" s="55"/>
      <c r="L1016" s="55"/>
      <c r="M1016" s="55"/>
      <c r="N1016" s="55"/>
      <c r="O1016" s="55"/>
      <c r="P1016" s="55"/>
      <c r="Q1016" s="55"/>
      <c r="R1016" s="55"/>
      <c r="S1016" s="55"/>
    </row>
    <row r="1017" spans="3:19" ht="13.5" customHeight="1">
      <c r="C1017" s="55"/>
      <c r="D1017" s="55"/>
      <c r="E1017" s="55"/>
      <c r="F1017" s="53"/>
      <c r="G1017" s="55"/>
      <c r="H1017" s="55"/>
      <c r="I1017" s="55"/>
      <c r="J1017" s="163"/>
      <c r="K1017" s="55"/>
      <c r="L1017" s="55"/>
      <c r="M1017" s="55"/>
      <c r="N1017" s="55"/>
      <c r="O1017" s="55"/>
      <c r="P1017" s="55"/>
      <c r="Q1017" s="55"/>
      <c r="R1017" s="55"/>
      <c r="S1017" s="55"/>
    </row>
    <row r="1018" spans="3:19" ht="13.5" customHeight="1">
      <c r="C1018" s="55"/>
      <c r="D1018" s="55"/>
      <c r="E1018" s="55"/>
      <c r="F1018" s="53"/>
      <c r="G1018" s="55"/>
      <c r="H1018" s="55"/>
      <c r="I1018" s="55"/>
      <c r="J1018" s="163"/>
      <c r="K1018" s="55"/>
      <c r="L1018" s="55"/>
      <c r="M1018" s="55"/>
      <c r="N1018" s="55"/>
      <c r="O1018" s="55"/>
      <c r="P1018" s="55"/>
      <c r="Q1018" s="55"/>
      <c r="R1018" s="55"/>
      <c r="S1018" s="55"/>
    </row>
    <row r="1019" spans="3:19" ht="13.5" customHeight="1">
      <c r="C1019" s="55"/>
      <c r="D1019" s="55"/>
      <c r="E1019" s="55"/>
      <c r="F1019" s="53"/>
      <c r="G1019" s="55"/>
      <c r="H1019" s="55"/>
      <c r="I1019" s="55"/>
      <c r="J1019" s="163"/>
      <c r="K1019" s="55"/>
      <c r="L1019" s="55"/>
      <c r="M1019" s="55"/>
      <c r="N1019" s="55"/>
      <c r="O1019" s="55"/>
      <c r="P1019" s="55"/>
      <c r="Q1019" s="55"/>
      <c r="R1019" s="55"/>
      <c r="S1019" s="55"/>
    </row>
    <row r="1020" spans="3:19" ht="13.5" customHeight="1">
      <c r="C1020" s="55"/>
      <c r="D1020" s="55"/>
      <c r="E1020" s="55"/>
      <c r="F1020" s="53"/>
      <c r="G1020" s="55"/>
      <c r="H1020" s="55"/>
      <c r="I1020" s="55"/>
      <c r="J1020" s="163"/>
      <c r="K1020" s="55"/>
      <c r="L1020" s="55"/>
      <c r="M1020" s="55"/>
      <c r="N1020" s="55"/>
      <c r="O1020" s="55"/>
      <c r="P1020" s="55"/>
      <c r="Q1020" s="55"/>
      <c r="R1020" s="55"/>
      <c r="S1020" s="55"/>
    </row>
    <row r="1021" spans="3:19" ht="13.5" customHeight="1">
      <c r="C1021" s="55"/>
      <c r="D1021" s="55"/>
      <c r="E1021" s="55"/>
      <c r="F1021" s="53"/>
      <c r="G1021" s="55"/>
      <c r="H1021" s="55"/>
      <c r="I1021" s="55"/>
      <c r="J1021" s="163"/>
      <c r="K1021" s="55"/>
      <c r="L1021" s="55"/>
      <c r="M1021" s="55"/>
      <c r="N1021" s="55"/>
      <c r="O1021" s="55"/>
      <c r="P1021" s="55"/>
      <c r="Q1021" s="55"/>
      <c r="R1021" s="55"/>
      <c r="S1021" s="55"/>
    </row>
    <row r="1022" spans="3:19" ht="13.5" customHeight="1">
      <c r="C1022" s="55"/>
      <c r="D1022" s="55"/>
      <c r="E1022" s="55"/>
      <c r="F1022" s="53"/>
      <c r="G1022" s="55"/>
      <c r="H1022" s="55"/>
      <c r="I1022" s="55"/>
      <c r="J1022" s="163"/>
      <c r="K1022" s="55"/>
      <c r="L1022" s="55"/>
      <c r="M1022" s="55"/>
      <c r="N1022" s="55"/>
      <c r="O1022" s="55"/>
      <c r="P1022" s="55"/>
      <c r="Q1022" s="55"/>
      <c r="R1022" s="55"/>
      <c r="S1022" s="55"/>
    </row>
    <row r="1023" spans="3:19" ht="13.5" customHeight="1">
      <c r="C1023" s="55"/>
      <c r="D1023" s="55"/>
      <c r="E1023" s="55"/>
      <c r="F1023" s="53"/>
      <c r="G1023" s="55"/>
      <c r="H1023" s="55"/>
      <c r="I1023" s="55"/>
      <c r="J1023" s="163"/>
      <c r="K1023" s="55"/>
      <c r="L1023" s="55"/>
      <c r="M1023" s="55"/>
      <c r="N1023" s="55"/>
      <c r="O1023" s="55"/>
      <c r="P1023" s="55"/>
      <c r="Q1023" s="55"/>
      <c r="R1023" s="55"/>
      <c r="S1023" s="55"/>
    </row>
    <row r="1024" spans="3:19" ht="13.5" customHeight="1">
      <c r="C1024" s="55"/>
      <c r="D1024" s="55"/>
      <c r="E1024" s="55"/>
      <c r="F1024" s="53"/>
      <c r="G1024" s="55"/>
      <c r="H1024" s="55"/>
      <c r="I1024" s="55"/>
      <c r="J1024" s="163"/>
      <c r="K1024" s="55"/>
      <c r="L1024" s="55"/>
      <c r="M1024" s="55"/>
      <c r="N1024" s="55"/>
      <c r="O1024" s="55"/>
      <c r="P1024" s="55"/>
      <c r="Q1024" s="55"/>
      <c r="R1024" s="55"/>
      <c r="S1024" s="55"/>
    </row>
    <row r="1025" spans="3:19" ht="13.5" customHeight="1">
      <c r="C1025" s="55"/>
      <c r="D1025" s="55"/>
      <c r="E1025" s="55"/>
      <c r="F1025" s="53"/>
      <c r="G1025" s="55"/>
      <c r="H1025" s="55"/>
      <c r="I1025" s="55"/>
      <c r="J1025" s="163"/>
      <c r="K1025" s="55"/>
      <c r="L1025" s="55"/>
      <c r="M1025" s="55"/>
      <c r="N1025" s="55"/>
      <c r="O1025" s="55"/>
      <c r="P1025" s="55"/>
      <c r="Q1025" s="55"/>
      <c r="R1025" s="55"/>
      <c r="S1025" s="55"/>
    </row>
    <row r="1026" spans="3:19" ht="13.5" customHeight="1">
      <c r="C1026" s="55"/>
      <c r="D1026" s="55"/>
      <c r="E1026" s="55"/>
      <c r="F1026" s="53"/>
      <c r="G1026" s="55"/>
      <c r="H1026" s="55"/>
      <c r="I1026" s="55"/>
      <c r="J1026" s="163"/>
      <c r="K1026" s="55"/>
      <c r="L1026" s="55"/>
      <c r="M1026" s="55"/>
      <c r="N1026" s="55"/>
      <c r="O1026" s="55"/>
      <c r="P1026" s="55"/>
      <c r="Q1026" s="55"/>
      <c r="R1026" s="55"/>
      <c r="S1026" s="55"/>
    </row>
    <row r="1027" spans="3:19" ht="13.5" customHeight="1">
      <c r="C1027" s="55"/>
      <c r="D1027" s="55"/>
      <c r="E1027" s="55"/>
      <c r="F1027" s="53"/>
      <c r="G1027" s="55"/>
      <c r="H1027" s="55"/>
      <c r="I1027" s="55"/>
      <c r="J1027" s="163"/>
      <c r="K1027" s="55"/>
      <c r="L1027" s="55"/>
      <c r="M1027" s="55"/>
      <c r="N1027" s="55"/>
      <c r="O1027" s="55"/>
      <c r="P1027" s="55"/>
      <c r="Q1027" s="55"/>
      <c r="R1027" s="55"/>
      <c r="S1027" s="55"/>
    </row>
    <row r="1028" spans="3:19" ht="13.5" customHeight="1">
      <c r="C1028" s="55"/>
      <c r="D1028" s="55"/>
      <c r="E1028" s="55"/>
      <c r="F1028" s="53"/>
      <c r="G1028" s="55"/>
      <c r="H1028" s="55"/>
      <c r="I1028" s="55"/>
      <c r="J1028" s="163"/>
      <c r="K1028" s="55"/>
      <c r="L1028" s="55"/>
      <c r="M1028" s="55"/>
      <c r="N1028" s="55"/>
      <c r="O1028" s="55"/>
      <c r="P1028" s="55"/>
      <c r="Q1028" s="55"/>
      <c r="R1028" s="55"/>
      <c r="S1028" s="55"/>
    </row>
    <row r="1029" spans="3:19" ht="13.5" customHeight="1">
      <c r="C1029" s="55"/>
      <c r="D1029" s="55"/>
      <c r="E1029" s="55"/>
      <c r="F1029" s="53"/>
      <c r="G1029" s="55"/>
      <c r="H1029" s="55"/>
      <c r="I1029" s="55"/>
      <c r="J1029" s="163"/>
      <c r="K1029" s="55"/>
      <c r="L1029" s="55"/>
      <c r="M1029" s="55"/>
      <c r="N1029" s="55"/>
      <c r="O1029" s="55"/>
      <c r="P1029" s="55"/>
      <c r="Q1029" s="55"/>
      <c r="R1029" s="55"/>
      <c r="S1029" s="55"/>
    </row>
    <row r="1030" spans="3:19" ht="13.5" customHeight="1">
      <c r="C1030" s="55"/>
      <c r="D1030" s="55"/>
      <c r="E1030" s="55"/>
      <c r="F1030" s="53"/>
      <c r="G1030" s="55"/>
      <c r="H1030" s="55"/>
      <c r="I1030" s="55"/>
      <c r="J1030" s="163"/>
      <c r="K1030" s="55"/>
      <c r="L1030" s="55"/>
      <c r="M1030" s="55"/>
      <c r="N1030" s="55"/>
      <c r="O1030" s="55"/>
      <c r="P1030" s="55"/>
      <c r="Q1030" s="55"/>
      <c r="R1030" s="55"/>
      <c r="S1030" s="55"/>
    </row>
    <row r="1031" spans="3:19" ht="13.5" customHeight="1">
      <c r="C1031" s="55"/>
      <c r="D1031" s="55"/>
      <c r="E1031" s="55"/>
      <c r="F1031" s="53"/>
      <c r="G1031" s="55"/>
      <c r="H1031" s="55"/>
      <c r="I1031" s="55"/>
      <c r="J1031" s="163"/>
      <c r="K1031" s="55"/>
      <c r="L1031" s="55"/>
      <c r="M1031" s="55"/>
      <c r="N1031" s="55"/>
      <c r="O1031" s="55"/>
      <c r="P1031" s="55"/>
      <c r="Q1031" s="55"/>
      <c r="R1031" s="55"/>
      <c r="S1031" s="55"/>
    </row>
    <row r="1032" spans="3:19" ht="13.5" customHeight="1">
      <c r="C1032" s="55"/>
      <c r="D1032" s="55"/>
      <c r="E1032" s="55"/>
      <c r="F1032" s="53"/>
      <c r="G1032" s="55"/>
      <c r="H1032" s="55"/>
      <c r="I1032" s="55"/>
      <c r="J1032" s="163"/>
      <c r="K1032" s="55"/>
      <c r="L1032" s="55"/>
      <c r="M1032" s="55"/>
      <c r="N1032" s="55"/>
      <c r="O1032" s="55"/>
      <c r="P1032" s="55"/>
      <c r="Q1032" s="55"/>
      <c r="R1032" s="55"/>
      <c r="S1032" s="55"/>
    </row>
    <row r="1033" spans="3:19" ht="13.5" customHeight="1">
      <c r="C1033" s="55"/>
      <c r="D1033" s="55"/>
      <c r="E1033" s="55"/>
      <c r="F1033" s="53"/>
      <c r="G1033" s="55"/>
      <c r="H1033" s="55"/>
      <c r="I1033" s="55"/>
      <c r="J1033" s="163"/>
      <c r="K1033" s="55"/>
      <c r="L1033" s="55"/>
      <c r="M1033" s="55"/>
      <c r="N1033" s="55"/>
      <c r="O1033" s="55"/>
      <c r="P1033" s="55"/>
      <c r="Q1033" s="55"/>
      <c r="R1033" s="55"/>
      <c r="S1033" s="55"/>
    </row>
    <row r="1034" spans="3:19" ht="13.5" customHeight="1">
      <c r="C1034" s="55"/>
      <c r="D1034" s="55"/>
      <c r="E1034" s="55"/>
      <c r="F1034" s="53"/>
      <c r="G1034" s="55"/>
      <c r="H1034" s="55"/>
      <c r="I1034" s="55"/>
      <c r="J1034" s="163"/>
      <c r="K1034" s="55"/>
      <c r="L1034" s="55"/>
      <c r="M1034" s="55"/>
      <c r="N1034" s="55"/>
      <c r="O1034" s="55"/>
      <c r="P1034" s="55"/>
      <c r="Q1034" s="55"/>
      <c r="R1034" s="55"/>
      <c r="S1034" s="55"/>
    </row>
    <row r="1035" spans="3:19" ht="13.5" customHeight="1">
      <c r="C1035" s="55"/>
      <c r="D1035" s="55"/>
      <c r="E1035" s="55"/>
      <c r="F1035" s="53"/>
      <c r="G1035" s="55"/>
      <c r="H1035" s="55"/>
      <c r="I1035" s="55"/>
      <c r="J1035" s="163"/>
      <c r="K1035" s="55"/>
      <c r="L1035" s="55"/>
      <c r="M1035" s="55"/>
      <c r="N1035" s="55"/>
      <c r="O1035" s="55"/>
      <c r="P1035" s="55"/>
      <c r="Q1035" s="55"/>
      <c r="R1035" s="55"/>
      <c r="S1035" s="55"/>
    </row>
    <row r="1036" spans="3:19" ht="13.5" customHeight="1">
      <c r="C1036" s="55"/>
      <c r="D1036" s="55"/>
      <c r="E1036" s="55"/>
      <c r="F1036" s="53"/>
      <c r="G1036" s="55"/>
      <c r="H1036" s="55"/>
      <c r="I1036" s="55"/>
      <c r="J1036" s="163"/>
      <c r="K1036" s="55"/>
      <c r="L1036" s="55"/>
      <c r="M1036" s="55"/>
      <c r="N1036" s="55"/>
      <c r="O1036" s="55"/>
      <c r="P1036" s="55"/>
      <c r="Q1036" s="55"/>
      <c r="R1036" s="55"/>
      <c r="S1036" s="55"/>
    </row>
    <row r="1037" spans="3:19" ht="13.5" customHeight="1">
      <c r="C1037" s="55"/>
      <c r="D1037" s="55"/>
      <c r="E1037" s="55"/>
      <c r="F1037" s="53"/>
      <c r="G1037" s="55"/>
      <c r="H1037" s="55"/>
      <c r="I1037" s="55"/>
      <c r="J1037" s="163"/>
      <c r="K1037" s="55"/>
      <c r="L1037" s="55"/>
      <c r="M1037" s="55"/>
      <c r="N1037" s="55"/>
      <c r="O1037" s="55"/>
      <c r="P1037" s="55"/>
      <c r="Q1037" s="55"/>
      <c r="R1037" s="55"/>
      <c r="S1037" s="55"/>
    </row>
    <row r="1038" spans="3:19" ht="13.5" customHeight="1">
      <c r="C1038" s="55"/>
      <c r="D1038" s="55"/>
      <c r="E1038" s="55"/>
      <c r="F1038" s="53"/>
      <c r="G1038" s="55"/>
      <c r="H1038" s="55"/>
      <c r="I1038" s="55"/>
      <c r="J1038" s="163"/>
      <c r="K1038" s="55"/>
      <c r="L1038" s="55"/>
      <c r="M1038" s="55"/>
      <c r="N1038" s="55"/>
      <c r="O1038" s="55"/>
      <c r="P1038" s="55"/>
      <c r="Q1038" s="55"/>
      <c r="R1038" s="55"/>
      <c r="S1038" s="55"/>
    </row>
    <row r="1039" spans="3:19" ht="13.5" customHeight="1">
      <c r="C1039" s="55"/>
      <c r="D1039" s="55"/>
      <c r="E1039" s="55"/>
      <c r="F1039" s="53"/>
      <c r="G1039" s="55"/>
      <c r="H1039" s="55"/>
      <c r="I1039" s="55"/>
      <c r="J1039" s="163"/>
      <c r="K1039" s="55"/>
      <c r="L1039" s="55"/>
      <c r="M1039" s="55"/>
      <c r="N1039" s="55"/>
      <c r="O1039" s="55"/>
      <c r="P1039" s="55"/>
      <c r="Q1039" s="55"/>
      <c r="R1039" s="55"/>
      <c r="S1039" s="55"/>
    </row>
    <row r="1040" spans="3:19" ht="13.5" customHeight="1">
      <c r="C1040" s="55"/>
      <c r="D1040" s="55"/>
      <c r="E1040" s="55"/>
      <c r="F1040" s="53"/>
      <c r="G1040" s="55"/>
      <c r="H1040" s="55"/>
      <c r="I1040" s="55"/>
      <c r="J1040" s="163"/>
      <c r="K1040" s="55"/>
      <c r="L1040" s="55"/>
      <c r="M1040" s="55"/>
      <c r="N1040" s="55"/>
      <c r="O1040" s="55"/>
      <c r="P1040" s="55"/>
      <c r="Q1040" s="55"/>
      <c r="R1040" s="55"/>
      <c r="S1040" s="55"/>
    </row>
    <row r="1041" spans="3:19" ht="13.5" customHeight="1">
      <c r="C1041" s="55"/>
      <c r="D1041" s="55"/>
      <c r="E1041" s="55"/>
      <c r="F1041" s="53"/>
      <c r="G1041" s="55"/>
      <c r="H1041" s="55"/>
      <c r="I1041" s="55"/>
      <c r="J1041" s="163"/>
      <c r="K1041" s="55"/>
      <c r="L1041" s="55"/>
      <c r="M1041" s="55"/>
      <c r="N1041" s="55"/>
      <c r="O1041" s="55"/>
      <c r="P1041" s="55"/>
      <c r="Q1041" s="55"/>
      <c r="R1041" s="55"/>
      <c r="S1041" s="55"/>
    </row>
    <row r="1042" spans="3:19" ht="13.5" customHeight="1">
      <c r="C1042" s="55"/>
      <c r="D1042" s="55"/>
      <c r="E1042" s="55"/>
      <c r="F1042" s="53"/>
      <c r="G1042" s="55"/>
      <c r="H1042" s="55"/>
      <c r="I1042" s="55"/>
      <c r="J1042" s="163"/>
      <c r="K1042" s="55"/>
      <c r="L1042" s="55"/>
      <c r="M1042" s="55"/>
      <c r="N1042" s="55"/>
      <c r="O1042" s="55"/>
      <c r="P1042" s="55"/>
      <c r="Q1042" s="55"/>
      <c r="R1042" s="55"/>
      <c r="S1042" s="55"/>
    </row>
    <row r="1043" spans="3:19" ht="13.5" customHeight="1">
      <c r="C1043" s="55"/>
      <c r="D1043" s="55"/>
      <c r="E1043" s="55"/>
      <c r="F1043" s="53"/>
      <c r="G1043" s="55"/>
      <c r="H1043" s="55"/>
      <c r="I1043" s="55"/>
      <c r="J1043" s="163"/>
      <c r="K1043" s="55"/>
      <c r="L1043" s="55"/>
      <c r="M1043" s="55"/>
      <c r="N1043" s="55"/>
      <c r="O1043" s="55"/>
      <c r="P1043" s="55"/>
      <c r="Q1043" s="55"/>
      <c r="R1043" s="55"/>
      <c r="S1043" s="55"/>
    </row>
    <row r="1044" spans="3:19" ht="13.5" customHeight="1">
      <c r="C1044" s="55"/>
      <c r="D1044" s="55"/>
      <c r="E1044" s="55"/>
      <c r="F1044" s="53"/>
      <c r="G1044" s="55"/>
      <c r="H1044" s="55"/>
      <c r="I1044" s="55"/>
      <c r="J1044" s="163"/>
      <c r="K1044" s="55"/>
      <c r="L1044" s="55"/>
      <c r="M1044" s="55"/>
      <c r="N1044" s="55"/>
      <c r="O1044" s="55"/>
      <c r="P1044" s="55"/>
      <c r="Q1044" s="55"/>
      <c r="R1044" s="55"/>
      <c r="S1044" s="55"/>
    </row>
    <row r="1045" spans="3:19" ht="13.5" customHeight="1">
      <c r="C1045" s="55"/>
      <c r="D1045" s="55"/>
      <c r="E1045" s="55"/>
      <c r="F1045" s="53"/>
      <c r="G1045" s="55"/>
      <c r="H1045" s="55"/>
      <c r="I1045" s="55"/>
      <c r="J1045" s="163"/>
      <c r="K1045" s="55"/>
      <c r="L1045" s="55"/>
      <c r="M1045" s="55"/>
      <c r="N1045" s="55"/>
      <c r="O1045" s="55"/>
      <c r="P1045" s="55"/>
      <c r="Q1045" s="55"/>
      <c r="R1045" s="55"/>
      <c r="S1045" s="55"/>
    </row>
    <row r="1046" spans="3:19" ht="13.5" customHeight="1">
      <c r="C1046" s="55"/>
      <c r="D1046" s="55"/>
      <c r="E1046" s="55"/>
      <c r="F1046" s="53"/>
      <c r="G1046" s="55"/>
      <c r="H1046" s="55"/>
      <c r="I1046" s="55"/>
      <c r="J1046" s="163"/>
      <c r="K1046" s="55"/>
      <c r="L1046" s="55"/>
      <c r="M1046" s="55"/>
      <c r="N1046" s="55"/>
      <c r="O1046" s="55"/>
      <c r="P1046" s="55"/>
      <c r="Q1046" s="55"/>
      <c r="R1046" s="55"/>
      <c r="S1046" s="55"/>
    </row>
    <row r="1047" spans="3:19" ht="13.5" customHeight="1">
      <c r="C1047" s="55"/>
      <c r="D1047" s="55"/>
      <c r="E1047" s="55"/>
      <c r="F1047" s="53"/>
      <c r="G1047" s="55"/>
      <c r="H1047" s="55"/>
      <c r="I1047" s="55"/>
      <c r="J1047" s="163"/>
      <c r="K1047" s="55"/>
      <c r="L1047" s="55"/>
      <c r="M1047" s="55"/>
      <c r="N1047" s="55"/>
      <c r="O1047" s="55"/>
      <c r="P1047" s="55"/>
      <c r="Q1047" s="55"/>
      <c r="R1047" s="55"/>
      <c r="S1047" s="55"/>
    </row>
    <row r="1048" spans="3:19" ht="13.5" customHeight="1">
      <c r="C1048" s="55"/>
      <c r="D1048" s="55"/>
      <c r="E1048" s="55"/>
      <c r="F1048" s="53"/>
      <c r="G1048" s="55"/>
      <c r="H1048" s="55"/>
      <c r="I1048" s="55"/>
      <c r="J1048" s="163"/>
      <c r="K1048" s="55"/>
      <c r="L1048" s="55"/>
      <c r="M1048" s="55"/>
      <c r="N1048" s="55"/>
      <c r="O1048" s="55"/>
      <c r="P1048" s="55"/>
      <c r="Q1048" s="55"/>
      <c r="R1048" s="55"/>
      <c r="S1048" s="55"/>
    </row>
    <row r="1049" spans="3:19" ht="13.5" customHeight="1">
      <c r="C1049" s="55"/>
      <c r="D1049" s="55"/>
      <c r="E1049" s="55"/>
      <c r="F1049" s="53"/>
      <c r="G1049" s="55"/>
      <c r="H1049" s="55"/>
      <c r="I1049" s="55"/>
      <c r="J1049" s="163"/>
      <c r="K1049" s="55"/>
      <c r="L1049" s="55"/>
      <c r="M1049" s="55"/>
      <c r="N1049" s="55"/>
      <c r="O1049" s="55"/>
      <c r="P1049" s="55"/>
      <c r="Q1049" s="55"/>
      <c r="R1049" s="55"/>
      <c r="S1049" s="55"/>
    </row>
    <row r="1050" spans="3:19" ht="13.5" customHeight="1">
      <c r="C1050" s="55"/>
      <c r="D1050" s="55"/>
      <c r="E1050" s="55"/>
      <c r="F1050" s="53"/>
      <c r="G1050" s="55"/>
      <c r="H1050" s="55"/>
      <c r="I1050" s="55"/>
      <c r="J1050" s="163"/>
      <c r="K1050" s="55"/>
      <c r="L1050" s="55"/>
      <c r="M1050" s="55"/>
      <c r="N1050" s="55"/>
      <c r="O1050" s="55"/>
      <c r="P1050" s="55"/>
      <c r="Q1050" s="55"/>
      <c r="R1050" s="55"/>
      <c r="S1050" s="55"/>
    </row>
    <row r="1051" spans="3:19" ht="13.5" customHeight="1">
      <c r="C1051" s="55"/>
      <c r="D1051" s="55"/>
      <c r="E1051" s="55"/>
      <c r="F1051" s="53"/>
      <c r="G1051" s="55"/>
      <c r="H1051" s="55"/>
      <c r="I1051" s="55"/>
      <c r="J1051" s="163"/>
      <c r="K1051" s="55"/>
      <c r="L1051" s="55"/>
      <c r="M1051" s="55"/>
      <c r="N1051" s="55"/>
      <c r="O1051" s="55"/>
      <c r="P1051" s="55"/>
      <c r="Q1051" s="55"/>
      <c r="R1051" s="55"/>
      <c r="S1051" s="55"/>
    </row>
    <row r="1052" spans="3:19" ht="13.5" customHeight="1">
      <c r="C1052" s="55"/>
      <c r="D1052" s="55"/>
      <c r="E1052" s="55"/>
      <c r="F1052" s="53"/>
      <c r="G1052" s="55"/>
      <c r="H1052" s="55"/>
      <c r="I1052" s="55"/>
      <c r="J1052" s="163"/>
      <c r="K1052" s="55"/>
      <c r="L1052" s="55"/>
      <c r="M1052" s="55"/>
      <c r="N1052" s="55"/>
      <c r="O1052" s="55"/>
      <c r="P1052" s="55"/>
      <c r="Q1052" s="55"/>
      <c r="R1052" s="55"/>
      <c r="S1052" s="55"/>
    </row>
    <row r="1053" spans="3:19" ht="13.5" customHeight="1">
      <c r="C1053" s="55"/>
      <c r="D1053" s="55"/>
      <c r="E1053" s="55"/>
      <c r="F1053" s="53"/>
      <c r="G1053" s="55"/>
      <c r="H1053" s="55"/>
      <c r="I1053" s="55"/>
      <c r="J1053" s="163"/>
      <c r="K1053" s="55"/>
      <c r="L1053" s="55"/>
      <c r="M1053" s="55"/>
      <c r="N1053" s="55"/>
      <c r="O1053" s="55"/>
      <c r="P1053" s="55"/>
      <c r="Q1053" s="55"/>
      <c r="R1053" s="55"/>
      <c r="S1053" s="55"/>
    </row>
    <row r="1054" spans="3:19" ht="13.5" customHeight="1">
      <c r="C1054" s="55"/>
      <c r="D1054" s="55"/>
      <c r="E1054" s="55"/>
      <c r="F1054" s="53"/>
      <c r="G1054" s="55"/>
      <c r="H1054" s="55"/>
      <c r="I1054" s="55"/>
      <c r="J1054" s="163"/>
      <c r="K1054" s="55"/>
      <c r="L1054" s="55"/>
      <c r="M1054" s="55"/>
      <c r="N1054" s="55"/>
      <c r="O1054" s="55"/>
      <c r="P1054" s="55"/>
      <c r="Q1054" s="55"/>
      <c r="R1054" s="55"/>
      <c r="S1054" s="55"/>
    </row>
    <row r="1055" spans="3:19" ht="13.5" customHeight="1">
      <c r="C1055" s="55"/>
      <c r="D1055" s="55"/>
      <c r="E1055" s="55"/>
      <c r="F1055" s="53"/>
      <c r="G1055" s="55"/>
      <c r="H1055" s="55"/>
      <c r="I1055" s="55"/>
      <c r="J1055" s="163"/>
      <c r="K1055" s="55"/>
      <c r="L1055" s="55"/>
      <c r="M1055" s="55"/>
      <c r="N1055" s="55"/>
      <c r="O1055" s="55"/>
      <c r="P1055" s="55"/>
      <c r="Q1055" s="55"/>
      <c r="R1055" s="55"/>
      <c r="S1055" s="55"/>
    </row>
    <row r="1056" spans="3:19" ht="13.5" customHeight="1">
      <c r="C1056" s="55"/>
      <c r="D1056" s="55"/>
      <c r="E1056" s="55"/>
      <c r="F1056" s="53"/>
      <c r="G1056" s="55"/>
      <c r="H1056" s="55"/>
      <c r="I1056" s="55"/>
      <c r="J1056" s="163"/>
      <c r="K1056" s="55"/>
      <c r="L1056" s="55"/>
      <c r="M1056" s="55"/>
      <c r="N1056" s="55"/>
      <c r="O1056" s="55"/>
      <c r="P1056" s="55"/>
      <c r="Q1056" s="55"/>
      <c r="R1056" s="55"/>
      <c r="S1056" s="55"/>
    </row>
    <row r="1057" spans="3:19" ht="13.5" customHeight="1">
      <c r="C1057" s="55"/>
      <c r="D1057" s="55"/>
      <c r="E1057" s="55"/>
      <c r="F1057" s="53"/>
      <c r="G1057" s="55"/>
      <c r="H1057" s="55"/>
      <c r="I1057" s="55"/>
      <c r="J1057" s="163"/>
      <c r="K1057" s="55"/>
      <c r="L1057" s="55"/>
      <c r="M1057" s="55"/>
      <c r="N1057" s="55"/>
      <c r="O1057" s="55"/>
      <c r="P1057" s="55"/>
      <c r="Q1057" s="55"/>
      <c r="R1057" s="55"/>
      <c r="S1057" s="55"/>
    </row>
    <row r="1058" spans="3:19" ht="13.5" customHeight="1">
      <c r="C1058" s="55"/>
      <c r="D1058" s="55"/>
      <c r="E1058" s="55"/>
      <c r="F1058" s="53"/>
      <c r="G1058" s="55"/>
      <c r="H1058" s="55"/>
      <c r="I1058" s="55"/>
      <c r="J1058" s="163"/>
      <c r="K1058" s="55"/>
      <c r="L1058" s="55"/>
      <c r="M1058" s="55"/>
      <c r="N1058" s="55"/>
      <c r="O1058" s="55"/>
      <c r="P1058" s="55"/>
      <c r="Q1058" s="55"/>
      <c r="R1058" s="55"/>
      <c r="S1058" s="55"/>
    </row>
    <row r="1059" spans="3:19" ht="13.5" customHeight="1">
      <c r="C1059" s="55"/>
      <c r="D1059" s="55"/>
      <c r="E1059" s="55"/>
      <c r="F1059" s="53"/>
      <c r="G1059" s="55"/>
      <c r="H1059" s="55"/>
      <c r="I1059" s="55"/>
      <c r="J1059" s="163"/>
      <c r="K1059" s="55"/>
      <c r="L1059" s="55"/>
      <c r="M1059" s="55"/>
      <c r="N1059" s="55"/>
      <c r="O1059" s="55"/>
      <c r="P1059" s="55"/>
      <c r="Q1059" s="55"/>
      <c r="R1059" s="55"/>
      <c r="S1059" s="55"/>
    </row>
    <row r="1060" spans="3:19" ht="13.5" customHeight="1">
      <c r="C1060" s="55"/>
      <c r="D1060" s="55"/>
      <c r="E1060" s="55"/>
      <c r="F1060" s="53"/>
      <c r="G1060" s="55"/>
      <c r="H1060" s="55"/>
      <c r="I1060" s="55"/>
      <c r="J1060" s="163"/>
      <c r="K1060" s="55"/>
      <c r="L1060" s="55"/>
      <c r="M1060" s="55"/>
      <c r="N1060" s="55"/>
      <c r="O1060" s="55"/>
      <c r="P1060" s="55"/>
      <c r="Q1060" s="55"/>
      <c r="R1060" s="55"/>
      <c r="S1060" s="55"/>
    </row>
    <row r="1061" spans="3:19" ht="13.5" customHeight="1">
      <c r="C1061" s="55"/>
      <c r="D1061" s="55"/>
      <c r="E1061" s="55"/>
      <c r="F1061" s="53"/>
      <c r="G1061" s="55"/>
      <c r="H1061" s="55"/>
      <c r="I1061" s="55"/>
      <c r="J1061" s="163"/>
      <c r="K1061" s="55"/>
      <c r="L1061" s="55"/>
      <c r="M1061" s="55"/>
      <c r="N1061" s="55"/>
      <c r="O1061" s="55"/>
      <c r="P1061" s="55"/>
      <c r="Q1061" s="55"/>
      <c r="R1061" s="55"/>
      <c r="S1061" s="55"/>
    </row>
    <row r="1062" spans="3:19" ht="13.5" customHeight="1">
      <c r="C1062" s="55"/>
      <c r="D1062" s="55"/>
      <c r="E1062" s="55"/>
      <c r="F1062" s="53"/>
      <c r="G1062" s="55"/>
      <c r="H1062" s="55"/>
      <c r="I1062" s="55"/>
      <c r="J1062" s="163"/>
      <c r="K1062" s="55"/>
      <c r="L1062" s="55"/>
      <c r="M1062" s="55"/>
      <c r="N1062" s="55"/>
      <c r="O1062" s="55"/>
      <c r="P1062" s="55"/>
      <c r="Q1062" s="55"/>
      <c r="R1062" s="55"/>
      <c r="S1062" s="55"/>
    </row>
    <row r="1063" spans="3:19" ht="13.5" customHeight="1">
      <c r="C1063" s="55"/>
      <c r="D1063" s="55"/>
      <c r="E1063" s="55"/>
      <c r="F1063" s="53"/>
      <c r="G1063" s="55"/>
      <c r="H1063" s="55"/>
      <c r="I1063" s="55"/>
      <c r="J1063" s="163"/>
      <c r="K1063" s="55"/>
      <c r="L1063" s="55"/>
      <c r="M1063" s="55"/>
      <c r="N1063" s="55"/>
      <c r="O1063" s="55"/>
      <c r="P1063" s="55"/>
      <c r="Q1063" s="55"/>
      <c r="R1063" s="55"/>
      <c r="S1063" s="55"/>
    </row>
    <row r="1064" spans="3:19" ht="13.5" customHeight="1">
      <c r="C1064" s="55"/>
      <c r="D1064" s="55"/>
      <c r="E1064" s="55"/>
      <c r="F1064" s="53"/>
      <c r="G1064" s="55"/>
      <c r="H1064" s="55"/>
      <c r="I1064" s="55"/>
      <c r="J1064" s="163"/>
      <c r="K1064" s="55"/>
      <c r="L1064" s="55"/>
      <c r="M1064" s="55"/>
      <c r="N1064" s="55"/>
      <c r="O1064" s="55"/>
      <c r="P1064" s="55"/>
      <c r="Q1064" s="55"/>
      <c r="R1064" s="55"/>
      <c r="S1064" s="55"/>
    </row>
    <row r="1065" spans="3:19" ht="13.5" customHeight="1">
      <c r="C1065" s="55"/>
      <c r="D1065" s="55"/>
      <c r="E1065" s="55"/>
      <c r="F1065" s="53"/>
      <c r="G1065" s="55"/>
      <c r="H1065" s="55"/>
      <c r="I1065" s="55"/>
      <c r="J1065" s="163"/>
      <c r="K1065" s="55"/>
      <c r="L1065" s="55"/>
      <c r="M1065" s="55"/>
      <c r="N1065" s="55"/>
      <c r="O1065" s="55"/>
      <c r="P1065" s="55"/>
      <c r="Q1065" s="55"/>
      <c r="R1065" s="55"/>
      <c r="S1065" s="55"/>
    </row>
    <row r="1066" spans="3:19" ht="13.5" customHeight="1">
      <c r="C1066" s="55"/>
      <c r="D1066" s="55"/>
      <c r="E1066" s="55"/>
      <c r="F1066" s="53"/>
      <c r="G1066" s="55"/>
      <c r="H1066" s="55"/>
      <c r="I1066" s="55"/>
      <c r="J1066" s="163"/>
      <c r="K1066" s="55"/>
      <c r="L1066" s="55"/>
      <c r="M1066" s="55"/>
      <c r="N1066" s="55"/>
      <c r="O1066" s="55"/>
      <c r="P1066" s="55"/>
      <c r="Q1066" s="55"/>
      <c r="R1066" s="55"/>
      <c r="S1066" s="55"/>
    </row>
    <row r="1067" spans="3:19" ht="13.5" customHeight="1">
      <c r="C1067" s="55"/>
      <c r="D1067" s="55"/>
      <c r="E1067" s="55"/>
      <c r="F1067" s="53"/>
      <c r="G1067" s="55"/>
      <c r="H1067" s="55"/>
      <c r="I1067" s="55"/>
      <c r="J1067" s="163"/>
      <c r="K1067" s="55"/>
      <c r="L1067" s="55"/>
      <c r="M1067" s="55"/>
      <c r="N1067" s="55"/>
      <c r="O1067" s="55"/>
      <c r="P1067" s="55"/>
      <c r="Q1067" s="55"/>
      <c r="R1067" s="55"/>
      <c r="S1067" s="55"/>
    </row>
    <row r="1068" spans="3:19" ht="13.5" customHeight="1">
      <c r="C1068" s="55"/>
      <c r="D1068" s="55"/>
      <c r="E1068" s="55"/>
      <c r="F1068" s="53"/>
      <c r="G1068" s="55"/>
      <c r="H1068" s="55"/>
      <c r="I1068" s="55"/>
      <c r="J1068" s="163"/>
      <c r="K1068" s="55"/>
      <c r="L1068" s="55"/>
      <c r="M1068" s="55"/>
      <c r="N1068" s="55"/>
      <c r="O1068" s="55"/>
      <c r="P1068" s="55"/>
      <c r="Q1068" s="55"/>
      <c r="R1068" s="55"/>
      <c r="S1068" s="55"/>
    </row>
    <row r="1069" spans="3:19" ht="13.5" customHeight="1">
      <c r="C1069" s="55"/>
      <c r="D1069" s="55"/>
      <c r="E1069" s="55"/>
      <c r="F1069" s="53"/>
      <c r="G1069" s="55"/>
      <c r="H1069" s="55"/>
      <c r="I1069" s="55"/>
      <c r="J1069" s="163"/>
      <c r="K1069" s="55"/>
      <c r="L1069" s="55"/>
      <c r="M1069" s="55"/>
      <c r="N1069" s="55"/>
      <c r="O1069" s="55"/>
      <c r="P1069" s="55"/>
      <c r="Q1069" s="55"/>
      <c r="R1069" s="55"/>
      <c r="S1069" s="55"/>
    </row>
    <row r="1070" spans="3:19" ht="13.5" customHeight="1">
      <c r="C1070" s="55"/>
      <c r="D1070" s="55"/>
      <c r="E1070" s="55"/>
      <c r="F1070" s="53"/>
      <c r="G1070" s="55"/>
      <c r="H1070" s="55"/>
      <c r="I1070" s="55"/>
      <c r="J1070" s="163"/>
      <c r="K1070" s="55"/>
      <c r="L1070" s="55"/>
      <c r="M1070" s="55"/>
      <c r="N1070" s="55"/>
      <c r="O1070" s="55"/>
      <c r="P1070" s="55"/>
      <c r="Q1070" s="55"/>
      <c r="R1070" s="55"/>
      <c r="S1070" s="55"/>
    </row>
    <row r="1071" spans="3:19" ht="13.5" customHeight="1">
      <c r="C1071" s="55"/>
      <c r="D1071" s="55"/>
      <c r="E1071" s="55"/>
      <c r="F1071" s="53"/>
      <c r="G1071" s="55"/>
      <c r="H1071" s="55"/>
      <c r="I1071" s="55"/>
      <c r="J1071" s="163"/>
      <c r="K1071" s="55"/>
      <c r="L1071" s="55"/>
      <c r="M1071" s="55"/>
      <c r="N1071" s="55"/>
      <c r="O1071" s="55"/>
      <c r="P1071" s="55"/>
      <c r="Q1071" s="55"/>
      <c r="R1071" s="55"/>
      <c r="S1071" s="55"/>
    </row>
    <row r="1072" spans="3:19" ht="13.5" customHeight="1">
      <c r="C1072" s="55"/>
      <c r="D1072" s="55"/>
      <c r="E1072" s="55"/>
      <c r="F1072" s="53"/>
      <c r="G1072" s="55"/>
      <c r="H1072" s="55"/>
      <c r="I1072" s="55"/>
      <c r="J1072" s="163"/>
      <c r="K1072" s="55"/>
      <c r="L1072" s="55"/>
      <c r="M1072" s="55"/>
      <c r="N1072" s="55"/>
      <c r="O1072" s="55"/>
      <c r="P1072" s="55"/>
      <c r="Q1072" s="55"/>
      <c r="R1072" s="55"/>
      <c r="S1072" s="55"/>
    </row>
    <row r="1073" spans="3:19" ht="13.5" customHeight="1">
      <c r="C1073" s="55"/>
      <c r="D1073" s="55"/>
      <c r="E1073" s="55"/>
      <c r="F1073" s="53"/>
      <c r="G1073" s="55"/>
      <c r="H1073" s="55"/>
      <c r="I1073" s="55"/>
      <c r="J1073" s="163"/>
      <c r="K1073" s="55"/>
      <c r="L1073" s="55"/>
      <c r="M1073" s="55"/>
      <c r="N1073" s="55"/>
      <c r="O1073" s="55"/>
      <c r="P1073" s="55"/>
      <c r="Q1073" s="55"/>
      <c r="R1073" s="55"/>
      <c r="S1073" s="55"/>
    </row>
    <row r="1074" spans="3:19" ht="13.5" customHeight="1">
      <c r="C1074" s="55"/>
      <c r="D1074" s="55"/>
      <c r="E1074" s="55"/>
      <c r="F1074" s="53"/>
      <c r="G1074" s="55"/>
      <c r="H1074" s="55"/>
      <c r="I1074" s="55"/>
      <c r="J1074" s="163"/>
      <c r="K1074" s="55"/>
      <c r="L1074" s="55"/>
      <c r="M1074" s="55"/>
      <c r="N1074" s="55"/>
      <c r="O1074" s="55"/>
      <c r="P1074" s="55"/>
      <c r="Q1074" s="55"/>
      <c r="R1074" s="55"/>
      <c r="S1074" s="55"/>
    </row>
    <row r="1075" spans="3:19" ht="13.5" customHeight="1">
      <c r="C1075" s="55"/>
      <c r="D1075" s="55"/>
      <c r="E1075" s="55"/>
      <c r="F1075" s="53"/>
      <c r="G1075" s="55"/>
      <c r="H1075" s="55"/>
      <c r="I1075" s="55"/>
      <c r="J1075" s="163"/>
      <c r="K1075" s="55"/>
      <c r="L1075" s="55"/>
      <c r="M1075" s="55"/>
      <c r="N1075" s="55"/>
      <c r="O1075" s="55"/>
      <c r="P1075" s="55"/>
      <c r="Q1075" s="55"/>
      <c r="R1075" s="55"/>
      <c r="S1075" s="55"/>
    </row>
    <row r="1076" spans="3:19" ht="13.5" customHeight="1">
      <c r="C1076" s="55"/>
      <c r="D1076" s="55"/>
      <c r="E1076" s="55"/>
      <c r="F1076" s="53"/>
      <c r="G1076" s="55"/>
      <c r="H1076" s="55"/>
      <c r="I1076" s="55"/>
      <c r="J1076" s="163"/>
      <c r="K1076" s="55"/>
      <c r="L1076" s="55"/>
      <c r="M1076" s="55"/>
      <c r="N1076" s="55"/>
      <c r="O1076" s="55"/>
      <c r="P1076" s="55"/>
      <c r="Q1076" s="55"/>
      <c r="R1076" s="55"/>
      <c r="S1076" s="55"/>
    </row>
    <row r="1077" spans="3:19" ht="13.5" customHeight="1">
      <c r="C1077" s="55"/>
      <c r="D1077" s="55"/>
      <c r="E1077" s="55"/>
      <c r="F1077" s="53"/>
      <c r="G1077" s="55"/>
      <c r="H1077" s="55"/>
      <c r="I1077" s="55"/>
      <c r="J1077" s="163"/>
      <c r="K1077" s="55"/>
      <c r="L1077" s="55"/>
      <c r="M1077" s="55"/>
      <c r="N1077" s="55"/>
      <c r="O1077" s="55"/>
      <c r="P1077" s="55"/>
      <c r="Q1077" s="55"/>
      <c r="R1077" s="55"/>
      <c r="S1077" s="55"/>
    </row>
    <row r="1078" spans="3:19" ht="13.5" customHeight="1">
      <c r="C1078" s="55"/>
      <c r="D1078" s="55"/>
      <c r="E1078" s="55"/>
      <c r="F1078" s="53"/>
      <c r="G1078" s="55"/>
      <c r="H1078" s="55"/>
      <c r="I1078" s="55"/>
      <c r="J1078" s="163"/>
      <c r="K1078" s="55"/>
      <c r="L1078" s="55"/>
      <c r="M1078" s="55"/>
      <c r="N1078" s="55"/>
      <c r="O1078" s="55"/>
      <c r="P1078" s="55"/>
      <c r="Q1078" s="55"/>
      <c r="R1078" s="55"/>
      <c r="S1078" s="55"/>
    </row>
    <row r="1079" spans="3:19" ht="13.5" customHeight="1">
      <c r="C1079" s="55"/>
      <c r="D1079" s="55"/>
      <c r="E1079" s="55"/>
      <c r="F1079" s="53"/>
      <c r="G1079" s="55"/>
      <c r="H1079" s="55"/>
      <c r="I1079" s="55"/>
      <c r="J1079" s="163"/>
      <c r="K1079" s="55"/>
      <c r="L1079" s="55"/>
      <c r="M1079" s="55"/>
      <c r="N1079" s="55"/>
      <c r="O1079" s="55"/>
      <c r="P1079" s="55"/>
      <c r="Q1079" s="55"/>
      <c r="R1079" s="55"/>
      <c r="S1079" s="55"/>
    </row>
    <row r="1080" spans="3:19" ht="13.5" customHeight="1">
      <c r="C1080" s="55"/>
      <c r="D1080" s="55"/>
      <c r="E1080" s="55"/>
      <c r="F1080" s="53"/>
      <c r="G1080" s="55"/>
      <c r="H1080" s="55"/>
      <c r="I1080" s="55"/>
      <c r="J1080" s="163"/>
      <c r="K1080" s="55"/>
      <c r="L1080" s="55"/>
      <c r="M1080" s="55"/>
      <c r="N1080" s="55"/>
      <c r="O1080" s="55"/>
      <c r="P1080" s="55"/>
      <c r="Q1080" s="55"/>
      <c r="R1080" s="55"/>
      <c r="S1080" s="55"/>
    </row>
    <row r="1081" spans="3:19" ht="13.5" customHeight="1">
      <c r="C1081" s="55"/>
      <c r="D1081" s="55"/>
      <c r="E1081" s="55"/>
      <c r="F1081" s="53"/>
      <c r="G1081" s="55"/>
      <c r="H1081" s="55"/>
      <c r="I1081" s="55"/>
      <c r="J1081" s="163"/>
      <c r="K1081" s="55"/>
      <c r="L1081" s="55"/>
      <c r="M1081" s="55"/>
      <c r="N1081" s="55"/>
      <c r="O1081" s="55"/>
      <c r="P1081" s="55"/>
      <c r="Q1081" s="55"/>
      <c r="R1081" s="55"/>
      <c r="S1081" s="55"/>
    </row>
    <row r="1082" spans="3:19" ht="13.5" customHeight="1">
      <c r="C1082" s="55"/>
      <c r="D1082" s="55"/>
      <c r="E1082" s="55"/>
      <c r="F1082" s="53"/>
      <c r="G1082" s="55"/>
      <c r="H1082" s="55"/>
      <c r="I1082" s="55"/>
      <c r="J1082" s="163"/>
      <c r="K1082" s="55"/>
      <c r="L1082" s="55"/>
      <c r="M1082" s="55"/>
      <c r="N1082" s="55"/>
      <c r="O1082" s="55"/>
      <c r="P1082" s="55"/>
      <c r="Q1082" s="55"/>
      <c r="R1082" s="55"/>
      <c r="S1082" s="55"/>
    </row>
    <row r="1083" spans="3:19" ht="13.5" customHeight="1">
      <c r="C1083" s="55"/>
      <c r="D1083" s="55"/>
      <c r="E1083" s="55"/>
      <c r="F1083" s="53"/>
      <c r="G1083" s="55"/>
      <c r="H1083" s="55"/>
      <c r="I1083" s="55"/>
      <c r="J1083" s="163"/>
      <c r="K1083" s="55"/>
      <c r="L1083" s="55"/>
      <c r="M1083" s="55"/>
      <c r="N1083" s="55"/>
      <c r="O1083" s="55"/>
      <c r="P1083" s="55"/>
      <c r="Q1083" s="55"/>
      <c r="R1083" s="55"/>
      <c r="S1083" s="55"/>
    </row>
    <row r="1084" spans="3:19" ht="13.5" customHeight="1">
      <c r="C1084" s="55"/>
      <c r="D1084" s="55"/>
      <c r="E1084" s="55"/>
      <c r="F1084" s="53"/>
      <c r="G1084" s="55"/>
      <c r="H1084" s="55"/>
      <c r="I1084" s="55"/>
      <c r="J1084" s="163"/>
      <c r="K1084" s="55"/>
      <c r="L1084" s="55"/>
      <c r="M1084" s="55"/>
      <c r="N1084" s="55"/>
      <c r="O1084" s="55"/>
      <c r="P1084" s="55"/>
      <c r="Q1084" s="55"/>
      <c r="R1084" s="55"/>
      <c r="S1084" s="55"/>
    </row>
    <row r="1085" spans="3:19" ht="13.5" customHeight="1">
      <c r="C1085" s="55"/>
      <c r="D1085" s="55"/>
      <c r="E1085" s="55"/>
      <c r="F1085" s="53"/>
      <c r="G1085" s="55"/>
      <c r="H1085" s="55"/>
      <c r="I1085" s="55"/>
      <c r="J1085" s="163"/>
      <c r="K1085" s="55"/>
      <c r="L1085" s="55"/>
      <c r="M1085" s="55"/>
      <c r="N1085" s="55"/>
      <c r="O1085" s="55"/>
      <c r="P1085" s="55"/>
      <c r="Q1085" s="55"/>
      <c r="R1085" s="55"/>
      <c r="S1085" s="55"/>
    </row>
    <row r="1086" spans="3:19" ht="13.5" customHeight="1">
      <c r="C1086" s="55"/>
      <c r="D1086" s="55"/>
      <c r="E1086" s="55"/>
      <c r="F1086" s="53"/>
      <c r="G1086" s="55"/>
      <c r="H1086" s="55"/>
      <c r="I1086" s="55"/>
      <c r="J1086" s="163"/>
      <c r="K1086" s="55"/>
      <c r="L1086" s="55"/>
      <c r="M1086" s="55"/>
      <c r="N1086" s="55"/>
      <c r="O1086" s="55"/>
      <c r="P1086" s="55"/>
      <c r="Q1086" s="55"/>
      <c r="R1086" s="55"/>
      <c r="S1086" s="55"/>
    </row>
  </sheetData>
  <mergeCells count="127">
    <mergeCell ref="B20:B51"/>
    <mergeCell ref="F96:F100"/>
    <mergeCell ref="E96:E100"/>
    <mergeCell ref="E101:E102"/>
    <mergeCell ref="F154:F158"/>
    <mergeCell ref="E154:E158"/>
    <mergeCell ref="F148:F153"/>
    <mergeCell ref="E148:E153"/>
    <mergeCell ref="D148:D175"/>
    <mergeCell ref="C148:C175"/>
    <mergeCell ref="B148:B175"/>
    <mergeCell ref="F159:F162"/>
    <mergeCell ref="E159:E162"/>
    <mergeCell ref="F163:F167"/>
    <mergeCell ref="F134:F137"/>
    <mergeCell ref="E134:E137"/>
    <mergeCell ref="F173:F175"/>
    <mergeCell ref="E119:E123"/>
    <mergeCell ref="E55:E67"/>
    <mergeCell ref="E68:E74"/>
    <mergeCell ref="F68:F74"/>
    <mergeCell ref="F138:F139"/>
    <mergeCell ref="F47:F48"/>
    <mergeCell ref="F89:F91"/>
    <mergeCell ref="C198:C201"/>
    <mergeCell ref="C186:C197"/>
    <mergeCell ref="E40:E41"/>
    <mergeCell ref="E42:E43"/>
    <mergeCell ref="C182:C185"/>
    <mergeCell ref="B16:B19"/>
    <mergeCell ref="B52:B147"/>
    <mergeCell ref="B176:B178"/>
    <mergeCell ref="C20:C51"/>
    <mergeCell ref="E23:E26"/>
    <mergeCell ref="E27:E31"/>
    <mergeCell ref="E33:E35"/>
    <mergeCell ref="E38:E39"/>
    <mergeCell ref="E45:E46"/>
    <mergeCell ref="D50:D51"/>
    <mergeCell ref="E50:E51"/>
    <mergeCell ref="E47:E48"/>
    <mergeCell ref="D16:D19"/>
    <mergeCell ref="E18:E19"/>
    <mergeCell ref="E16:E17"/>
    <mergeCell ref="E138:E139"/>
    <mergeCell ref="E89:E91"/>
    <mergeCell ref="D176:D178"/>
    <mergeCell ref="C176:C178"/>
    <mergeCell ref="E7:E9"/>
    <mergeCell ref="E10:E12"/>
    <mergeCell ref="D52:D88"/>
    <mergeCell ref="D89:D139"/>
    <mergeCell ref="C179:C181"/>
    <mergeCell ref="D186:D188"/>
    <mergeCell ref="E75:E81"/>
    <mergeCell ref="E140:E144"/>
    <mergeCell ref="E92:E95"/>
    <mergeCell ref="E124:E127"/>
    <mergeCell ref="E128:E130"/>
    <mergeCell ref="E131:E133"/>
    <mergeCell ref="E168:E172"/>
    <mergeCell ref="E110:E116"/>
    <mergeCell ref="E163:E167"/>
    <mergeCell ref="E103:E109"/>
    <mergeCell ref="C16:C19"/>
    <mergeCell ref="E145:E147"/>
    <mergeCell ref="D140:D147"/>
    <mergeCell ref="C52:C147"/>
    <mergeCell ref="E173:E175"/>
    <mergeCell ref="E20:E22"/>
    <mergeCell ref="F119:F123"/>
    <mergeCell ref="F23:F26"/>
    <mergeCell ref="F27:F32"/>
    <mergeCell ref="F33:F35"/>
    <mergeCell ref="F38:F39"/>
    <mergeCell ref="F45:F46"/>
    <mergeCell ref="F50:F51"/>
    <mergeCell ref="F20:F22"/>
    <mergeCell ref="F55:F66"/>
    <mergeCell ref="E4:E6"/>
    <mergeCell ref="K69:K73"/>
    <mergeCell ref="L69:L73"/>
    <mergeCell ref="N69:N73"/>
    <mergeCell ref="L16:L17"/>
    <mergeCell ref="F176:F178"/>
    <mergeCell ref="E176:E178"/>
    <mergeCell ref="F92:F95"/>
    <mergeCell ref="F140:F144"/>
    <mergeCell ref="F101:F102"/>
    <mergeCell ref="F124:F127"/>
    <mergeCell ref="F128:F130"/>
    <mergeCell ref="F131:F133"/>
    <mergeCell ref="F83:F88"/>
    <mergeCell ref="F168:F172"/>
    <mergeCell ref="F110:F116"/>
    <mergeCell ref="F103:F109"/>
    <mergeCell ref="F52:F54"/>
    <mergeCell ref="F7:F9"/>
    <mergeCell ref="F145:F147"/>
    <mergeCell ref="F18:F19"/>
    <mergeCell ref="F16:F17"/>
    <mergeCell ref="F75:F81"/>
    <mergeCell ref="F13:F15"/>
    <mergeCell ref="B179:B198"/>
    <mergeCell ref="D20:D36"/>
    <mergeCell ref="D37:D49"/>
    <mergeCell ref="E83:E88"/>
    <mergeCell ref="E52:E54"/>
    <mergeCell ref="Q2:Q3"/>
    <mergeCell ref="K2:K3"/>
    <mergeCell ref="L2:L3"/>
    <mergeCell ref="M2:N2"/>
    <mergeCell ref="B4:B15"/>
    <mergeCell ref="C4:C15"/>
    <mergeCell ref="C2:C3"/>
    <mergeCell ref="D2:D3"/>
    <mergeCell ref="G2:G3"/>
    <mergeCell ref="F2:F3"/>
    <mergeCell ref="J2:J3"/>
    <mergeCell ref="D4:D9"/>
    <mergeCell ref="D10:D15"/>
    <mergeCell ref="E2:E3"/>
    <mergeCell ref="H2:H3"/>
    <mergeCell ref="I2:I3"/>
    <mergeCell ref="F4:F6"/>
    <mergeCell ref="F10:F12"/>
    <mergeCell ref="E13:E15"/>
  </mergeCells>
  <phoneticPr fontId="1" type="noConversion"/>
  <pageMargins left="0.7" right="0.7" top="0.75" bottom="0.75" header="0" footer="0"/>
  <pageSetup paperSize="8" fitToWidth="0"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D859-9FB3-4A26-9F0B-57C346BD4D62}">
  <sheetPr>
    <tabColor rgb="FF00B0F0"/>
    <pageSetUpPr fitToPage="1"/>
  </sheetPr>
  <dimension ref="A1:U982"/>
  <sheetViews>
    <sheetView topLeftCell="D6" zoomScale="70" zoomScaleNormal="85" workbookViewId="0">
      <pane xSplit="6630" ySplit="795" activePane="bottomRight"/>
      <selection pane="topRight" activeCell="I1" sqref="I1:I1048576"/>
      <selection pane="bottomLeft" activeCell="E30" sqref="E30"/>
      <selection pane="bottomRight" activeCell="J7" sqref="J7:K10"/>
    </sheetView>
  </sheetViews>
  <sheetFormatPr defaultColWidth="12.625" defaultRowHeight="15" customHeight="1"/>
  <cols>
    <col min="1" max="1" width="2.5" style="51" customWidth="1"/>
    <col min="2" max="2" width="18.75" style="51" customWidth="1"/>
    <col min="3" max="3" width="11.75" style="51" customWidth="1"/>
    <col min="4" max="4" width="17.75" style="52" customWidth="1"/>
    <col min="5" max="6" width="23.875" style="51" customWidth="1"/>
    <col min="7" max="7" width="39.75" style="51" customWidth="1"/>
    <col min="8" max="8" width="17.625" style="51" customWidth="1"/>
    <col min="9" max="9" width="32" style="51" customWidth="1"/>
    <col min="10" max="10" width="50.5" style="51" customWidth="1"/>
    <col min="11" max="11" width="66" style="51" customWidth="1"/>
    <col min="12" max="12" width="16.5" style="51" customWidth="1"/>
    <col min="13" max="13" width="41.625" style="51" customWidth="1"/>
    <col min="14" max="14" width="9.375" style="51" customWidth="1"/>
    <col min="15" max="15" width="30.75" style="51" customWidth="1"/>
    <col min="16" max="17" width="16.125" style="51" customWidth="1"/>
    <col min="18" max="18" width="22.375" style="51" customWidth="1"/>
    <col min="19" max="20" width="8.875" style="51" customWidth="1"/>
    <col min="21" max="40" width="8" style="51" customWidth="1"/>
    <col min="41" max="41" width="9" style="51" bestFit="1" customWidth="1"/>
    <col min="42" max="16384" width="12.625" style="51"/>
  </cols>
  <sheetData>
    <row r="1" spans="2:21" ht="13.5" customHeight="1">
      <c r="D1" s="53"/>
      <c r="E1" s="54"/>
      <c r="F1" s="54"/>
      <c r="G1" s="55"/>
      <c r="H1" s="55"/>
      <c r="I1" s="55"/>
      <c r="J1" s="55"/>
      <c r="K1" s="55"/>
      <c r="L1" s="55"/>
      <c r="M1" s="55"/>
      <c r="N1" s="55"/>
      <c r="O1" s="55"/>
      <c r="P1" s="55"/>
      <c r="Q1" s="55"/>
      <c r="R1" s="55"/>
      <c r="S1" s="55"/>
      <c r="T1" s="55"/>
      <c r="U1" s="55"/>
    </row>
    <row r="2" spans="2:21" ht="13.5" customHeight="1">
      <c r="B2" s="300" t="s">
        <v>407</v>
      </c>
      <c r="C2" s="56" t="s">
        <v>0</v>
      </c>
      <c r="D2" s="258" t="s">
        <v>1</v>
      </c>
      <c r="E2" s="301" t="s">
        <v>2</v>
      </c>
      <c r="F2" s="300" t="s">
        <v>3</v>
      </c>
      <c r="G2" s="300" t="s">
        <v>415</v>
      </c>
      <c r="H2" s="300" t="s">
        <v>1215</v>
      </c>
      <c r="I2" s="300" t="s">
        <v>1216</v>
      </c>
      <c r="J2" s="300" t="s">
        <v>1217</v>
      </c>
      <c r="K2" s="300" t="s">
        <v>788</v>
      </c>
      <c r="L2" s="293" t="s">
        <v>398</v>
      </c>
      <c r="M2" s="294" t="s">
        <v>399</v>
      </c>
      <c r="N2" s="295" t="s">
        <v>400</v>
      </c>
      <c r="O2" s="295"/>
      <c r="P2" s="57" t="s">
        <v>401</v>
      </c>
      <c r="Q2" s="58" t="s">
        <v>402</v>
      </c>
      <c r="R2" s="58" t="s">
        <v>403</v>
      </c>
      <c r="S2" s="59"/>
      <c r="T2" s="55"/>
      <c r="U2" s="55"/>
    </row>
    <row r="3" spans="2:21" ht="13.5" customHeight="1">
      <c r="B3" s="300"/>
      <c r="C3" s="56" t="s">
        <v>6</v>
      </c>
      <c r="D3" s="258"/>
      <c r="E3" s="301"/>
      <c r="F3" s="300"/>
      <c r="G3" s="300"/>
      <c r="H3" s="300"/>
      <c r="I3" s="300"/>
      <c r="J3" s="300"/>
      <c r="K3" s="300"/>
      <c r="L3" s="293"/>
      <c r="M3" s="294"/>
      <c r="N3" s="60" t="s">
        <v>404</v>
      </c>
      <c r="O3" s="61" t="s">
        <v>405</v>
      </c>
      <c r="P3" s="62"/>
      <c r="Q3" s="63"/>
      <c r="R3" s="63"/>
      <c r="S3" s="59"/>
      <c r="T3" s="55"/>
      <c r="U3" s="55"/>
    </row>
    <row r="4" spans="2:21" ht="85.5">
      <c r="B4" s="287" t="s">
        <v>408</v>
      </c>
      <c r="C4" s="287" t="s">
        <v>7</v>
      </c>
      <c r="D4" s="296" t="s">
        <v>8</v>
      </c>
      <c r="E4" s="297" t="s">
        <v>1218</v>
      </c>
      <c r="F4" s="298" t="s">
        <v>409</v>
      </c>
      <c r="G4" s="299" t="s">
        <v>789</v>
      </c>
      <c r="H4" s="120" t="s">
        <v>11</v>
      </c>
      <c r="I4" s="121" t="s">
        <v>1219</v>
      </c>
      <c r="J4" s="108" t="s">
        <v>1220</v>
      </c>
      <c r="K4" s="117" t="s">
        <v>1221</v>
      </c>
      <c r="L4" s="66"/>
      <c r="M4" s="96" t="s">
        <v>612</v>
      </c>
      <c r="N4" s="46"/>
      <c r="O4" s="46"/>
      <c r="P4" s="46"/>
      <c r="Q4" s="46"/>
      <c r="R4" s="46"/>
      <c r="S4" s="302" t="s">
        <v>419</v>
      </c>
      <c r="T4" s="55"/>
      <c r="U4" s="55"/>
    </row>
    <row r="5" spans="2:21" ht="42.75">
      <c r="B5" s="287"/>
      <c r="C5" s="287"/>
      <c r="D5" s="296"/>
      <c r="E5" s="297"/>
      <c r="F5" s="298"/>
      <c r="G5" s="299"/>
      <c r="H5" s="120" t="s">
        <v>13</v>
      </c>
      <c r="I5" s="121" t="s">
        <v>1222</v>
      </c>
      <c r="J5" s="108" t="s">
        <v>1223</v>
      </c>
      <c r="K5" s="117"/>
      <c r="L5" s="66"/>
      <c r="M5" s="67"/>
      <c r="N5" s="46"/>
      <c r="O5" s="46"/>
      <c r="P5" s="46"/>
      <c r="Q5" s="46"/>
      <c r="R5" s="46"/>
      <c r="S5" s="302"/>
      <c r="T5" s="55"/>
      <c r="U5" s="55"/>
    </row>
    <row r="6" spans="2:21" ht="42.75">
      <c r="B6" s="287"/>
      <c r="C6" s="287"/>
      <c r="D6" s="296"/>
      <c r="E6" s="297"/>
      <c r="F6" s="298"/>
      <c r="G6" s="299"/>
      <c r="H6" s="120" t="s">
        <v>14</v>
      </c>
      <c r="I6" s="121" t="s">
        <v>1224</v>
      </c>
      <c r="J6" s="108" t="s">
        <v>1225</v>
      </c>
      <c r="K6" s="117" t="s">
        <v>1226</v>
      </c>
      <c r="L6" s="66"/>
      <c r="M6" s="67"/>
      <c r="N6" s="46"/>
      <c r="O6" s="46"/>
      <c r="P6" s="46"/>
      <c r="Q6" s="46"/>
      <c r="R6" s="46"/>
      <c r="S6" s="302"/>
      <c r="T6" s="55"/>
      <c r="U6" s="55"/>
    </row>
    <row r="7" spans="2:21" ht="57.75" customHeight="1">
      <c r="B7" s="287"/>
      <c r="C7" s="287"/>
      <c r="D7" s="296"/>
      <c r="E7" s="297"/>
      <c r="F7" s="332" t="s">
        <v>1227</v>
      </c>
      <c r="G7" s="329" t="s">
        <v>669</v>
      </c>
      <c r="H7" s="122" t="s">
        <v>17</v>
      </c>
      <c r="I7" s="326" t="s">
        <v>1228</v>
      </c>
      <c r="J7" s="108" t="s">
        <v>1229</v>
      </c>
      <c r="K7" s="117"/>
      <c r="L7" s="66"/>
      <c r="M7" s="67"/>
      <c r="N7" s="46"/>
      <c r="O7" s="46"/>
      <c r="P7" s="46"/>
      <c r="Q7" s="46"/>
      <c r="R7" s="46"/>
      <c r="S7" s="302"/>
      <c r="T7" s="55"/>
      <c r="U7" s="55"/>
    </row>
    <row r="8" spans="2:21" ht="57.75" customHeight="1">
      <c r="B8" s="287"/>
      <c r="C8" s="287"/>
      <c r="D8" s="296"/>
      <c r="E8" s="297"/>
      <c r="F8" s="255"/>
      <c r="G8" s="330"/>
      <c r="H8" s="122" t="s">
        <v>19</v>
      </c>
      <c r="I8" s="327"/>
      <c r="J8" s="108" t="s">
        <v>1230</v>
      </c>
      <c r="K8" s="117" t="s">
        <v>1231</v>
      </c>
      <c r="L8" s="66"/>
      <c r="M8" s="67"/>
      <c r="N8" s="46"/>
      <c r="O8" s="46"/>
      <c r="P8" s="46"/>
      <c r="Q8" s="46"/>
      <c r="R8" s="46"/>
      <c r="S8" s="302"/>
      <c r="T8" s="55"/>
      <c r="U8" s="55"/>
    </row>
    <row r="9" spans="2:21" ht="57.75" customHeight="1">
      <c r="B9" s="287"/>
      <c r="C9" s="287"/>
      <c r="D9" s="296"/>
      <c r="E9" s="297"/>
      <c r="F9" s="255"/>
      <c r="G9" s="330"/>
      <c r="H9" s="122" t="s">
        <v>21</v>
      </c>
      <c r="I9" s="327"/>
      <c r="J9" s="108" t="s">
        <v>1232</v>
      </c>
      <c r="K9" s="117"/>
      <c r="L9" s="66"/>
      <c r="M9" s="67"/>
      <c r="N9" s="46"/>
      <c r="O9" s="46"/>
      <c r="P9" s="46"/>
      <c r="Q9" s="46"/>
      <c r="R9" s="46"/>
      <c r="S9" s="302"/>
      <c r="T9" s="55"/>
      <c r="U9" s="55"/>
    </row>
    <row r="10" spans="2:21" ht="57.75" customHeight="1">
      <c r="B10" s="287"/>
      <c r="C10" s="287"/>
      <c r="D10" s="296"/>
      <c r="E10" s="297"/>
      <c r="F10" s="256"/>
      <c r="G10" s="331"/>
      <c r="H10" s="122" t="s">
        <v>24</v>
      </c>
      <c r="I10" s="328"/>
      <c r="J10" s="108" t="s">
        <v>1233</v>
      </c>
      <c r="K10" s="117"/>
      <c r="L10" s="66"/>
      <c r="M10" s="67"/>
      <c r="N10" s="46"/>
      <c r="O10" s="46"/>
      <c r="P10" s="46"/>
      <c r="Q10" s="46"/>
      <c r="R10" s="46"/>
      <c r="S10" s="302"/>
      <c r="T10" s="55"/>
      <c r="U10" s="55"/>
    </row>
    <row r="11" spans="2:21" ht="170.25" customHeight="1">
      <c r="B11" s="287"/>
      <c r="C11" s="287"/>
      <c r="D11" s="296"/>
      <c r="E11" s="254" t="s">
        <v>22</v>
      </c>
      <c r="F11" s="1" t="s">
        <v>23</v>
      </c>
      <c r="G11" s="107" t="s">
        <v>1234</v>
      </c>
      <c r="H11" s="65" t="s">
        <v>14</v>
      </c>
      <c r="I11" s="118" t="s">
        <v>1235</v>
      </c>
      <c r="J11" s="123" t="s">
        <v>1236</v>
      </c>
      <c r="K11" s="124" t="s">
        <v>1237</v>
      </c>
      <c r="L11" s="66"/>
      <c r="M11" s="67"/>
      <c r="N11" s="46"/>
      <c r="O11" s="46"/>
      <c r="P11" s="46"/>
      <c r="Q11" s="46"/>
      <c r="R11" s="46"/>
      <c r="S11" s="302"/>
      <c r="T11" s="55"/>
      <c r="U11" s="55"/>
    </row>
    <row r="12" spans="2:21" ht="169.5" customHeight="1">
      <c r="B12" s="287"/>
      <c r="C12" s="287"/>
      <c r="D12" s="296"/>
      <c r="E12" s="256"/>
      <c r="F12" s="1" t="s">
        <v>27</v>
      </c>
      <c r="G12" s="112" t="s">
        <v>1238</v>
      </c>
      <c r="H12" s="65" t="s">
        <v>17</v>
      </c>
      <c r="I12" s="65"/>
      <c r="J12" s="123" t="s">
        <v>1239</v>
      </c>
      <c r="K12" s="124"/>
      <c r="L12" s="66"/>
      <c r="M12" s="67"/>
      <c r="N12" s="46"/>
      <c r="O12" s="46"/>
      <c r="P12" s="46"/>
      <c r="Q12" s="46"/>
      <c r="R12" s="46"/>
      <c r="S12" s="302"/>
      <c r="T12" s="55"/>
      <c r="U12" s="55"/>
    </row>
    <row r="13" spans="2:21" ht="220.5">
      <c r="B13" s="287"/>
      <c r="C13" s="287" t="s">
        <v>32</v>
      </c>
      <c r="D13" s="296" t="s">
        <v>424</v>
      </c>
      <c r="E13" s="64" t="s">
        <v>35</v>
      </c>
      <c r="F13" s="64"/>
      <c r="G13" s="97" t="s">
        <v>426</v>
      </c>
      <c r="H13" s="65" t="s">
        <v>36</v>
      </c>
      <c r="I13" s="65"/>
      <c r="J13" s="123" t="s">
        <v>615</v>
      </c>
      <c r="K13" s="124"/>
      <c r="L13" s="66" t="s">
        <v>616</v>
      </c>
      <c r="M13" s="46" t="s">
        <v>617</v>
      </c>
      <c r="N13" s="46"/>
      <c r="O13" s="46"/>
      <c r="P13" s="46"/>
      <c r="Q13" s="46"/>
      <c r="R13" s="46"/>
      <c r="S13" s="302"/>
      <c r="T13" s="55"/>
      <c r="U13" s="55"/>
    </row>
    <row r="14" spans="2:21" ht="283.5">
      <c r="B14" s="287"/>
      <c r="C14" s="288"/>
      <c r="D14" s="303"/>
      <c r="E14" s="64" t="s">
        <v>1240</v>
      </c>
      <c r="F14" s="64"/>
      <c r="G14" s="98" t="s">
        <v>618</v>
      </c>
      <c r="H14" s="65" t="s">
        <v>38</v>
      </c>
      <c r="I14" s="115"/>
      <c r="J14" s="125" t="s">
        <v>619</v>
      </c>
      <c r="K14" s="126"/>
      <c r="L14" s="68" t="s">
        <v>431</v>
      </c>
      <c r="M14" s="69" t="s">
        <v>620</v>
      </c>
      <c r="N14" s="70"/>
      <c r="O14" s="70"/>
      <c r="P14" s="70"/>
      <c r="Q14" s="70"/>
      <c r="R14" s="70"/>
      <c r="S14" s="302"/>
      <c r="T14" s="55"/>
      <c r="U14" s="55"/>
    </row>
    <row r="15" spans="2:21" ht="236.25">
      <c r="B15" s="287"/>
      <c r="C15" s="287" t="s">
        <v>45</v>
      </c>
      <c r="D15" s="304" t="s">
        <v>432</v>
      </c>
      <c r="E15" s="64" t="s">
        <v>433</v>
      </c>
      <c r="F15" s="64"/>
      <c r="G15" s="95" t="s">
        <v>621</v>
      </c>
      <c r="H15" s="65" t="s">
        <v>49</v>
      </c>
      <c r="I15" s="65"/>
      <c r="J15" s="123" t="s">
        <v>622</v>
      </c>
      <c r="K15" s="123"/>
      <c r="L15" s="46" t="s">
        <v>623</v>
      </c>
      <c r="M15" s="6" t="s">
        <v>1241</v>
      </c>
      <c r="N15" s="46"/>
      <c r="O15" s="46"/>
      <c r="P15" s="46"/>
      <c r="Q15" s="46"/>
      <c r="R15" s="46"/>
      <c r="S15" s="302"/>
      <c r="T15" s="55"/>
      <c r="U15" s="55"/>
    </row>
    <row r="16" spans="2:21" ht="220.5">
      <c r="B16" s="287"/>
      <c r="C16" s="288"/>
      <c r="D16" s="305"/>
      <c r="E16" s="64" t="s">
        <v>624</v>
      </c>
      <c r="F16" s="64"/>
      <c r="G16" s="95" t="s">
        <v>625</v>
      </c>
      <c r="H16" s="65" t="s">
        <v>51</v>
      </c>
      <c r="I16" s="65"/>
      <c r="J16" s="127" t="s">
        <v>626</v>
      </c>
      <c r="K16" s="127"/>
      <c r="L16" s="46"/>
      <c r="M16" s="46" t="s">
        <v>438</v>
      </c>
      <c r="N16" s="46"/>
      <c r="O16" s="46"/>
      <c r="P16" s="46"/>
      <c r="Q16" s="46"/>
      <c r="R16" s="46"/>
      <c r="S16" s="302"/>
      <c r="T16" s="55"/>
      <c r="U16" s="55"/>
    </row>
    <row r="17" spans="2:21" ht="283.5">
      <c r="B17" s="287"/>
      <c r="C17" s="288"/>
      <c r="D17" s="305"/>
      <c r="E17" s="64" t="s">
        <v>627</v>
      </c>
      <c r="F17" s="64"/>
      <c r="G17" s="95" t="s">
        <v>441</v>
      </c>
      <c r="H17" s="65" t="s">
        <v>440</v>
      </c>
      <c r="I17" s="65"/>
      <c r="J17" s="95" t="s">
        <v>628</v>
      </c>
      <c r="K17" s="95"/>
      <c r="L17" s="46"/>
      <c r="M17" s="46"/>
      <c r="N17" s="46"/>
      <c r="O17" s="46"/>
      <c r="P17" s="46"/>
      <c r="Q17" s="46"/>
      <c r="R17" s="46"/>
      <c r="S17" s="302"/>
      <c r="T17" s="55"/>
      <c r="U17" s="55"/>
    </row>
    <row r="18" spans="2:21" ht="315">
      <c r="B18" s="287"/>
      <c r="C18" s="288"/>
      <c r="D18" s="306"/>
      <c r="E18" s="64" t="s">
        <v>79</v>
      </c>
      <c r="F18" s="64"/>
      <c r="G18" s="95" t="s">
        <v>629</v>
      </c>
      <c r="H18" s="65" t="s">
        <v>55</v>
      </c>
      <c r="I18" s="65"/>
      <c r="J18" s="46" t="s">
        <v>630</v>
      </c>
      <c r="K18" s="46"/>
      <c r="L18" s="46"/>
      <c r="M18" s="72" t="s">
        <v>631</v>
      </c>
      <c r="N18" s="46"/>
      <c r="O18" s="46"/>
      <c r="P18" s="46"/>
      <c r="Q18" s="46"/>
      <c r="R18" s="46"/>
      <c r="S18" s="302"/>
      <c r="T18" s="55"/>
      <c r="U18" s="55"/>
    </row>
    <row r="19" spans="2:21" ht="299.25">
      <c r="B19" s="287"/>
      <c r="C19" s="288"/>
      <c r="D19" s="307" t="s">
        <v>632</v>
      </c>
      <c r="E19" s="64" t="s">
        <v>83</v>
      </c>
      <c r="F19" s="64"/>
      <c r="G19" s="95" t="s">
        <v>633</v>
      </c>
      <c r="H19" s="65" t="s">
        <v>57</v>
      </c>
      <c r="I19" s="65"/>
      <c r="J19" s="18" t="s">
        <v>634</v>
      </c>
      <c r="K19" s="18"/>
      <c r="L19" s="46"/>
      <c r="M19" s="96" t="s">
        <v>635</v>
      </c>
      <c r="N19" s="46" t="s">
        <v>450</v>
      </c>
      <c r="O19" s="46" t="s">
        <v>459</v>
      </c>
      <c r="P19" s="46"/>
      <c r="Q19" s="46"/>
      <c r="R19" s="46"/>
      <c r="S19" s="302"/>
      <c r="T19" s="55"/>
      <c r="U19" s="55"/>
    </row>
    <row r="20" spans="2:21" ht="362.25">
      <c r="B20" s="287"/>
      <c r="C20" s="49"/>
      <c r="D20" s="308"/>
      <c r="E20" s="64" t="s">
        <v>72</v>
      </c>
      <c r="F20" s="64"/>
      <c r="G20" s="46" t="s">
        <v>636</v>
      </c>
      <c r="H20" s="65" t="s">
        <v>59</v>
      </c>
      <c r="I20" s="65"/>
      <c r="J20" s="95" t="s">
        <v>637</v>
      </c>
      <c r="K20" s="95"/>
      <c r="L20" s="46"/>
      <c r="M20" s="46" t="s">
        <v>638</v>
      </c>
      <c r="N20" s="46"/>
      <c r="O20" s="46"/>
      <c r="P20" s="46"/>
      <c r="Q20" s="46"/>
      <c r="R20" s="46" t="s">
        <v>446</v>
      </c>
      <c r="S20" s="302"/>
      <c r="T20" s="55"/>
      <c r="U20" s="55"/>
    </row>
    <row r="21" spans="2:21" ht="292.5" customHeight="1">
      <c r="B21" s="287"/>
      <c r="C21" s="49"/>
      <c r="D21" s="308"/>
      <c r="E21" s="64" t="s">
        <v>639</v>
      </c>
      <c r="F21" s="64"/>
      <c r="G21" s="95" t="s">
        <v>448</v>
      </c>
      <c r="H21" s="65" t="s">
        <v>61</v>
      </c>
      <c r="I21" s="65"/>
      <c r="J21" s="18" t="s">
        <v>640</v>
      </c>
      <c r="K21" s="18"/>
      <c r="L21" s="46"/>
      <c r="M21" s="46" t="s">
        <v>641</v>
      </c>
      <c r="N21" s="46" t="s">
        <v>450</v>
      </c>
      <c r="O21" s="46" t="s">
        <v>451</v>
      </c>
      <c r="P21" s="46"/>
      <c r="Q21" s="46"/>
      <c r="R21" s="46"/>
      <c r="S21" s="302"/>
      <c r="T21" s="55"/>
      <c r="U21" s="55"/>
    </row>
    <row r="22" spans="2:21" ht="409.5">
      <c r="B22" s="287"/>
      <c r="C22" s="49"/>
      <c r="D22" s="308"/>
      <c r="E22" s="64" t="s">
        <v>642</v>
      </c>
      <c r="F22" s="64"/>
      <c r="G22" s="95" t="s">
        <v>643</v>
      </c>
      <c r="H22" s="65" t="s">
        <v>63</v>
      </c>
      <c r="I22" s="65"/>
      <c r="J22" s="95" t="s">
        <v>644</v>
      </c>
      <c r="K22" s="95"/>
      <c r="L22" s="46"/>
      <c r="M22" s="96" t="s">
        <v>645</v>
      </c>
      <c r="N22" s="46"/>
      <c r="O22" s="46"/>
      <c r="P22" s="46"/>
      <c r="Q22" s="46"/>
      <c r="R22" s="46"/>
      <c r="S22" s="302"/>
      <c r="T22" s="55"/>
      <c r="U22" s="55"/>
    </row>
    <row r="23" spans="2:21" ht="315">
      <c r="B23" s="287"/>
      <c r="C23" s="49"/>
      <c r="D23" s="308"/>
      <c r="E23" s="64" t="s">
        <v>646</v>
      </c>
      <c r="F23" s="64"/>
      <c r="G23" s="95" t="s">
        <v>647</v>
      </c>
      <c r="H23" s="65" t="s">
        <v>65</v>
      </c>
      <c r="I23" s="65"/>
      <c r="J23" s="95" t="s">
        <v>648</v>
      </c>
      <c r="K23" s="95"/>
      <c r="L23" s="46"/>
      <c r="M23" s="67"/>
      <c r="N23" s="46"/>
      <c r="O23" s="46"/>
      <c r="P23" s="46"/>
      <c r="Q23" s="46"/>
      <c r="R23" s="46"/>
      <c r="S23" s="302"/>
      <c r="T23" s="55"/>
      <c r="U23" s="55"/>
    </row>
    <row r="24" spans="2:21" ht="409.5">
      <c r="B24" s="287"/>
      <c r="C24" s="49"/>
      <c r="D24" s="309"/>
      <c r="E24" s="64" t="s">
        <v>649</v>
      </c>
      <c r="F24" s="64"/>
      <c r="G24" s="95" t="s">
        <v>650</v>
      </c>
      <c r="H24" s="65" t="s">
        <v>67</v>
      </c>
      <c r="I24" s="65"/>
      <c r="J24" s="95" t="s">
        <v>651</v>
      </c>
      <c r="K24" s="95"/>
      <c r="L24" s="46"/>
      <c r="M24" s="67"/>
      <c r="N24" s="46"/>
      <c r="O24" s="46"/>
      <c r="P24" s="46"/>
      <c r="Q24" s="46"/>
      <c r="R24" s="46"/>
      <c r="S24" s="302"/>
      <c r="T24" s="55"/>
      <c r="U24" s="55"/>
    </row>
    <row r="25" spans="2:21" ht="384.75">
      <c r="B25" s="287"/>
      <c r="C25" s="287" t="s">
        <v>113</v>
      </c>
      <c r="D25" s="296" t="s">
        <v>460</v>
      </c>
      <c r="E25" s="64" t="s">
        <v>461</v>
      </c>
      <c r="F25" s="64"/>
      <c r="G25" s="46" t="s">
        <v>652</v>
      </c>
      <c r="H25" s="65" t="s">
        <v>462</v>
      </c>
      <c r="I25" s="65"/>
      <c r="J25" s="95" t="s">
        <v>653</v>
      </c>
      <c r="K25" s="95"/>
      <c r="L25" s="46"/>
      <c r="M25" s="99" t="s">
        <v>654</v>
      </c>
      <c r="N25" s="46"/>
      <c r="O25" s="46"/>
      <c r="P25" s="46"/>
      <c r="Q25" s="46"/>
      <c r="R25" s="46"/>
      <c r="S25" s="302"/>
      <c r="T25" s="55"/>
      <c r="U25" s="55"/>
    </row>
    <row r="26" spans="2:21" ht="283.5">
      <c r="B26" s="287"/>
      <c r="C26" s="288"/>
      <c r="D26" s="303"/>
      <c r="E26" s="64" t="s">
        <v>655</v>
      </c>
      <c r="F26" s="64"/>
      <c r="G26" s="46" t="s">
        <v>652</v>
      </c>
      <c r="H26" s="65" t="s">
        <v>115</v>
      </c>
      <c r="I26" s="65"/>
      <c r="J26" s="95" t="s">
        <v>656</v>
      </c>
      <c r="K26" s="95"/>
      <c r="L26" s="46"/>
      <c r="M26" s="67"/>
      <c r="N26" s="46"/>
      <c r="O26" s="46"/>
      <c r="P26" s="46"/>
      <c r="Q26" s="46"/>
      <c r="R26" s="46"/>
      <c r="S26" s="302"/>
      <c r="T26" s="55"/>
      <c r="U26" s="55"/>
    </row>
    <row r="27" spans="2:21" ht="252">
      <c r="B27" s="287"/>
      <c r="C27" s="288"/>
      <c r="D27" s="303"/>
      <c r="E27" s="64" t="s">
        <v>465</v>
      </c>
      <c r="F27" s="64"/>
      <c r="G27" s="46" t="s">
        <v>657</v>
      </c>
      <c r="H27" s="65" t="s">
        <v>117</v>
      </c>
      <c r="I27" s="65"/>
      <c r="J27" s="95" t="s">
        <v>658</v>
      </c>
      <c r="K27" s="95"/>
      <c r="L27" s="46"/>
      <c r="M27" s="6" t="s">
        <v>659</v>
      </c>
      <c r="N27" s="46"/>
      <c r="O27" s="46"/>
      <c r="P27" s="46"/>
      <c r="Q27" s="46"/>
      <c r="R27" s="46"/>
      <c r="S27" s="302"/>
      <c r="T27" s="55"/>
      <c r="U27" s="55"/>
    </row>
    <row r="28" spans="2:21" ht="384" customHeight="1">
      <c r="B28" s="287"/>
      <c r="C28" s="287" t="s">
        <v>410</v>
      </c>
      <c r="D28" s="304" t="s">
        <v>660</v>
      </c>
      <c r="E28" s="310" t="s">
        <v>661</v>
      </c>
      <c r="F28" s="104"/>
      <c r="G28" s="314" t="s">
        <v>662</v>
      </c>
      <c r="H28" s="312" t="s">
        <v>411</v>
      </c>
      <c r="I28" s="110"/>
      <c r="J28" s="290" t="s">
        <v>663</v>
      </c>
      <c r="K28" s="47"/>
      <c r="L28" s="254"/>
      <c r="M28" s="314" t="s">
        <v>476</v>
      </c>
      <c r="N28" s="254" t="s">
        <v>450</v>
      </c>
      <c r="O28" s="254" t="s">
        <v>477</v>
      </c>
      <c r="P28" s="46"/>
      <c r="Q28" s="46"/>
      <c r="R28" s="46"/>
      <c r="S28" s="302"/>
      <c r="T28" s="55"/>
      <c r="U28" s="55"/>
    </row>
    <row r="29" spans="2:21" ht="203.25" customHeight="1">
      <c r="B29" s="287"/>
      <c r="C29" s="288"/>
      <c r="D29" s="305"/>
      <c r="E29" s="311"/>
      <c r="F29" s="105"/>
      <c r="G29" s="315"/>
      <c r="H29" s="313"/>
      <c r="I29" s="111"/>
      <c r="J29" s="315"/>
      <c r="K29" s="109"/>
      <c r="L29" s="256"/>
      <c r="M29" s="315"/>
      <c r="N29" s="256"/>
      <c r="O29" s="256"/>
      <c r="P29" s="46"/>
      <c r="Q29" s="46"/>
      <c r="R29" s="46"/>
      <c r="S29" s="302"/>
      <c r="T29" s="55"/>
      <c r="U29" s="55"/>
    </row>
    <row r="30" spans="2:21" ht="409.5">
      <c r="B30" s="287"/>
      <c r="C30" s="288"/>
      <c r="D30" s="305"/>
      <c r="E30" s="64" t="s">
        <v>664</v>
      </c>
      <c r="F30" s="64"/>
      <c r="G30" s="95" t="s">
        <v>665</v>
      </c>
      <c r="H30" s="65" t="s">
        <v>289</v>
      </c>
      <c r="I30" s="65"/>
      <c r="J30" s="95" t="s">
        <v>666</v>
      </c>
      <c r="K30" s="95"/>
      <c r="L30" s="46"/>
      <c r="M30" s="95" t="s">
        <v>667</v>
      </c>
      <c r="N30" s="46"/>
      <c r="O30" s="46"/>
      <c r="P30" s="46"/>
      <c r="Q30" s="46"/>
      <c r="R30" s="46"/>
      <c r="S30" s="302"/>
      <c r="T30" s="55"/>
      <c r="U30" s="55"/>
    </row>
    <row r="31" spans="2:21" ht="15.75">
      <c r="B31" s="287"/>
      <c r="C31" s="288"/>
      <c r="D31" s="305"/>
      <c r="E31" s="64" t="s">
        <v>668</v>
      </c>
      <c r="F31" s="64"/>
      <c r="H31" s="65" t="s">
        <v>291</v>
      </c>
      <c r="I31" s="115"/>
      <c r="L31" s="46"/>
      <c r="M31" s="46"/>
      <c r="N31" s="46"/>
      <c r="O31" s="46"/>
      <c r="P31" s="46"/>
      <c r="Q31" s="46"/>
      <c r="R31" s="46"/>
      <c r="S31" s="302"/>
      <c r="T31" s="55"/>
      <c r="U31" s="55"/>
    </row>
    <row r="32" spans="2:21" ht="78.75">
      <c r="B32" s="287"/>
      <c r="C32" s="288"/>
      <c r="D32" s="305"/>
      <c r="E32" s="64" t="s">
        <v>670</v>
      </c>
      <c r="F32" s="64"/>
      <c r="G32" s="95" t="s">
        <v>671</v>
      </c>
      <c r="H32" s="65" t="s">
        <v>293</v>
      </c>
      <c r="I32" s="65"/>
      <c r="J32" s="95" t="s">
        <v>672</v>
      </c>
      <c r="K32" s="95"/>
      <c r="L32" s="46"/>
      <c r="M32" s="46"/>
      <c r="N32" s="46"/>
      <c r="O32" s="46"/>
      <c r="P32" s="46"/>
      <c r="Q32" s="46"/>
      <c r="R32" s="46"/>
      <c r="S32" s="302"/>
      <c r="T32" s="55"/>
      <c r="U32" s="55"/>
    </row>
    <row r="33" spans="1:21" ht="330.75">
      <c r="B33" s="287"/>
      <c r="C33" s="288"/>
      <c r="D33" s="305"/>
      <c r="E33" s="64" t="s">
        <v>485</v>
      </c>
      <c r="F33" s="64"/>
      <c r="G33" s="40" t="s">
        <v>486</v>
      </c>
      <c r="H33" s="65" t="s">
        <v>295</v>
      </c>
      <c r="I33" s="65"/>
      <c r="J33" s="95" t="s">
        <v>673</v>
      </c>
      <c r="K33" s="95"/>
      <c r="L33" s="46"/>
      <c r="M33" s="46" t="s">
        <v>674</v>
      </c>
      <c r="N33" s="46"/>
      <c r="O33" s="46"/>
      <c r="P33" s="46"/>
      <c r="Q33" s="46"/>
      <c r="R33" s="46"/>
      <c r="S33" s="302"/>
      <c r="T33" s="55"/>
      <c r="U33" s="55"/>
    </row>
    <row r="34" spans="1:21" ht="228.75" customHeight="1">
      <c r="B34" s="287"/>
      <c r="C34" s="288"/>
      <c r="D34" s="305"/>
      <c r="E34" s="310" t="s">
        <v>675</v>
      </c>
      <c r="F34" s="104"/>
      <c r="G34" s="95" t="s">
        <v>676</v>
      </c>
      <c r="H34" s="312" t="s">
        <v>297</v>
      </c>
      <c r="I34" s="110"/>
      <c r="J34" s="316" t="s">
        <v>677</v>
      </c>
      <c r="K34" s="70"/>
      <c r="L34" s="254"/>
      <c r="M34" s="314" t="s">
        <v>678</v>
      </c>
      <c r="N34" s="254" t="s">
        <v>450</v>
      </c>
      <c r="O34" s="314" t="s">
        <v>679</v>
      </c>
      <c r="P34" s="46"/>
      <c r="Q34" s="46"/>
      <c r="R34" s="46"/>
      <c r="S34" s="302"/>
      <c r="T34" s="55"/>
      <c r="U34" s="55"/>
    </row>
    <row r="35" spans="1:21" ht="230.25" customHeight="1">
      <c r="B35" s="287"/>
      <c r="C35" s="288"/>
      <c r="D35" s="305"/>
      <c r="E35" s="311"/>
      <c r="F35" s="105"/>
      <c r="G35" s="95" t="s">
        <v>680</v>
      </c>
      <c r="H35" s="313"/>
      <c r="I35" s="111"/>
      <c r="J35" s="315"/>
      <c r="K35" s="109"/>
      <c r="L35" s="256"/>
      <c r="M35" s="315"/>
      <c r="N35" s="256"/>
      <c r="O35" s="315"/>
      <c r="P35" s="46"/>
      <c r="Q35" s="46"/>
      <c r="R35" s="46"/>
      <c r="S35" s="302"/>
      <c r="T35" s="55"/>
      <c r="U35" s="55"/>
    </row>
    <row r="36" spans="1:21" ht="409.5">
      <c r="B36" s="287"/>
      <c r="C36" s="288"/>
      <c r="D36" s="71"/>
      <c r="E36" s="64" t="s">
        <v>681</v>
      </c>
      <c r="F36" s="64"/>
      <c r="G36" s="40" t="s">
        <v>682</v>
      </c>
      <c r="H36" s="65" t="s">
        <v>300</v>
      </c>
      <c r="I36" s="65"/>
      <c r="J36" s="95" t="s">
        <v>683</v>
      </c>
      <c r="K36" s="95"/>
      <c r="L36" s="46"/>
      <c r="M36" s="95" t="s">
        <v>684</v>
      </c>
      <c r="N36" s="46"/>
      <c r="O36" s="46"/>
      <c r="P36" s="46"/>
      <c r="Q36" s="46"/>
      <c r="R36" s="46"/>
      <c r="S36" s="302"/>
      <c r="T36" s="55"/>
      <c r="U36" s="55"/>
    </row>
    <row r="37" spans="1:21" ht="204.75">
      <c r="B37" s="287"/>
      <c r="C37" s="288"/>
      <c r="D37" s="71"/>
      <c r="E37" s="64" t="s">
        <v>685</v>
      </c>
      <c r="F37" s="64"/>
      <c r="G37" s="95" t="s">
        <v>686</v>
      </c>
      <c r="H37" s="65" t="s">
        <v>302</v>
      </c>
      <c r="I37" s="65"/>
      <c r="J37" s="95" t="s">
        <v>687</v>
      </c>
      <c r="K37" s="95"/>
      <c r="L37" s="46"/>
      <c r="M37" s="95" t="s">
        <v>688</v>
      </c>
      <c r="N37" s="46"/>
      <c r="O37" s="46"/>
      <c r="P37" s="46"/>
      <c r="Q37" s="46"/>
      <c r="R37" s="46"/>
      <c r="S37" s="302"/>
      <c r="T37" s="55"/>
      <c r="U37" s="55"/>
    </row>
    <row r="38" spans="1:21" ht="346.5">
      <c r="B38" s="287"/>
      <c r="C38" s="288"/>
      <c r="D38" s="71"/>
      <c r="E38" s="64" t="s">
        <v>689</v>
      </c>
      <c r="F38" s="64"/>
      <c r="G38" s="95" t="s">
        <v>690</v>
      </c>
      <c r="H38" s="65" t="s">
        <v>303</v>
      </c>
      <c r="I38" s="65"/>
      <c r="J38" s="95" t="s">
        <v>691</v>
      </c>
      <c r="K38" s="95"/>
      <c r="L38" s="46"/>
      <c r="M38" s="46"/>
      <c r="N38" s="46"/>
      <c r="O38" s="46"/>
      <c r="P38" s="46"/>
      <c r="Q38" s="46"/>
      <c r="R38" s="46"/>
      <c r="S38" s="302"/>
      <c r="T38" s="55"/>
      <c r="U38" s="55"/>
    </row>
    <row r="39" spans="1:21" ht="283.5">
      <c r="B39" s="287"/>
      <c r="C39" s="289"/>
      <c r="D39" s="71"/>
      <c r="E39" s="64" t="s">
        <v>692</v>
      </c>
      <c r="F39" s="64"/>
      <c r="G39" s="95" t="s">
        <v>693</v>
      </c>
      <c r="H39" s="65" t="s">
        <v>305</v>
      </c>
      <c r="I39" s="65"/>
      <c r="J39" s="95" t="s">
        <v>694</v>
      </c>
      <c r="K39" s="95"/>
      <c r="L39" s="46"/>
      <c r="M39" s="46"/>
      <c r="N39" s="46"/>
      <c r="O39" s="46"/>
      <c r="P39" s="46"/>
      <c r="Q39" s="46"/>
      <c r="R39" s="46"/>
      <c r="S39" s="302"/>
      <c r="T39" s="55"/>
      <c r="U39" s="55"/>
    </row>
    <row r="40" spans="1:21" ht="409.5">
      <c r="B40" s="287"/>
      <c r="C40" s="287" t="s">
        <v>336</v>
      </c>
      <c r="D40" s="304" t="s">
        <v>695</v>
      </c>
      <c r="E40" s="64" t="s">
        <v>176</v>
      </c>
      <c r="F40" s="64"/>
      <c r="G40" s="95" t="s">
        <v>696</v>
      </c>
      <c r="H40" s="65" t="s">
        <v>339</v>
      </c>
      <c r="I40" s="65"/>
      <c r="J40" s="95" t="s">
        <v>697</v>
      </c>
      <c r="K40" s="95"/>
      <c r="L40" s="46"/>
      <c r="M40" s="95" t="s">
        <v>698</v>
      </c>
      <c r="N40" s="46"/>
      <c r="O40" s="46"/>
      <c r="P40" s="46"/>
      <c r="Q40" s="46"/>
      <c r="R40" s="46"/>
      <c r="S40" s="302"/>
      <c r="T40" s="55"/>
      <c r="U40" s="55"/>
    </row>
    <row r="41" spans="1:21" ht="272.25" customHeight="1">
      <c r="B41" s="287"/>
      <c r="C41" s="288"/>
      <c r="D41" s="305"/>
      <c r="E41" s="310" t="s">
        <v>183</v>
      </c>
      <c r="F41" s="104"/>
      <c r="G41" s="314" t="s">
        <v>699</v>
      </c>
      <c r="H41" s="312" t="s">
        <v>341</v>
      </c>
      <c r="I41" s="110"/>
      <c r="J41" s="291" t="s">
        <v>700</v>
      </c>
      <c r="K41" s="23"/>
      <c r="L41" s="254"/>
      <c r="M41" s="314" t="s">
        <v>701</v>
      </c>
      <c r="N41" s="46"/>
      <c r="O41" s="46"/>
      <c r="P41" s="46"/>
      <c r="Q41" s="46"/>
      <c r="R41" s="46"/>
      <c r="S41" s="302"/>
      <c r="T41" s="55"/>
      <c r="U41" s="55"/>
    </row>
    <row r="42" spans="1:21" ht="272.25" customHeight="1">
      <c r="B42" s="287"/>
      <c r="C42" s="288"/>
      <c r="D42" s="305"/>
      <c r="E42" s="311"/>
      <c r="F42" s="105"/>
      <c r="G42" s="315"/>
      <c r="H42" s="313"/>
      <c r="I42" s="111"/>
      <c r="J42" s="315"/>
      <c r="K42" s="109"/>
      <c r="L42" s="256"/>
      <c r="M42" s="315"/>
      <c r="N42" s="46"/>
      <c r="O42" s="46"/>
      <c r="P42" s="46"/>
      <c r="Q42" s="46"/>
      <c r="R42" s="46"/>
      <c r="S42" s="302"/>
      <c r="T42" s="55"/>
      <c r="U42" s="55"/>
    </row>
    <row r="43" spans="1:21" ht="409.5">
      <c r="A43" s="51" t="s">
        <v>702</v>
      </c>
      <c r="B43" s="287"/>
      <c r="C43" s="288"/>
      <c r="D43" s="305"/>
      <c r="E43" s="64" t="s">
        <v>191</v>
      </c>
      <c r="F43" s="64"/>
      <c r="G43" s="95" t="s">
        <v>703</v>
      </c>
      <c r="H43" s="65" t="s">
        <v>343</v>
      </c>
      <c r="I43" s="65"/>
      <c r="J43" s="95" t="s">
        <v>704</v>
      </c>
      <c r="K43" s="95"/>
      <c r="L43" s="46"/>
      <c r="M43" s="95" t="s">
        <v>705</v>
      </c>
      <c r="N43" s="46"/>
      <c r="O43" s="46"/>
      <c r="P43" s="46"/>
      <c r="Q43" s="46"/>
      <c r="R43" s="46"/>
      <c r="S43" s="302"/>
      <c r="T43" s="55"/>
      <c r="U43" s="55"/>
    </row>
    <row r="44" spans="1:21" ht="315">
      <c r="B44" s="287"/>
      <c r="C44" s="288"/>
      <c r="D44" s="305"/>
      <c r="E44" s="64" t="s">
        <v>200</v>
      </c>
      <c r="F44" s="64"/>
      <c r="G44" s="95" t="s">
        <v>706</v>
      </c>
      <c r="H44" s="65" t="s">
        <v>505</v>
      </c>
      <c r="I44" s="65"/>
      <c r="J44" s="95" t="s">
        <v>707</v>
      </c>
      <c r="K44" s="95"/>
      <c r="L44" s="46"/>
      <c r="M44" s="46"/>
      <c r="N44" s="46"/>
      <c r="O44" s="46"/>
      <c r="P44" s="46"/>
      <c r="Q44" s="46"/>
      <c r="R44" s="46"/>
      <c r="S44" s="302"/>
      <c r="T44" s="55"/>
      <c r="U44" s="55"/>
    </row>
    <row r="45" spans="1:21" ht="409.5">
      <c r="B45" s="287"/>
      <c r="C45" s="288"/>
      <c r="D45" s="305"/>
      <c r="E45" s="64" t="s">
        <v>205</v>
      </c>
      <c r="F45" s="64"/>
      <c r="G45" s="95" t="s">
        <v>709</v>
      </c>
      <c r="H45" s="65" t="s">
        <v>708</v>
      </c>
      <c r="I45" s="65"/>
      <c r="J45" s="46" t="s">
        <v>710</v>
      </c>
      <c r="K45" s="46"/>
      <c r="L45" s="46"/>
      <c r="M45" s="72" t="s">
        <v>711</v>
      </c>
      <c r="N45" s="46"/>
      <c r="O45" s="46"/>
      <c r="P45" s="46"/>
      <c r="Q45" s="46"/>
      <c r="R45" s="46"/>
      <c r="S45" s="302"/>
      <c r="T45" s="55"/>
      <c r="U45" s="55"/>
    </row>
    <row r="46" spans="1:21" ht="393.75">
      <c r="B46" s="287"/>
      <c r="C46" s="288"/>
      <c r="D46" s="305"/>
      <c r="E46" s="64" t="s">
        <v>219</v>
      </c>
      <c r="F46" s="64"/>
      <c r="G46" s="95" t="s">
        <v>713</v>
      </c>
      <c r="H46" s="65" t="s">
        <v>712</v>
      </c>
      <c r="I46" s="65"/>
      <c r="J46" s="46" t="s">
        <v>714</v>
      </c>
      <c r="K46" s="46"/>
      <c r="L46" s="46"/>
      <c r="M46" s="72" t="s">
        <v>711</v>
      </c>
      <c r="N46" s="46"/>
      <c r="O46" s="46"/>
      <c r="P46" s="46"/>
      <c r="Q46" s="46"/>
      <c r="R46" s="46"/>
      <c r="S46" s="302"/>
      <c r="T46" s="55"/>
      <c r="U46" s="55"/>
    </row>
    <row r="47" spans="1:21" ht="362.25">
      <c r="B47" s="287"/>
      <c r="C47" s="288"/>
      <c r="D47" s="305"/>
      <c r="E47" s="64" t="s">
        <v>228</v>
      </c>
      <c r="F47" s="64"/>
      <c r="G47" s="95" t="s">
        <v>716</v>
      </c>
      <c r="H47" s="65" t="s">
        <v>715</v>
      </c>
      <c r="I47" s="65"/>
      <c r="J47" s="46" t="s">
        <v>717</v>
      </c>
      <c r="K47" s="46"/>
      <c r="L47" s="46"/>
      <c r="M47" s="18" t="s">
        <v>718</v>
      </c>
      <c r="N47" s="46"/>
      <c r="O47" s="46"/>
      <c r="P47" s="46"/>
      <c r="Q47" s="46"/>
      <c r="R47" s="46"/>
      <c r="S47" s="302"/>
      <c r="T47" s="55"/>
      <c r="U47" s="55"/>
    </row>
    <row r="48" spans="1:21" ht="362.25">
      <c r="B48" s="287"/>
      <c r="C48" s="288"/>
      <c r="D48" s="305"/>
      <c r="E48" s="64" t="s">
        <v>265</v>
      </c>
      <c r="F48" s="64"/>
      <c r="G48" s="95" t="s">
        <v>720</v>
      </c>
      <c r="H48" s="65" t="s">
        <v>719</v>
      </c>
      <c r="I48" s="65"/>
      <c r="J48" s="46" t="s">
        <v>721</v>
      </c>
      <c r="K48" s="46"/>
      <c r="L48" s="46"/>
      <c r="M48" s="46"/>
      <c r="N48" s="46" t="s">
        <v>450</v>
      </c>
      <c r="O48" s="95" t="s">
        <v>507</v>
      </c>
      <c r="P48" s="46"/>
      <c r="Q48" s="46"/>
      <c r="R48" s="46"/>
      <c r="S48" s="302"/>
      <c r="T48" s="55"/>
      <c r="U48" s="55"/>
    </row>
    <row r="49" spans="2:21" ht="220.5">
      <c r="B49" s="287"/>
      <c r="C49" s="292"/>
      <c r="D49" s="320"/>
      <c r="E49" s="64" t="s">
        <v>277</v>
      </c>
      <c r="F49" s="64"/>
      <c r="G49" s="95" t="s">
        <v>723</v>
      </c>
      <c r="H49" s="65" t="s">
        <v>722</v>
      </c>
      <c r="I49" s="65"/>
      <c r="J49" s="46" t="s">
        <v>724</v>
      </c>
      <c r="K49" s="46"/>
      <c r="L49" s="46"/>
      <c r="M49" s="46"/>
      <c r="N49" s="46"/>
      <c r="O49" s="46"/>
      <c r="P49" s="46"/>
      <c r="Q49" s="46"/>
      <c r="R49" s="46"/>
      <c r="S49" s="302"/>
      <c r="T49" s="55"/>
      <c r="U49" s="55"/>
    </row>
    <row r="50" spans="2:21" ht="283.5">
      <c r="B50" s="287"/>
      <c r="C50" s="257" t="s">
        <v>345</v>
      </c>
      <c r="D50" s="253" t="s">
        <v>725</v>
      </c>
      <c r="E50" s="64" t="s">
        <v>726</v>
      </c>
      <c r="F50" s="64"/>
      <c r="G50" s="95" t="s">
        <v>727</v>
      </c>
      <c r="H50" s="65" t="s">
        <v>414</v>
      </c>
      <c r="I50" s="65"/>
      <c r="J50" s="46" t="s">
        <v>728</v>
      </c>
      <c r="K50" s="46"/>
      <c r="L50" s="46"/>
      <c r="M50" s="46"/>
      <c r="N50" s="46"/>
      <c r="O50" s="46"/>
      <c r="P50" s="46"/>
      <c r="Q50" s="46"/>
      <c r="R50" s="46"/>
      <c r="S50" s="302"/>
      <c r="T50" s="55"/>
      <c r="U50" s="55"/>
    </row>
    <row r="51" spans="2:21" ht="283.5">
      <c r="B51" s="287"/>
      <c r="C51" s="257"/>
      <c r="D51" s="317"/>
      <c r="E51" s="64" t="s">
        <v>238</v>
      </c>
      <c r="F51" s="64"/>
      <c r="G51" s="95" t="s">
        <v>729</v>
      </c>
      <c r="H51" s="65" t="s">
        <v>351</v>
      </c>
      <c r="I51" s="65"/>
      <c r="J51" s="46" t="s">
        <v>730</v>
      </c>
      <c r="K51" s="46"/>
      <c r="L51" s="46"/>
      <c r="M51" s="46" t="s">
        <v>731</v>
      </c>
      <c r="N51" s="46"/>
      <c r="O51" s="46"/>
      <c r="P51" s="46"/>
      <c r="Q51" s="46"/>
      <c r="R51" s="46"/>
      <c r="S51" s="302"/>
      <c r="T51" s="55"/>
      <c r="U51" s="55"/>
    </row>
    <row r="52" spans="2:21" ht="315">
      <c r="B52" s="287"/>
      <c r="C52" s="257"/>
      <c r="D52" s="317"/>
      <c r="E52" s="64" t="s">
        <v>244</v>
      </c>
      <c r="F52" s="64"/>
      <c r="G52" s="95" t="s">
        <v>732</v>
      </c>
      <c r="H52" s="65" t="s">
        <v>354</v>
      </c>
      <c r="I52" s="65"/>
      <c r="J52" s="46" t="s">
        <v>733</v>
      </c>
      <c r="K52" s="46"/>
      <c r="L52" s="46"/>
      <c r="M52" s="46"/>
      <c r="N52" s="46"/>
      <c r="O52" s="46"/>
      <c r="P52" s="46"/>
      <c r="Q52" s="46"/>
      <c r="R52" s="46"/>
      <c r="S52" s="302"/>
      <c r="T52" s="55"/>
      <c r="U52" s="55"/>
    </row>
    <row r="53" spans="2:21" ht="252">
      <c r="B53" s="287"/>
      <c r="C53" s="257"/>
      <c r="D53" s="317"/>
      <c r="E53" s="64" t="s">
        <v>249</v>
      </c>
      <c r="F53" s="64"/>
      <c r="G53" s="95" t="s">
        <v>734</v>
      </c>
      <c r="H53" s="65" t="s">
        <v>357</v>
      </c>
      <c r="I53" s="65"/>
      <c r="J53" s="95" t="s">
        <v>735</v>
      </c>
      <c r="K53" s="95"/>
      <c r="L53" s="46"/>
      <c r="M53" s="46"/>
      <c r="N53" s="46" t="s">
        <v>519</v>
      </c>
      <c r="O53" s="46" t="s">
        <v>520</v>
      </c>
      <c r="P53" s="46"/>
      <c r="Q53" s="46"/>
      <c r="R53" s="46"/>
      <c r="S53" s="302"/>
      <c r="T53" s="55"/>
      <c r="U53" s="55"/>
    </row>
    <row r="54" spans="2:21" ht="362.25">
      <c r="B54" s="287"/>
      <c r="C54" s="257"/>
      <c r="D54" s="317"/>
      <c r="E54" s="64" t="s">
        <v>254</v>
      </c>
      <c r="F54" s="64"/>
      <c r="G54" s="18" t="s">
        <v>736</v>
      </c>
      <c r="H54" s="65" t="s">
        <v>359</v>
      </c>
      <c r="I54" s="65"/>
      <c r="J54" s="95" t="s">
        <v>737</v>
      </c>
      <c r="K54" s="95"/>
      <c r="L54" s="46"/>
      <c r="M54" s="101" t="s">
        <v>738</v>
      </c>
      <c r="N54" s="46"/>
      <c r="O54" s="46"/>
      <c r="P54" s="46"/>
      <c r="Q54" s="46"/>
      <c r="R54" s="46"/>
      <c r="S54" s="302"/>
      <c r="T54" s="55"/>
      <c r="U54" s="55"/>
    </row>
    <row r="55" spans="2:21" ht="236.25">
      <c r="B55" s="287"/>
      <c r="C55" s="257"/>
      <c r="D55" s="317"/>
      <c r="E55" s="64" t="s">
        <v>261</v>
      </c>
      <c r="F55" s="64"/>
      <c r="G55" s="95" t="s">
        <v>524</v>
      </c>
      <c r="H55" s="65" t="s">
        <v>361</v>
      </c>
      <c r="I55" s="65"/>
      <c r="J55" s="46" t="s">
        <v>739</v>
      </c>
      <c r="K55" s="46"/>
      <c r="L55" s="46"/>
      <c r="M55" s="46"/>
      <c r="N55" s="46"/>
      <c r="O55" s="46"/>
      <c r="P55" s="46"/>
      <c r="Q55" s="46"/>
      <c r="R55" s="70"/>
      <c r="S55" s="302"/>
      <c r="T55" s="55"/>
      <c r="U55" s="55"/>
    </row>
    <row r="56" spans="2:21" ht="346.5">
      <c r="B56" s="287"/>
      <c r="C56" s="318" t="s">
        <v>740</v>
      </c>
      <c r="D56" s="318" t="s">
        <v>741</v>
      </c>
      <c r="E56" s="73" t="s">
        <v>286</v>
      </c>
      <c r="F56" s="73"/>
      <c r="G56" s="95" t="s">
        <v>742</v>
      </c>
      <c r="H56" s="65" t="s">
        <v>396</v>
      </c>
      <c r="I56" s="65"/>
      <c r="J56" s="95" t="s">
        <v>743</v>
      </c>
      <c r="K56" s="95"/>
      <c r="L56" s="46"/>
      <c r="M56" s="95" t="s">
        <v>744</v>
      </c>
      <c r="N56" s="46"/>
      <c r="O56" s="46"/>
      <c r="P56" s="46"/>
      <c r="Q56" s="66"/>
      <c r="R56" s="74"/>
      <c r="S56" s="302"/>
      <c r="T56" s="55"/>
      <c r="U56" s="55"/>
    </row>
    <row r="57" spans="2:21" ht="362.25">
      <c r="B57" s="287"/>
      <c r="C57" s="318"/>
      <c r="D57" s="318"/>
      <c r="E57" s="73" t="s">
        <v>299</v>
      </c>
      <c r="F57" s="73"/>
      <c r="G57" s="95" t="s">
        <v>746</v>
      </c>
      <c r="H57" s="75" t="s">
        <v>745</v>
      </c>
      <c r="I57" s="75"/>
      <c r="J57" s="95" t="s">
        <v>747</v>
      </c>
      <c r="K57" s="95"/>
      <c r="L57" s="46"/>
      <c r="M57" s="46"/>
      <c r="N57" s="46"/>
      <c r="O57" s="46"/>
      <c r="P57" s="46"/>
      <c r="Q57" s="66"/>
      <c r="R57" s="76"/>
      <c r="S57" s="302"/>
      <c r="T57" s="55"/>
      <c r="U57" s="55"/>
    </row>
    <row r="58" spans="2:21" ht="362.25">
      <c r="B58" s="287"/>
      <c r="C58" s="318"/>
      <c r="D58" s="318"/>
      <c r="E58" s="73" t="s">
        <v>308</v>
      </c>
      <c r="F58" s="73"/>
      <c r="G58" s="46" t="s">
        <v>749</v>
      </c>
      <c r="H58" s="65" t="s">
        <v>748</v>
      </c>
      <c r="I58" s="65"/>
      <c r="J58" s="95" t="s">
        <v>750</v>
      </c>
      <c r="K58" s="95"/>
      <c r="L58" s="46"/>
      <c r="M58" s="95" t="s">
        <v>751</v>
      </c>
      <c r="N58" s="46"/>
      <c r="O58" s="46"/>
      <c r="P58" s="46"/>
      <c r="Q58" s="66"/>
      <c r="R58" s="76"/>
      <c r="S58" s="302"/>
      <c r="T58" s="55"/>
      <c r="U58" s="55"/>
    </row>
    <row r="59" spans="2:21" ht="362.25">
      <c r="B59" s="287"/>
      <c r="C59" s="318"/>
      <c r="D59" s="318"/>
      <c r="E59" s="73" t="s">
        <v>314</v>
      </c>
      <c r="F59" s="73"/>
      <c r="G59" s="46" t="s">
        <v>749</v>
      </c>
      <c r="H59" s="65" t="s">
        <v>752</v>
      </c>
      <c r="I59" s="65"/>
      <c r="J59" s="95" t="s">
        <v>753</v>
      </c>
      <c r="K59" s="95"/>
      <c r="L59" s="46"/>
      <c r="M59" s="46"/>
      <c r="N59" s="46"/>
      <c r="O59" s="46"/>
      <c r="P59" s="46"/>
      <c r="Q59" s="66"/>
      <c r="R59" s="76"/>
      <c r="S59" s="302"/>
      <c r="T59" s="55"/>
      <c r="U59" s="55"/>
    </row>
    <row r="60" spans="2:21" ht="388.5" customHeight="1">
      <c r="B60" s="287"/>
      <c r="C60" s="318"/>
      <c r="D60" s="318"/>
      <c r="E60" s="73" t="s">
        <v>322</v>
      </c>
      <c r="F60" s="73"/>
      <c r="G60" s="46" t="s">
        <v>749</v>
      </c>
      <c r="H60" s="65" t="s">
        <v>754</v>
      </c>
      <c r="I60" s="65"/>
      <c r="J60" s="95" t="s">
        <v>755</v>
      </c>
      <c r="K60" s="95"/>
      <c r="L60" s="46"/>
      <c r="M60" s="46"/>
      <c r="N60" s="46"/>
      <c r="O60" s="46"/>
      <c r="P60" s="46"/>
      <c r="Q60" s="66"/>
      <c r="R60" s="76"/>
      <c r="S60" s="302"/>
      <c r="T60" s="55"/>
      <c r="U60" s="55"/>
    </row>
    <row r="61" spans="2:21" ht="362.25">
      <c r="B61" s="287"/>
      <c r="C61" s="319"/>
      <c r="D61" s="319"/>
      <c r="E61" s="77" t="s">
        <v>330</v>
      </c>
      <c r="F61" s="77"/>
      <c r="G61" s="79" t="s">
        <v>757</v>
      </c>
      <c r="H61" s="78" t="s">
        <v>756</v>
      </c>
      <c r="I61" s="78"/>
      <c r="J61" s="100" t="s">
        <v>758</v>
      </c>
      <c r="K61" s="100"/>
      <c r="L61" s="70"/>
      <c r="M61" s="70"/>
      <c r="N61" s="70"/>
      <c r="O61" s="70"/>
      <c r="P61" s="70"/>
      <c r="Q61" s="80"/>
      <c r="R61" s="81"/>
      <c r="S61" s="302"/>
      <c r="T61" s="55"/>
      <c r="U61" s="55"/>
    </row>
    <row r="62" spans="2:21" ht="236.25">
      <c r="B62" s="287"/>
      <c r="C62" s="244" t="s">
        <v>528</v>
      </c>
      <c r="D62" s="244" t="s">
        <v>337</v>
      </c>
      <c r="E62" s="82" t="s">
        <v>338</v>
      </c>
      <c r="F62" s="82"/>
      <c r="G62" s="84" t="s">
        <v>760</v>
      </c>
      <c r="H62" s="83" t="s">
        <v>759</v>
      </c>
      <c r="I62" s="83"/>
      <c r="J62" s="84" t="s">
        <v>761</v>
      </c>
      <c r="K62" s="84"/>
      <c r="L62" s="84"/>
      <c r="M62" s="85" t="s">
        <v>762</v>
      </c>
      <c r="N62" s="84"/>
      <c r="O62" s="84"/>
      <c r="P62" s="84"/>
      <c r="Q62" s="84"/>
      <c r="R62" s="84"/>
      <c r="S62" s="302"/>
      <c r="T62" s="55"/>
      <c r="U62" s="55"/>
    </row>
    <row r="63" spans="2:21" ht="236.25">
      <c r="B63" s="287"/>
      <c r="C63" s="245"/>
      <c r="D63" s="245"/>
      <c r="E63" s="86" t="s">
        <v>763</v>
      </c>
      <c r="F63" s="86"/>
      <c r="G63" s="88" t="s">
        <v>765</v>
      </c>
      <c r="H63" s="87" t="s">
        <v>764</v>
      </c>
      <c r="I63" s="116"/>
      <c r="J63" s="89" t="s">
        <v>766</v>
      </c>
      <c r="K63" s="114"/>
      <c r="L63" s="46"/>
      <c r="M63" s="72" t="s">
        <v>767</v>
      </c>
      <c r="N63" s="46"/>
      <c r="O63" s="46"/>
      <c r="P63" s="46"/>
      <c r="Q63" s="46"/>
      <c r="R63" s="46"/>
      <c r="S63" s="302"/>
      <c r="T63" s="55"/>
      <c r="U63" s="55"/>
    </row>
    <row r="64" spans="2:21" ht="189">
      <c r="B64" s="287"/>
      <c r="C64" s="245"/>
      <c r="D64" s="245"/>
      <c r="E64" s="86" t="s">
        <v>768</v>
      </c>
      <c r="F64" s="86"/>
      <c r="G64" s="102" t="s">
        <v>770</v>
      </c>
      <c r="H64" s="87" t="s">
        <v>769</v>
      </c>
      <c r="I64" s="87"/>
      <c r="J64" s="48" t="s">
        <v>771</v>
      </c>
      <c r="K64" s="48"/>
      <c r="L64" s="46"/>
      <c r="M64" s="72" t="s">
        <v>772</v>
      </c>
      <c r="N64" s="46"/>
      <c r="O64" s="46"/>
      <c r="P64" s="46"/>
      <c r="Q64" s="46"/>
      <c r="R64" s="46"/>
      <c r="S64" s="302"/>
      <c r="T64" s="55"/>
      <c r="U64" s="55"/>
    </row>
    <row r="65" spans="2:21" ht="267.75">
      <c r="B65" s="287"/>
      <c r="C65" s="90" t="s">
        <v>530</v>
      </c>
      <c r="D65" s="91" t="s">
        <v>527</v>
      </c>
      <c r="E65" s="73" t="s">
        <v>773</v>
      </c>
      <c r="F65" s="73"/>
      <c r="G65" s="46" t="s">
        <v>775</v>
      </c>
      <c r="H65" s="65" t="s">
        <v>774</v>
      </c>
      <c r="I65" s="115"/>
      <c r="J65" s="113" t="s">
        <v>776</v>
      </c>
      <c r="K65" s="113"/>
      <c r="L65" s="46"/>
      <c r="M65" s="46" t="s">
        <v>777</v>
      </c>
      <c r="N65" s="46"/>
      <c r="O65" s="46"/>
      <c r="P65" s="46"/>
      <c r="Q65" s="46"/>
      <c r="R65" s="46"/>
      <c r="S65" s="302"/>
      <c r="T65" s="55"/>
      <c r="U65" s="55"/>
    </row>
    <row r="66" spans="2:21" ht="283.5">
      <c r="B66" s="287"/>
      <c r="C66" s="244" t="s">
        <v>532</v>
      </c>
      <c r="D66" s="321" t="s">
        <v>531</v>
      </c>
      <c r="E66" s="73" t="s">
        <v>778</v>
      </c>
      <c r="F66" s="73"/>
      <c r="G66" s="95" t="s">
        <v>780</v>
      </c>
      <c r="H66" s="65" t="s">
        <v>779</v>
      </c>
      <c r="I66" s="65"/>
      <c r="J66" s="46" t="s">
        <v>781</v>
      </c>
      <c r="K66" s="46"/>
      <c r="L66" s="46"/>
      <c r="M66" s="46"/>
      <c r="N66" s="46"/>
      <c r="O66" s="46"/>
      <c r="P66" s="46"/>
      <c r="Q66" s="46"/>
      <c r="R66" s="46"/>
      <c r="S66" s="302"/>
      <c r="T66" s="55"/>
      <c r="U66" s="55"/>
    </row>
    <row r="67" spans="2:21" ht="189">
      <c r="B67" s="287"/>
      <c r="C67" s="246"/>
      <c r="D67" s="322"/>
      <c r="E67" s="73" t="s">
        <v>782</v>
      </c>
      <c r="F67" s="73"/>
      <c r="G67" s="95" t="s">
        <v>780</v>
      </c>
      <c r="H67" s="65" t="s">
        <v>783</v>
      </c>
      <c r="I67" s="65"/>
      <c r="J67" s="46" t="s">
        <v>784</v>
      </c>
      <c r="K67" s="46"/>
      <c r="L67" s="46"/>
      <c r="M67" s="46"/>
      <c r="N67" s="46"/>
      <c r="O67" s="46"/>
      <c r="P67" s="46"/>
      <c r="Q67" s="46"/>
      <c r="R67" s="46"/>
      <c r="S67" s="302"/>
      <c r="T67" s="55"/>
      <c r="U67" s="55"/>
    </row>
    <row r="68" spans="2:21" ht="283.5">
      <c r="B68" s="287"/>
      <c r="C68" s="50" t="s">
        <v>532</v>
      </c>
      <c r="D68" s="92" t="s">
        <v>533</v>
      </c>
      <c r="E68" s="93" t="s">
        <v>395</v>
      </c>
      <c r="F68" s="93"/>
      <c r="G68" s="103" t="s">
        <v>534</v>
      </c>
      <c r="H68" s="65" t="s">
        <v>779</v>
      </c>
      <c r="I68" s="65"/>
      <c r="J68" s="103" t="s">
        <v>785</v>
      </c>
      <c r="K68" s="103"/>
      <c r="L68" s="94"/>
      <c r="M68" s="103" t="s">
        <v>786</v>
      </c>
      <c r="N68" s="94"/>
      <c r="O68" s="94"/>
      <c r="P68" s="94"/>
      <c r="Q68" s="94"/>
      <c r="R68" s="94"/>
      <c r="S68" s="302"/>
      <c r="T68" s="55"/>
      <c r="U68" s="55"/>
    </row>
    <row r="69" spans="2:21" ht="138.75" customHeight="1">
      <c r="B69" s="106"/>
      <c r="C69" s="323" t="s">
        <v>1242</v>
      </c>
      <c r="D69" s="323" t="s">
        <v>1243</v>
      </c>
      <c r="E69" s="254" t="s">
        <v>1244</v>
      </c>
      <c r="F69" s="64" t="s">
        <v>347</v>
      </c>
      <c r="G69" s="97" t="s">
        <v>421</v>
      </c>
      <c r="H69" s="65" t="s">
        <v>1245</v>
      </c>
      <c r="I69" s="65"/>
      <c r="J69" s="46" t="s">
        <v>613</v>
      </c>
      <c r="K69" s="66"/>
      <c r="L69" s="66"/>
      <c r="M69" s="46"/>
      <c r="N69" s="46"/>
      <c r="O69" s="46"/>
      <c r="P69" s="46"/>
      <c r="Q69" s="46"/>
      <c r="R69" s="46"/>
      <c r="S69" s="106"/>
      <c r="T69" s="55"/>
      <c r="U69" s="55"/>
    </row>
    <row r="70" spans="2:21" ht="138.75" customHeight="1">
      <c r="B70" s="106"/>
      <c r="C70" s="324"/>
      <c r="D70" s="324"/>
      <c r="E70" s="255"/>
      <c r="F70" s="64" t="s">
        <v>1246</v>
      </c>
      <c r="G70" s="66"/>
      <c r="H70" s="65" t="s">
        <v>1247</v>
      </c>
      <c r="I70" s="65"/>
      <c r="J70" s="46"/>
      <c r="K70" s="66"/>
      <c r="L70" s="66"/>
      <c r="M70" s="46"/>
      <c r="N70" s="46"/>
      <c r="O70" s="46"/>
      <c r="P70" s="46"/>
      <c r="Q70" s="46"/>
      <c r="R70" s="46"/>
      <c r="S70" s="106"/>
      <c r="T70" s="55"/>
      <c r="U70" s="55"/>
    </row>
    <row r="71" spans="2:21" ht="222.75" customHeight="1">
      <c r="B71" s="106"/>
      <c r="C71" s="324"/>
      <c r="D71" s="324"/>
      <c r="E71" s="256"/>
      <c r="F71" s="64" t="s">
        <v>353</v>
      </c>
      <c r="G71" s="66" t="s">
        <v>423</v>
      </c>
      <c r="H71" s="65" t="s">
        <v>1248</v>
      </c>
      <c r="I71" s="65"/>
      <c r="J71" s="46" t="s">
        <v>614</v>
      </c>
      <c r="K71" s="66"/>
      <c r="L71" s="66"/>
      <c r="M71" s="46"/>
      <c r="N71" s="46"/>
      <c r="O71" s="46"/>
      <c r="P71" s="46"/>
      <c r="Q71" s="46"/>
      <c r="R71" s="46"/>
      <c r="S71" s="106"/>
      <c r="T71" s="55"/>
      <c r="U71" s="55"/>
    </row>
    <row r="72" spans="2:21" ht="183" customHeight="1">
      <c r="B72" s="106"/>
      <c r="C72" s="324"/>
      <c r="D72" s="324"/>
      <c r="E72" s="257" t="s">
        <v>358</v>
      </c>
      <c r="F72" s="64" t="s">
        <v>23</v>
      </c>
      <c r="G72" s="128"/>
      <c r="H72" s="65" t="s">
        <v>14</v>
      </c>
      <c r="I72" s="65"/>
      <c r="J72" s="128"/>
      <c r="L72" s="66"/>
      <c r="M72" s="46"/>
      <c r="N72" s="46"/>
      <c r="O72" s="46"/>
      <c r="P72" s="46"/>
      <c r="Q72" s="46"/>
      <c r="R72" s="46"/>
      <c r="S72" s="106"/>
      <c r="T72" s="55"/>
      <c r="U72" s="55"/>
    </row>
    <row r="73" spans="2:21" ht="21.75" customHeight="1">
      <c r="C73" s="324"/>
      <c r="D73" s="324"/>
      <c r="E73" s="257"/>
      <c r="F73" s="131" t="s">
        <v>416</v>
      </c>
      <c r="G73" s="132"/>
      <c r="H73" s="132"/>
      <c r="I73" s="132"/>
      <c r="J73" s="132"/>
      <c r="K73" s="55"/>
      <c r="L73" s="55"/>
      <c r="M73" s="55"/>
      <c r="N73" s="55"/>
      <c r="O73" s="55"/>
      <c r="P73" s="55"/>
      <c r="Q73" s="55"/>
      <c r="R73" s="55"/>
      <c r="S73" s="55"/>
      <c r="T73" s="55"/>
      <c r="U73" s="55"/>
    </row>
    <row r="74" spans="2:21" ht="13.5" customHeight="1">
      <c r="C74" s="324"/>
      <c r="D74" s="324"/>
      <c r="E74" s="325" t="s">
        <v>424</v>
      </c>
      <c r="F74" s="131" t="s">
        <v>364</v>
      </c>
      <c r="G74" s="132"/>
      <c r="H74" s="132"/>
      <c r="I74" s="132"/>
      <c r="J74" s="132"/>
      <c r="K74" s="55"/>
      <c r="L74" s="55"/>
      <c r="M74" s="55"/>
      <c r="N74" s="55"/>
      <c r="O74" s="55"/>
      <c r="P74" s="55"/>
      <c r="Q74" s="55"/>
      <c r="R74" s="55"/>
      <c r="S74" s="55"/>
      <c r="T74" s="55"/>
      <c r="U74" s="55"/>
    </row>
    <row r="75" spans="2:21" ht="13.5" customHeight="1">
      <c r="C75" s="324"/>
      <c r="D75" s="324"/>
      <c r="E75" s="325"/>
      <c r="F75" s="131" t="s">
        <v>366</v>
      </c>
      <c r="G75" s="132"/>
      <c r="H75" s="132"/>
      <c r="I75" s="132"/>
      <c r="J75" s="132"/>
      <c r="K75" s="55"/>
      <c r="L75" s="55"/>
      <c r="M75" s="55"/>
      <c r="N75" s="55"/>
      <c r="O75" s="55"/>
      <c r="P75" s="55"/>
      <c r="Q75" s="55"/>
      <c r="R75" s="55"/>
      <c r="S75" s="55"/>
      <c r="T75" s="55"/>
      <c r="U75" s="55"/>
    </row>
    <row r="76" spans="2:21" ht="13.5" customHeight="1">
      <c r="C76" s="324"/>
      <c r="D76" s="324"/>
      <c r="E76" s="325"/>
      <c r="F76" s="131" t="s">
        <v>368</v>
      </c>
      <c r="G76" s="132"/>
      <c r="H76" s="132"/>
      <c r="I76" s="132"/>
      <c r="J76" s="132"/>
      <c r="K76" s="55"/>
      <c r="L76" s="55"/>
      <c r="M76" s="55"/>
      <c r="N76" s="55"/>
      <c r="O76" s="55"/>
      <c r="P76" s="55"/>
      <c r="Q76" s="55"/>
      <c r="R76" s="55"/>
      <c r="S76" s="55"/>
      <c r="T76" s="55"/>
      <c r="U76" s="55"/>
    </row>
    <row r="77" spans="2:21" ht="13.5" customHeight="1">
      <c r="C77" s="324"/>
      <c r="D77" s="324"/>
      <c r="E77" s="325" t="s">
        <v>33</v>
      </c>
      <c r="F77" s="131" t="s">
        <v>370</v>
      </c>
      <c r="G77" s="132"/>
      <c r="H77" s="132"/>
      <c r="I77" s="132"/>
      <c r="J77" s="132"/>
      <c r="K77" s="55"/>
      <c r="L77" s="55"/>
      <c r="M77" s="55"/>
      <c r="N77" s="55"/>
      <c r="O77" s="55"/>
      <c r="P77" s="55"/>
      <c r="Q77" s="55"/>
      <c r="R77" s="55"/>
      <c r="S77" s="55"/>
      <c r="T77" s="55"/>
      <c r="U77" s="55"/>
    </row>
    <row r="78" spans="2:21" ht="13.5" customHeight="1">
      <c r="C78" s="324"/>
      <c r="D78" s="324"/>
      <c r="E78" s="325"/>
      <c r="F78" s="131" t="s">
        <v>1249</v>
      </c>
      <c r="G78" s="132"/>
      <c r="H78" s="132"/>
      <c r="I78" s="132"/>
      <c r="J78" s="132"/>
      <c r="K78" s="55"/>
      <c r="L78" s="55"/>
      <c r="M78" s="55"/>
      <c r="N78" s="55"/>
      <c r="O78" s="55"/>
      <c r="P78" s="55"/>
      <c r="Q78" s="55"/>
      <c r="R78" s="55"/>
      <c r="S78" s="55"/>
      <c r="T78" s="55"/>
      <c r="U78" s="55"/>
    </row>
    <row r="79" spans="2:21" ht="13.5" customHeight="1">
      <c r="C79" s="324"/>
      <c r="D79" s="324"/>
      <c r="E79" s="325"/>
      <c r="F79" s="131" t="s">
        <v>377</v>
      </c>
      <c r="G79" s="132"/>
      <c r="H79" s="132"/>
      <c r="I79" s="132"/>
      <c r="J79" s="132"/>
      <c r="K79" s="55"/>
      <c r="L79" s="55"/>
      <c r="M79" s="55"/>
      <c r="N79" s="55"/>
      <c r="O79" s="55"/>
      <c r="P79" s="55"/>
      <c r="Q79" s="55"/>
      <c r="R79" s="55"/>
      <c r="S79" s="55"/>
      <c r="T79" s="55"/>
      <c r="U79" s="55"/>
    </row>
    <row r="80" spans="2:21" ht="13.5" customHeight="1">
      <c r="C80" s="324"/>
      <c r="D80" s="324"/>
      <c r="E80" s="325"/>
      <c r="F80" s="129" t="s">
        <v>379</v>
      </c>
      <c r="G80" s="132"/>
      <c r="H80" s="132"/>
      <c r="I80" s="132"/>
      <c r="J80" s="132"/>
      <c r="K80" s="55"/>
      <c r="L80" s="55"/>
      <c r="M80" s="55"/>
      <c r="N80" s="55"/>
      <c r="O80" s="55"/>
      <c r="P80" s="55"/>
      <c r="Q80" s="55"/>
      <c r="R80" s="55"/>
      <c r="S80" s="55"/>
      <c r="T80" s="55"/>
      <c r="U80" s="55"/>
    </row>
    <row r="81" spans="3:21" ht="13.5" customHeight="1">
      <c r="C81" s="324"/>
      <c r="D81" s="324"/>
      <c r="E81" s="325"/>
      <c r="F81" s="129" t="s">
        <v>381</v>
      </c>
      <c r="G81" s="132"/>
      <c r="H81" s="132"/>
      <c r="I81" s="132"/>
      <c r="J81" s="132"/>
      <c r="K81" s="55"/>
      <c r="L81" s="55"/>
      <c r="M81" s="55"/>
      <c r="N81" s="55"/>
      <c r="O81" s="55"/>
      <c r="P81" s="55"/>
      <c r="Q81" s="55"/>
      <c r="R81" s="55"/>
      <c r="S81" s="55"/>
      <c r="T81" s="55"/>
      <c r="U81" s="55"/>
    </row>
    <row r="82" spans="3:21" ht="13.5" customHeight="1">
      <c r="C82" s="324"/>
      <c r="D82" s="324"/>
      <c r="E82" s="325"/>
      <c r="F82" s="131" t="s">
        <v>383</v>
      </c>
      <c r="G82" s="132"/>
      <c r="H82" s="132"/>
      <c r="I82" s="132"/>
      <c r="J82" s="132"/>
      <c r="K82" s="55"/>
      <c r="L82" s="55"/>
      <c r="M82" s="55"/>
      <c r="N82" s="55"/>
      <c r="O82" s="55"/>
      <c r="P82" s="55"/>
      <c r="Q82" s="55"/>
      <c r="R82" s="55"/>
      <c r="S82" s="55"/>
      <c r="T82" s="55"/>
      <c r="U82" s="55"/>
    </row>
    <row r="83" spans="3:21" ht="13.5" customHeight="1">
      <c r="C83" s="324"/>
      <c r="D83" s="324"/>
      <c r="E83" s="130" t="s">
        <v>1250</v>
      </c>
      <c r="F83" s="131"/>
      <c r="G83" s="132"/>
      <c r="H83" s="132"/>
      <c r="I83" s="132"/>
      <c r="J83" s="132"/>
      <c r="K83" s="55"/>
      <c r="L83" s="55"/>
      <c r="M83" s="55"/>
      <c r="N83" s="55"/>
      <c r="O83" s="55"/>
      <c r="P83" s="55"/>
      <c r="Q83" s="55"/>
      <c r="R83" s="55"/>
      <c r="S83" s="55"/>
      <c r="T83" s="55"/>
      <c r="U83" s="55"/>
    </row>
    <row r="84" spans="3:21" ht="13.5" customHeight="1">
      <c r="D84" s="53"/>
      <c r="E84" s="133"/>
      <c r="F84" s="133"/>
      <c r="G84" s="132"/>
      <c r="H84" s="132"/>
      <c r="I84" s="132"/>
      <c r="J84" s="132"/>
      <c r="K84" s="55"/>
      <c r="L84" s="55"/>
      <c r="M84" s="55"/>
      <c r="N84" s="55"/>
      <c r="O84" s="55"/>
      <c r="P84" s="55"/>
      <c r="Q84" s="55"/>
      <c r="R84" s="55"/>
      <c r="S84" s="55"/>
      <c r="T84" s="55"/>
      <c r="U84" s="55"/>
    </row>
    <row r="85" spans="3:21" ht="13.5" customHeight="1">
      <c r="D85" s="53"/>
      <c r="E85" s="133"/>
      <c r="F85" s="133"/>
      <c r="G85" s="132"/>
      <c r="H85" s="132"/>
      <c r="I85" s="132"/>
      <c r="J85" s="132"/>
      <c r="K85" s="55"/>
      <c r="L85" s="55"/>
      <c r="M85" s="55"/>
      <c r="N85" s="55"/>
      <c r="O85" s="55"/>
      <c r="P85" s="55"/>
      <c r="Q85" s="55"/>
      <c r="R85" s="55"/>
      <c r="S85" s="55"/>
      <c r="T85" s="55"/>
      <c r="U85" s="55"/>
    </row>
    <row r="86" spans="3:21" ht="13.5" customHeight="1">
      <c r="D86" s="53"/>
      <c r="E86" s="54"/>
      <c r="F86" s="54"/>
      <c r="G86" s="55"/>
      <c r="H86" s="55"/>
      <c r="I86" s="55"/>
      <c r="J86" s="55"/>
      <c r="K86" s="55"/>
      <c r="L86" s="55"/>
      <c r="M86" s="55"/>
      <c r="N86" s="55"/>
      <c r="O86" s="55"/>
      <c r="P86" s="55"/>
      <c r="Q86" s="55"/>
      <c r="R86" s="55"/>
      <c r="S86" s="55"/>
      <c r="T86" s="55"/>
      <c r="U86" s="55"/>
    </row>
    <row r="87" spans="3:21" ht="13.5" customHeight="1">
      <c r="D87" s="53"/>
      <c r="E87" s="54"/>
      <c r="F87" s="54"/>
      <c r="G87" s="55"/>
      <c r="H87" s="55"/>
      <c r="I87" s="55"/>
      <c r="J87" s="55"/>
      <c r="K87" s="55"/>
      <c r="L87" s="55"/>
      <c r="M87" s="55"/>
      <c r="N87" s="55"/>
      <c r="O87" s="55"/>
      <c r="P87" s="55"/>
      <c r="Q87" s="55"/>
      <c r="R87" s="55"/>
      <c r="S87" s="55"/>
      <c r="T87" s="55"/>
      <c r="U87" s="55"/>
    </row>
    <row r="88" spans="3:21" ht="13.5" customHeight="1">
      <c r="D88" s="53"/>
      <c r="E88" s="54"/>
      <c r="F88" s="54"/>
      <c r="G88" s="55"/>
      <c r="H88" s="55"/>
      <c r="I88" s="55"/>
      <c r="J88" s="55"/>
      <c r="K88" s="55"/>
      <c r="L88" s="55"/>
      <c r="M88" s="55"/>
      <c r="N88" s="55"/>
      <c r="O88" s="55"/>
      <c r="P88" s="55"/>
      <c r="Q88" s="55"/>
      <c r="R88" s="55"/>
      <c r="S88" s="55"/>
      <c r="T88" s="55"/>
      <c r="U88" s="55"/>
    </row>
    <row r="89" spans="3:21" ht="13.5" customHeight="1">
      <c r="D89" s="53"/>
      <c r="E89" s="54"/>
      <c r="F89" s="54"/>
      <c r="G89" s="55"/>
      <c r="H89" s="55"/>
      <c r="I89" s="55"/>
      <c r="J89" s="55"/>
      <c r="K89" s="55"/>
      <c r="L89" s="55"/>
      <c r="M89" s="55"/>
      <c r="N89" s="55"/>
      <c r="O89" s="55"/>
      <c r="P89" s="55"/>
      <c r="Q89" s="55"/>
      <c r="R89" s="55"/>
      <c r="S89" s="55"/>
      <c r="T89" s="55"/>
      <c r="U89" s="55"/>
    </row>
    <row r="90" spans="3:21" ht="13.5" customHeight="1">
      <c r="D90" s="53"/>
      <c r="E90" s="54"/>
      <c r="F90" s="54"/>
      <c r="G90" s="55"/>
      <c r="H90" s="55"/>
      <c r="I90" s="55"/>
      <c r="J90" s="55"/>
      <c r="K90" s="55"/>
      <c r="L90" s="55"/>
      <c r="M90" s="55"/>
      <c r="N90" s="55"/>
      <c r="O90" s="55"/>
      <c r="P90" s="55"/>
      <c r="Q90" s="55"/>
      <c r="R90" s="55"/>
      <c r="S90" s="55"/>
      <c r="T90" s="55"/>
      <c r="U90" s="55"/>
    </row>
    <row r="91" spans="3:21" ht="13.5" customHeight="1">
      <c r="D91" s="53"/>
      <c r="E91" s="54"/>
      <c r="F91" s="54"/>
      <c r="G91" s="55"/>
      <c r="H91" s="55"/>
      <c r="I91" s="55"/>
      <c r="J91" s="55"/>
      <c r="K91" s="55"/>
      <c r="L91" s="55"/>
      <c r="M91" s="55"/>
      <c r="N91" s="55"/>
      <c r="O91" s="55"/>
      <c r="P91" s="55"/>
      <c r="Q91" s="55"/>
      <c r="R91" s="55"/>
      <c r="S91" s="55"/>
      <c r="T91" s="55"/>
      <c r="U91" s="55"/>
    </row>
    <row r="92" spans="3:21" ht="13.5" customHeight="1">
      <c r="D92" s="53"/>
      <c r="E92" s="54"/>
      <c r="F92" s="54"/>
      <c r="G92" s="55"/>
      <c r="H92" s="55"/>
      <c r="I92" s="55"/>
      <c r="J92" s="55"/>
      <c r="K92" s="55"/>
      <c r="L92" s="55"/>
      <c r="M92" s="55"/>
      <c r="N92" s="55"/>
      <c r="O92" s="55"/>
      <c r="P92" s="55"/>
      <c r="Q92" s="55"/>
      <c r="R92" s="55"/>
      <c r="S92" s="55"/>
      <c r="T92" s="55"/>
      <c r="U92" s="55"/>
    </row>
    <row r="93" spans="3:21" ht="13.5" customHeight="1">
      <c r="D93" s="53"/>
      <c r="E93" s="54"/>
      <c r="F93" s="54"/>
      <c r="G93" s="55"/>
      <c r="H93" s="55"/>
      <c r="I93" s="55"/>
      <c r="J93" s="55"/>
      <c r="K93" s="55"/>
      <c r="L93" s="55"/>
      <c r="M93" s="55"/>
      <c r="N93" s="55"/>
      <c r="O93" s="55"/>
      <c r="P93" s="55"/>
      <c r="Q93" s="55"/>
      <c r="R93" s="55"/>
      <c r="S93" s="55"/>
      <c r="T93" s="55"/>
      <c r="U93" s="55"/>
    </row>
    <row r="94" spans="3:21" ht="13.5" customHeight="1">
      <c r="D94" s="53"/>
      <c r="E94" s="54"/>
      <c r="F94" s="54"/>
      <c r="G94" s="55"/>
      <c r="H94" s="55"/>
      <c r="I94" s="55"/>
      <c r="J94" s="55"/>
      <c r="K94" s="55"/>
      <c r="L94" s="55"/>
      <c r="M94" s="55"/>
      <c r="N94" s="55"/>
      <c r="O94" s="55"/>
      <c r="P94" s="55"/>
      <c r="Q94" s="55"/>
      <c r="R94" s="55"/>
      <c r="S94" s="55"/>
      <c r="T94" s="55"/>
      <c r="U94" s="55"/>
    </row>
    <row r="95" spans="3:21" ht="13.5" customHeight="1">
      <c r="D95" s="53"/>
      <c r="E95" s="54"/>
      <c r="F95" s="54"/>
      <c r="G95" s="55"/>
      <c r="H95" s="55"/>
      <c r="I95" s="55"/>
      <c r="J95" s="55"/>
      <c r="K95" s="55"/>
      <c r="L95" s="55"/>
      <c r="M95" s="55"/>
      <c r="N95" s="55"/>
      <c r="O95" s="55"/>
      <c r="P95" s="55"/>
      <c r="Q95" s="55"/>
      <c r="R95" s="55"/>
      <c r="S95" s="55"/>
      <c r="T95" s="55"/>
      <c r="U95" s="55"/>
    </row>
    <row r="96" spans="3:21" ht="13.5" customHeight="1">
      <c r="D96" s="53"/>
      <c r="E96" s="54"/>
      <c r="F96" s="54"/>
      <c r="G96" s="55"/>
      <c r="H96" s="55"/>
      <c r="I96" s="55"/>
      <c r="J96" s="55"/>
      <c r="K96" s="55"/>
      <c r="L96" s="55"/>
      <c r="M96" s="55"/>
      <c r="N96" s="55"/>
      <c r="O96" s="55"/>
      <c r="P96" s="55"/>
      <c r="Q96" s="55"/>
      <c r="R96" s="55"/>
      <c r="S96" s="55"/>
      <c r="T96" s="55"/>
      <c r="U96" s="55"/>
    </row>
    <row r="97" spans="4:21" ht="13.5" customHeight="1">
      <c r="D97" s="53"/>
      <c r="E97" s="54"/>
      <c r="F97" s="54"/>
      <c r="G97" s="55"/>
      <c r="H97" s="55"/>
      <c r="I97" s="55"/>
      <c r="J97" s="55"/>
      <c r="K97" s="55"/>
      <c r="L97" s="55"/>
      <c r="M97" s="55"/>
      <c r="N97" s="55"/>
      <c r="O97" s="55"/>
      <c r="P97" s="55"/>
      <c r="Q97" s="55"/>
      <c r="R97" s="55"/>
      <c r="S97" s="55"/>
      <c r="T97" s="55"/>
      <c r="U97" s="55"/>
    </row>
    <row r="98" spans="4:21" ht="13.5" customHeight="1">
      <c r="D98" s="53"/>
      <c r="E98" s="54"/>
      <c r="F98" s="54"/>
      <c r="G98" s="55"/>
      <c r="H98" s="55"/>
      <c r="I98" s="55"/>
      <c r="J98" s="55"/>
      <c r="K98" s="55"/>
      <c r="L98" s="55"/>
      <c r="M98" s="55"/>
      <c r="N98" s="55"/>
      <c r="O98" s="55"/>
      <c r="P98" s="55"/>
      <c r="Q98" s="55"/>
      <c r="R98" s="55"/>
      <c r="S98" s="55"/>
      <c r="T98" s="55"/>
      <c r="U98" s="55"/>
    </row>
    <row r="99" spans="4:21" ht="13.5" customHeight="1">
      <c r="D99" s="53"/>
      <c r="E99" s="54"/>
      <c r="F99" s="54"/>
      <c r="G99" s="55"/>
      <c r="H99" s="55"/>
      <c r="I99" s="55"/>
      <c r="J99" s="55"/>
      <c r="K99" s="55"/>
      <c r="L99" s="55"/>
      <c r="M99" s="55"/>
      <c r="N99" s="55"/>
      <c r="O99" s="55"/>
      <c r="P99" s="55"/>
      <c r="Q99" s="55"/>
      <c r="R99" s="55"/>
      <c r="S99" s="55"/>
      <c r="T99" s="55"/>
      <c r="U99" s="55"/>
    </row>
    <row r="100" spans="4:21" ht="13.5" customHeight="1">
      <c r="D100" s="53"/>
      <c r="E100" s="54"/>
      <c r="F100" s="54"/>
      <c r="G100" s="55"/>
      <c r="H100" s="55"/>
      <c r="I100" s="55"/>
      <c r="J100" s="55"/>
      <c r="K100" s="55"/>
      <c r="L100" s="55"/>
      <c r="M100" s="55"/>
      <c r="N100" s="55"/>
      <c r="O100" s="55"/>
      <c r="P100" s="55"/>
      <c r="Q100" s="55"/>
      <c r="R100" s="55"/>
      <c r="S100" s="55"/>
      <c r="T100" s="55"/>
      <c r="U100" s="55"/>
    </row>
    <row r="101" spans="4:21" ht="13.5" customHeight="1">
      <c r="D101" s="53"/>
      <c r="E101" s="54"/>
      <c r="F101" s="54"/>
      <c r="G101" s="55"/>
      <c r="H101" s="55"/>
      <c r="I101" s="55"/>
      <c r="J101" s="55"/>
      <c r="K101" s="55"/>
      <c r="L101" s="55"/>
      <c r="M101" s="55"/>
      <c r="N101" s="55"/>
      <c r="O101" s="55"/>
      <c r="P101" s="55"/>
      <c r="Q101" s="55"/>
      <c r="R101" s="55"/>
      <c r="S101" s="55"/>
      <c r="T101" s="55"/>
      <c r="U101" s="55"/>
    </row>
    <row r="102" spans="4:21" ht="13.5" customHeight="1">
      <c r="D102" s="53"/>
      <c r="E102" s="54"/>
      <c r="F102" s="54"/>
      <c r="G102" s="55"/>
      <c r="H102" s="55"/>
      <c r="I102" s="55"/>
      <c r="J102" s="55"/>
      <c r="K102" s="55"/>
      <c r="L102" s="55"/>
      <c r="M102" s="55"/>
      <c r="N102" s="55"/>
      <c r="O102" s="55"/>
      <c r="P102" s="55"/>
      <c r="Q102" s="55"/>
      <c r="R102" s="55"/>
      <c r="S102" s="55"/>
      <c r="T102" s="55"/>
      <c r="U102" s="55"/>
    </row>
    <row r="103" spans="4:21" ht="13.5" customHeight="1">
      <c r="D103" s="53"/>
      <c r="E103" s="54"/>
      <c r="F103" s="54"/>
      <c r="G103" s="55"/>
      <c r="H103" s="55"/>
      <c r="I103" s="55"/>
      <c r="J103" s="55"/>
      <c r="K103" s="55"/>
      <c r="L103" s="55"/>
      <c r="M103" s="55"/>
      <c r="N103" s="55"/>
      <c r="O103" s="55"/>
      <c r="P103" s="55"/>
      <c r="Q103" s="55"/>
      <c r="R103" s="55"/>
      <c r="S103" s="55"/>
      <c r="T103" s="55"/>
      <c r="U103" s="55"/>
    </row>
    <row r="104" spans="4:21" ht="13.5" customHeight="1">
      <c r="D104" s="53"/>
      <c r="E104" s="54"/>
      <c r="F104" s="54"/>
      <c r="G104" s="55"/>
      <c r="H104" s="55"/>
      <c r="I104" s="55"/>
      <c r="J104" s="55"/>
      <c r="K104" s="55"/>
      <c r="L104" s="55"/>
      <c r="M104" s="55"/>
      <c r="N104" s="55"/>
      <c r="O104" s="55"/>
      <c r="P104" s="55"/>
      <c r="Q104" s="55"/>
      <c r="R104" s="55"/>
      <c r="S104" s="55"/>
      <c r="T104" s="55"/>
      <c r="U104" s="55"/>
    </row>
    <row r="105" spans="4:21" ht="13.5" customHeight="1">
      <c r="D105" s="53"/>
      <c r="E105" s="54"/>
      <c r="F105" s="54"/>
      <c r="G105" s="55"/>
      <c r="H105" s="55"/>
      <c r="I105" s="55"/>
      <c r="J105" s="55"/>
      <c r="K105" s="55"/>
      <c r="L105" s="55"/>
      <c r="M105" s="55"/>
      <c r="N105" s="55"/>
      <c r="O105" s="55"/>
      <c r="P105" s="55"/>
      <c r="Q105" s="55"/>
      <c r="R105" s="55"/>
      <c r="S105" s="55"/>
      <c r="T105" s="55"/>
      <c r="U105" s="55"/>
    </row>
    <row r="106" spans="4:21" ht="13.5" customHeight="1">
      <c r="D106" s="53"/>
      <c r="E106" s="54"/>
      <c r="F106" s="54"/>
      <c r="G106" s="55"/>
      <c r="H106" s="55"/>
      <c r="I106" s="55"/>
      <c r="J106" s="55"/>
      <c r="K106" s="55"/>
      <c r="L106" s="55"/>
      <c r="M106" s="55"/>
      <c r="N106" s="55"/>
      <c r="O106" s="55"/>
      <c r="P106" s="55"/>
      <c r="Q106" s="55"/>
      <c r="R106" s="55"/>
      <c r="S106" s="55"/>
      <c r="T106" s="55"/>
      <c r="U106" s="55"/>
    </row>
    <row r="107" spans="4:21" ht="13.5" customHeight="1">
      <c r="D107" s="53"/>
      <c r="E107" s="54"/>
      <c r="F107" s="54"/>
      <c r="G107" s="55"/>
      <c r="H107" s="55"/>
      <c r="I107" s="55"/>
      <c r="J107" s="55"/>
      <c r="K107" s="55"/>
      <c r="L107" s="55"/>
      <c r="M107" s="55"/>
      <c r="N107" s="55"/>
      <c r="O107" s="55"/>
      <c r="P107" s="55"/>
      <c r="Q107" s="55"/>
      <c r="R107" s="55"/>
      <c r="S107" s="55"/>
      <c r="T107" s="55"/>
      <c r="U107" s="55"/>
    </row>
    <row r="108" spans="4:21" ht="13.5" customHeight="1">
      <c r="D108" s="53"/>
      <c r="E108" s="54"/>
      <c r="F108" s="54"/>
      <c r="G108" s="55"/>
      <c r="H108" s="55"/>
      <c r="I108" s="55"/>
      <c r="J108" s="55"/>
      <c r="K108" s="55"/>
      <c r="L108" s="55"/>
      <c r="M108" s="55"/>
      <c r="N108" s="55"/>
      <c r="O108" s="55"/>
      <c r="P108" s="55"/>
      <c r="Q108" s="55"/>
      <c r="R108" s="55"/>
      <c r="S108" s="55"/>
      <c r="T108" s="55"/>
      <c r="U108" s="55"/>
    </row>
    <row r="109" spans="4:21" ht="13.5" customHeight="1">
      <c r="D109" s="53"/>
      <c r="E109" s="54"/>
      <c r="F109" s="54"/>
      <c r="G109" s="55"/>
      <c r="H109" s="55"/>
      <c r="I109" s="55"/>
      <c r="J109" s="55"/>
      <c r="K109" s="55"/>
      <c r="L109" s="55"/>
      <c r="M109" s="55"/>
      <c r="N109" s="55"/>
      <c r="O109" s="55"/>
      <c r="P109" s="55"/>
      <c r="Q109" s="55"/>
      <c r="R109" s="55"/>
      <c r="S109" s="55"/>
      <c r="T109" s="55"/>
      <c r="U109" s="55"/>
    </row>
    <row r="110" spans="4:21" ht="13.5" customHeight="1">
      <c r="D110" s="53"/>
      <c r="E110" s="54"/>
      <c r="F110" s="54"/>
      <c r="G110" s="55"/>
      <c r="H110" s="55"/>
      <c r="I110" s="55"/>
      <c r="J110" s="55"/>
      <c r="K110" s="55"/>
      <c r="L110" s="55"/>
      <c r="M110" s="55"/>
      <c r="N110" s="55"/>
      <c r="O110" s="55"/>
      <c r="P110" s="55"/>
      <c r="Q110" s="55"/>
      <c r="R110" s="55"/>
      <c r="S110" s="55"/>
      <c r="T110" s="55"/>
      <c r="U110" s="55"/>
    </row>
    <row r="111" spans="4:21" ht="13.5" customHeight="1">
      <c r="D111" s="53"/>
      <c r="E111" s="54"/>
      <c r="F111" s="54"/>
      <c r="G111" s="55"/>
      <c r="H111" s="55"/>
      <c r="I111" s="55"/>
      <c r="J111" s="55"/>
      <c r="K111" s="55"/>
      <c r="L111" s="55"/>
      <c r="M111" s="55"/>
      <c r="N111" s="55"/>
      <c r="O111" s="55"/>
      <c r="P111" s="55"/>
      <c r="Q111" s="55"/>
      <c r="R111" s="55"/>
      <c r="S111" s="55"/>
      <c r="T111" s="55"/>
      <c r="U111" s="55"/>
    </row>
    <row r="112" spans="4:21" ht="13.5" customHeight="1">
      <c r="D112" s="53"/>
      <c r="E112" s="54"/>
      <c r="F112" s="54"/>
      <c r="G112" s="55"/>
      <c r="H112" s="55"/>
      <c r="I112" s="55"/>
      <c r="J112" s="55"/>
      <c r="K112" s="55"/>
      <c r="L112" s="55"/>
      <c r="M112" s="55"/>
      <c r="N112" s="55"/>
      <c r="O112" s="55"/>
      <c r="P112" s="55"/>
      <c r="Q112" s="55"/>
      <c r="R112" s="55"/>
      <c r="S112" s="55"/>
      <c r="T112" s="55"/>
      <c r="U112" s="55"/>
    </row>
    <row r="113" spans="4:21" ht="13.5" customHeight="1">
      <c r="D113" s="53"/>
      <c r="E113" s="54"/>
      <c r="F113" s="54"/>
      <c r="G113" s="55"/>
      <c r="H113" s="55"/>
      <c r="I113" s="55"/>
      <c r="J113" s="55"/>
      <c r="K113" s="55"/>
      <c r="L113" s="55"/>
      <c r="M113" s="55"/>
      <c r="N113" s="55"/>
      <c r="O113" s="55"/>
      <c r="P113" s="55"/>
      <c r="Q113" s="55"/>
      <c r="R113" s="55"/>
      <c r="S113" s="55"/>
      <c r="T113" s="55"/>
      <c r="U113" s="55"/>
    </row>
    <row r="114" spans="4:21" ht="13.5" customHeight="1">
      <c r="D114" s="53"/>
      <c r="E114" s="54"/>
      <c r="F114" s="54"/>
      <c r="G114" s="55"/>
      <c r="H114" s="55"/>
      <c r="I114" s="55"/>
      <c r="J114" s="55"/>
      <c r="K114" s="55"/>
      <c r="L114" s="55"/>
      <c r="M114" s="55"/>
      <c r="N114" s="55"/>
      <c r="O114" s="55"/>
      <c r="P114" s="55"/>
      <c r="Q114" s="55"/>
      <c r="R114" s="55"/>
      <c r="S114" s="55"/>
      <c r="T114" s="55"/>
      <c r="U114" s="55"/>
    </row>
    <row r="115" spans="4:21" ht="13.5" customHeight="1">
      <c r="D115" s="53"/>
      <c r="E115" s="54"/>
      <c r="F115" s="54"/>
      <c r="G115" s="55"/>
      <c r="H115" s="55"/>
      <c r="I115" s="55"/>
      <c r="J115" s="55"/>
      <c r="K115" s="55"/>
      <c r="L115" s="55"/>
      <c r="M115" s="55"/>
      <c r="N115" s="55"/>
      <c r="O115" s="55"/>
      <c r="P115" s="55"/>
      <c r="Q115" s="55"/>
      <c r="R115" s="55"/>
      <c r="S115" s="55"/>
      <c r="T115" s="55"/>
      <c r="U115" s="55"/>
    </row>
    <row r="116" spans="4:21" ht="13.5" customHeight="1">
      <c r="D116" s="53"/>
      <c r="E116" s="54"/>
      <c r="F116" s="54"/>
      <c r="G116" s="55"/>
      <c r="H116" s="55"/>
      <c r="I116" s="55"/>
      <c r="J116" s="55"/>
      <c r="K116" s="55"/>
      <c r="L116" s="55"/>
      <c r="M116" s="55"/>
      <c r="N116" s="55"/>
      <c r="O116" s="55"/>
      <c r="P116" s="55"/>
      <c r="Q116" s="55"/>
      <c r="R116" s="55"/>
      <c r="S116" s="55"/>
      <c r="T116" s="55"/>
      <c r="U116" s="55"/>
    </row>
    <row r="117" spans="4:21" ht="13.5" customHeight="1">
      <c r="D117" s="53"/>
      <c r="E117" s="54"/>
      <c r="F117" s="54"/>
      <c r="G117" s="55"/>
      <c r="H117" s="55"/>
      <c r="I117" s="55"/>
      <c r="J117" s="55"/>
      <c r="K117" s="55"/>
      <c r="L117" s="55"/>
      <c r="M117" s="55"/>
      <c r="N117" s="55"/>
      <c r="O117" s="55"/>
      <c r="P117" s="55"/>
      <c r="Q117" s="55"/>
      <c r="R117" s="55"/>
      <c r="S117" s="55"/>
      <c r="T117" s="55"/>
      <c r="U117" s="55"/>
    </row>
    <row r="118" spans="4:21" ht="13.5" customHeight="1">
      <c r="D118" s="53"/>
      <c r="E118" s="54"/>
      <c r="F118" s="54"/>
      <c r="G118" s="55"/>
      <c r="H118" s="55"/>
      <c r="I118" s="55"/>
      <c r="J118" s="55"/>
      <c r="K118" s="55"/>
      <c r="L118" s="55"/>
      <c r="M118" s="55"/>
      <c r="N118" s="55"/>
      <c r="O118" s="55"/>
      <c r="P118" s="55"/>
      <c r="Q118" s="55"/>
      <c r="R118" s="55"/>
      <c r="S118" s="55"/>
      <c r="T118" s="55"/>
      <c r="U118" s="55"/>
    </row>
    <row r="119" spans="4:21" ht="13.5" customHeight="1">
      <c r="D119" s="53"/>
      <c r="E119" s="54"/>
      <c r="F119" s="54"/>
      <c r="G119" s="55"/>
      <c r="H119" s="55"/>
      <c r="I119" s="55"/>
      <c r="J119" s="55"/>
      <c r="K119" s="55"/>
      <c r="L119" s="55"/>
      <c r="M119" s="55"/>
      <c r="N119" s="55"/>
      <c r="O119" s="55"/>
      <c r="P119" s="55"/>
      <c r="Q119" s="55"/>
      <c r="R119" s="55"/>
      <c r="S119" s="55"/>
      <c r="T119" s="55"/>
      <c r="U119" s="55"/>
    </row>
    <row r="120" spans="4:21" ht="13.5" customHeight="1">
      <c r="D120" s="53"/>
      <c r="E120" s="54"/>
      <c r="F120" s="54"/>
      <c r="G120" s="55"/>
      <c r="H120" s="55"/>
      <c r="I120" s="55"/>
      <c r="J120" s="55"/>
      <c r="K120" s="55"/>
      <c r="L120" s="55"/>
      <c r="M120" s="55"/>
      <c r="N120" s="55"/>
      <c r="O120" s="55"/>
      <c r="P120" s="55"/>
      <c r="Q120" s="55"/>
      <c r="R120" s="55"/>
      <c r="S120" s="55"/>
      <c r="T120" s="55"/>
      <c r="U120" s="55"/>
    </row>
    <row r="121" spans="4:21" ht="13.5" customHeight="1">
      <c r="D121" s="53"/>
      <c r="E121" s="54"/>
      <c r="F121" s="54"/>
      <c r="G121" s="55"/>
      <c r="H121" s="55"/>
      <c r="I121" s="55"/>
      <c r="J121" s="55"/>
      <c r="K121" s="55"/>
      <c r="L121" s="55"/>
      <c r="M121" s="55"/>
      <c r="N121" s="55"/>
      <c r="O121" s="55"/>
      <c r="P121" s="55"/>
      <c r="Q121" s="55"/>
      <c r="R121" s="55"/>
      <c r="S121" s="55"/>
      <c r="T121" s="55"/>
      <c r="U121" s="55"/>
    </row>
    <row r="122" spans="4:21" ht="13.5" customHeight="1">
      <c r="D122" s="53"/>
      <c r="E122" s="54"/>
      <c r="F122" s="54"/>
      <c r="G122" s="55"/>
      <c r="H122" s="55"/>
      <c r="I122" s="55"/>
      <c r="J122" s="55"/>
      <c r="K122" s="55"/>
      <c r="L122" s="55"/>
      <c r="M122" s="55"/>
      <c r="N122" s="55"/>
      <c r="O122" s="55"/>
      <c r="P122" s="55"/>
      <c r="Q122" s="55"/>
      <c r="R122" s="55"/>
      <c r="S122" s="55"/>
      <c r="T122" s="55"/>
      <c r="U122" s="55"/>
    </row>
    <row r="123" spans="4:21" ht="13.5" customHeight="1">
      <c r="D123" s="53"/>
      <c r="E123" s="54"/>
      <c r="F123" s="54"/>
      <c r="G123" s="55"/>
      <c r="H123" s="55"/>
      <c r="I123" s="55"/>
      <c r="J123" s="55"/>
      <c r="K123" s="55"/>
      <c r="L123" s="55"/>
      <c r="M123" s="55"/>
      <c r="N123" s="55"/>
      <c r="O123" s="55"/>
      <c r="P123" s="55"/>
      <c r="Q123" s="55"/>
      <c r="R123" s="55"/>
      <c r="S123" s="55"/>
      <c r="T123" s="55"/>
      <c r="U123" s="55"/>
    </row>
    <row r="124" spans="4:21" ht="13.5" customHeight="1">
      <c r="D124" s="53"/>
      <c r="E124" s="54"/>
      <c r="F124" s="54"/>
      <c r="G124" s="55"/>
      <c r="H124" s="55"/>
      <c r="I124" s="55"/>
      <c r="J124" s="55"/>
      <c r="K124" s="55"/>
      <c r="L124" s="55"/>
      <c r="M124" s="55"/>
      <c r="N124" s="55"/>
      <c r="O124" s="55"/>
      <c r="P124" s="55"/>
      <c r="Q124" s="55"/>
      <c r="R124" s="55"/>
      <c r="S124" s="55"/>
      <c r="T124" s="55"/>
      <c r="U124" s="55"/>
    </row>
    <row r="125" spans="4:21" ht="13.5" customHeight="1">
      <c r="D125" s="53"/>
      <c r="E125" s="54"/>
      <c r="F125" s="54"/>
      <c r="G125" s="55"/>
      <c r="H125" s="55"/>
      <c r="I125" s="55"/>
      <c r="J125" s="55"/>
      <c r="K125" s="55"/>
      <c r="L125" s="55"/>
      <c r="M125" s="55"/>
      <c r="N125" s="55"/>
      <c r="O125" s="55"/>
      <c r="P125" s="55"/>
      <c r="Q125" s="55"/>
      <c r="R125" s="55"/>
      <c r="S125" s="55"/>
      <c r="T125" s="55"/>
      <c r="U125" s="55"/>
    </row>
    <row r="126" spans="4:21" ht="13.5" customHeight="1">
      <c r="D126" s="53"/>
      <c r="E126" s="54"/>
      <c r="F126" s="54"/>
      <c r="G126" s="55"/>
      <c r="H126" s="55"/>
      <c r="I126" s="55"/>
      <c r="J126" s="55"/>
      <c r="K126" s="55"/>
      <c r="L126" s="55"/>
      <c r="M126" s="55"/>
      <c r="N126" s="55"/>
      <c r="O126" s="55"/>
      <c r="P126" s="55"/>
      <c r="Q126" s="55"/>
      <c r="R126" s="55"/>
      <c r="S126" s="55"/>
      <c r="T126" s="55"/>
      <c r="U126" s="55"/>
    </row>
    <row r="127" spans="4:21" ht="13.5" customHeight="1">
      <c r="D127" s="53"/>
      <c r="E127" s="54"/>
      <c r="F127" s="54"/>
      <c r="G127" s="55"/>
      <c r="H127" s="55"/>
      <c r="I127" s="55"/>
      <c r="J127" s="55"/>
      <c r="K127" s="55"/>
      <c r="L127" s="55"/>
      <c r="M127" s="55"/>
      <c r="N127" s="55"/>
      <c r="O127" s="55"/>
      <c r="P127" s="55"/>
      <c r="Q127" s="55"/>
      <c r="R127" s="55"/>
      <c r="S127" s="55"/>
      <c r="T127" s="55"/>
      <c r="U127" s="55"/>
    </row>
    <row r="128" spans="4:21" ht="13.5" customHeight="1">
      <c r="D128" s="53"/>
      <c r="E128" s="54"/>
      <c r="F128" s="54"/>
      <c r="G128" s="55"/>
      <c r="H128" s="55"/>
      <c r="I128" s="55"/>
      <c r="J128" s="55"/>
      <c r="K128" s="55"/>
      <c r="L128" s="55"/>
      <c r="M128" s="55"/>
      <c r="N128" s="55"/>
      <c r="O128" s="55"/>
      <c r="P128" s="55"/>
      <c r="Q128" s="55"/>
      <c r="R128" s="55"/>
      <c r="S128" s="55"/>
      <c r="T128" s="55"/>
      <c r="U128" s="55"/>
    </row>
    <row r="129" spans="4:21" ht="13.5" customHeight="1">
      <c r="D129" s="53"/>
      <c r="E129" s="54"/>
      <c r="F129" s="54"/>
      <c r="G129" s="55"/>
      <c r="H129" s="55"/>
      <c r="I129" s="55"/>
      <c r="J129" s="55"/>
      <c r="K129" s="55"/>
      <c r="L129" s="55"/>
      <c r="M129" s="55"/>
      <c r="N129" s="55"/>
      <c r="O129" s="55"/>
      <c r="P129" s="55"/>
      <c r="Q129" s="55"/>
      <c r="R129" s="55"/>
      <c r="S129" s="55"/>
      <c r="T129" s="55"/>
      <c r="U129" s="55"/>
    </row>
    <row r="130" spans="4:21" ht="13.5" customHeight="1">
      <c r="D130" s="53"/>
      <c r="E130" s="54"/>
      <c r="F130" s="54"/>
      <c r="G130" s="55"/>
      <c r="H130" s="55"/>
      <c r="I130" s="55"/>
      <c r="J130" s="55"/>
      <c r="K130" s="55"/>
      <c r="L130" s="55"/>
      <c r="M130" s="55"/>
      <c r="N130" s="55"/>
      <c r="O130" s="55"/>
      <c r="P130" s="55"/>
      <c r="Q130" s="55"/>
      <c r="R130" s="55"/>
      <c r="S130" s="55"/>
      <c r="T130" s="55"/>
      <c r="U130" s="55"/>
    </row>
    <row r="131" spans="4:21" ht="13.5" customHeight="1">
      <c r="D131" s="53"/>
      <c r="E131" s="54"/>
      <c r="F131" s="54"/>
      <c r="G131" s="55"/>
      <c r="H131" s="55"/>
      <c r="I131" s="55"/>
      <c r="J131" s="55"/>
      <c r="K131" s="55"/>
      <c r="L131" s="55"/>
      <c r="M131" s="55"/>
      <c r="N131" s="55"/>
      <c r="O131" s="55"/>
      <c r="P131" s="55"/>
      <c r="Q131" s="55"/>
      <c r="R131" s="55"/>
      <c r="S131" s="55"/>
      <c r="T131" s="55"/>
      <c r="U131" s="55"/>
    </row>
    <row r="132" spans="4:21" ht="13.5" customHeight="1">
      <c r="D132" s="53"/>
      <c r="E132" s="54"/>
      <c r="F132" s="54"/>
      <c r="G132" s="55"/>
      <c r="H132" s="55"/>
      <c r="I132" s="55"/>
      <c r="J132" s="55"/>
      <c r="K132" s="55"/>
      <c r="L132" s="55"/>
      <c r="M132" s="55"/>
      <c r="N132" s="55"/>
      <c r="O132" s="55"/>
      <c r="P132" s="55"/>
      <c r="Q132" s="55"/>
      <c r="R132" s="55"/>
      <c r="S132" s="55"/>
      <c r="T132" s="55"/>
      <c r="U132" s="55"/>
    </row>
    <row r="133" spans="4:21" ht="13.5" customHeight="1">
      <c r="D133" s="53"/>
      <c r="E133" s="54"/>
      <c r="F133" s="54"/>
      <c r="G133" s="55"/>
      <c r="H133" s="55"/>
      <c r="I133" s="55"/>
      <c r="J133" s="55"/>
      <c r="K133" s="55"/>
      <c r="L133" s="55"/>
      <c r="M133" s="55"/>
      <c r="N133" s="55"/>
      <c r="O133" s="55"/>
      <c r="P133" s="55"/>
      <c r="Q133" s="55"/>
      <c r="R133" s="55"/>
      <c r="S133" s="55"/>
      <c r="T133" s="55"/>
      <c r="U133" s="55"/>
    </row>
    <row r="134" spans="4:21" ht="13.5" customHeight="1">
      <c r="D134" s="53"/>
      <c r="E134" s="54"/>
      <c r="F134" s="54"/>
      <c r="G134" s="55"/>
      <c r="H134" s="55"/>
      <c r="I134" s="55"/>
      <c r="J134" s="55"/>
      <c r="K134" s="55"/>
      <c r="L134" s="55"/>
      <c r="M134" s="55"/>
      <c r="N134" s="55"/>
      <c r="O134" s="55"/>
      <c r="P134" s="55"/>
      <c r="Q134" s="55"/>
      <c r="R134" s="55"/>
      <c r="S134" s="55"/>
      <c r="T134" s="55"/>
      <c r="U134" s="55"/>
    </row>
    <row r="135" spans="4:21" ht="13.5" customHeight="1">
      <c r="D135" s="53"/>
      <c r="E135" s="54"/>
      <c r="F135" s="54"/>
      <c r="G135" s="55"/>
      <c r="H135" s="55"/>
      <c r="I135" s="55"/>
      <c r="J135" s="55"/>
      <c r="K135" s="55"/>
      <c r="L135" s="55"/>
      <c r="M135" s="55"/>
      <c r="N135" s="55"/>
      <c r="O135" s="55"/>
      <c r="P135" s="55"/>
      <c r="Q135" s="55"/>
      <c r="R135" s="55"/>
      <c r="S135" s="55"/>
      <c r="T135" s="55"/>
      <c r="U135" s="55"/>
    </row>
    <row r="136" spans="4:21" ht="13.5" customHeight="1">
      <c r="D136" s="53"/>
      <c r="E136" s="54"/>
      <c r="F136" s="54"/>
      <c r="G136" s="55"/>
      <c r="H136" s="55"/>
      <c r="I136" s="55"/>
      <c r="J136" s="55"/>
      <c r="K136" s="55"/>
      <c r="L136" s="55"/>
      <c r="M136" s="55"/>
      <c r="N136" s="55"/>
      <c r="O136" s="55"/>
      <c r="P136" s="55"/>
      <c r="Q136" s="55"/>
      <c r="R136" s="55"/>
      <c r="S136" s="55"/>
      <c r="T136" s="55"/>
      <c r="U136" s="55"/>
    </row>
    <row r="137" spans="4:21" ht="13.5" customHeight="1">
      <c r="D137" s="53"/>
      <c r="E137" s="54"/>
      <c r="F137" s="54"/>
      <c r="G137" s="55"/>
      <c r="H137" s="55"/>
      <c r="I137" s="55"/>
      <c r="J137" s="55"/>
      <c r="K137" s="55"/>
      <c r="L137" s="55"/>
      <c r="M137" s="55"/>
      <c r="N137" s="55"/>
      <c r="O137" s="55"/>
      <c r="P137" s="55"/>
      <c r="Q137" s="55"/>
      <c r="R137" s="55"/>
      <c r="S137" s="55"/>
      <c r="T137" s="55"/>
      <c r="U137" s="55"/>
    </row>
    <row r="138" spans="4:21" ht="13.5" customHeight="1">
      <c r="D138" s="53"/>
      <c r="E138" s="54"/>
      <c r="F138" s="54"/>
      <c r="G138" s="55"/>
      <c r="H138" s="55"/>
      <c r="I138" s="55"/>
      <c r="J138" s="55"/>
      <c r="K138" s="55"/>
      <c r="L138" s="55"/>
      <c r="M138" s="55"/>
      <c r="N138" s="55"/>
      <c r="O138" s="55"/>
      <c r="P138" s="55"/>
      <c r="Q138" s="55"/>
      <c r="R138" s="55"/>
      <c r="S138" s="55"/>
      <c r="T138" s="55"/>
      <c r="U138" s="55"/>
    </row>
    <row r="139" spans="4:21" ht="13.5" customHeight="1">
      <c r="D139" s="53"/>
      <c r="E139" s="54"/>
      <c r="F139" s="54"/>
      <c r="G139" s="55"/>
      <c r="H139" s="55"/>
      <c r="I139" s="55"/>
      <c r="J139" s="55"/>
      <c r="K139" s="55"/>
      <c r="L139" s="55"/>
      <c r="M139" s="55"/>
      <c r="N139" s="55"/>
      <c r="O139" s="55"/>
      <c r="P139" s="55"/>
      <c r="Q139" s="55"/>
      <c r="R139" s="55"/>
      <c r="S139" s="55"/>
      <c r="T139" s="55"/>
      <c r="U139" s="55"/>
    </row>
    <row r="140" spans="4:21" ht="13.5" customHeight="1">
      <c r="D140" s="53"/>
      <c r="E140" s="54"/>
      <c r="F140" s="54"/>
      <c r="G140" s="55"/>
      <c r="H140" s="55"/>
      <c r="I140" s="55"/>
      <c r="J140" s="55"/>
      <c r="K140" s="55"/>
      <c r="L140" s="55"/>
      <c r="M140" s="55"/>
      <c r="N140" s="55"/>
      <c r="O140" s="55"/>
      <c r="P140" s="55"/>
      <c r="Q140" s="55"/>
      <c r="R140" s="55"/>
      <c r="S140" s="55"/>
      <c r="T140" s="55"/>
      <c r="U140" s="55"/>
    </row>
    <row r="141" spans="4:21" ht="13.5" customHeight="1">
      <c r="D141" s="53"/>
      <c r="E141" s="54"/>
      <c r="F141" s="54"/>
      <c r="G141" s="55"/>
      <c r="H141" s="55"/>
      <c r="I141" s="55"/>
      <c r="J141" s="55"/>
      <c r="K141" s="55"/>
      <c r="L141" s="55"/>
      <c r="M141" s="55"/>
      <c r="N141" s="55"/>
      <c r="O141" s="55"/>
      <c r="P141" s="55"/>
      <c r="Q141" s="55"/>
      <c r="R141" s="55"/>
      <c r="S141" s="55"/>
      <c r="T141" s="55"/>
      <c r="U141" s="55"/>
    </row>
    <row r="142" spans="4:21" ht="13.5" customHeight="1">
      <c r="D142" s="53"/>
      <c r="E142" s="54"/>
      <c r="F142" s="54"/>
      <c r="G142" s="55"/>
      <c r="H142" s="55"/>
      <c r="I142" s="55"/>
      <c r="J142" s="55"/>
      <c r="K142" s="55"/>
      <c r="L142" s="55"/>
      <c r="M142" s="55"/>
      <c r="N142" s="55"/>
      <c r="O142" s="55"/>
      <c r="P142" s="55"/>
      <c r="Q142" s="55"/>
      <c r="R142" s="55"/>
      <c r="S142" s="55"/>
      <c r="T142" s="55"/>
      <c r="U142" s="55"/>
    </row>
    <row r="143" spans="4:21" ht="13.5" customHeight="1">
      <c r="D143" s="53"/>
      <c r="E143" s="54"/>
      <c r="F143" s="54"/>
      <c r="G143" s="55"/>
      <c r="H143" s="55"/>
      <c r="I143" s="55"/>
      <c r="J143" s="55"/>
      <c r="K143" s="55"/>
      <c r="L143" s="55"/>
      <c r="M143" s="55"/>
      <c r="N143" s="55"/>
      <c r="O143" s="55"/>
      <c r="P143" s="55"/>
      <c r="Q143" s="55"/>
      <c r="R143" s="55"/>
      <c r="S143" s="55"/>
      <c r="T143" s="55"/>
      <c r="U143" s="55"/>
    </row>
    <row r="144" spans="4:21" ht="13.5" customHeight="1">
      <c r="D144" s="53"/>
      <c r="E144" s="54"/>
      <c r="F144" s="54"/>
      <c r="G144" s="55"/>
      <c r="H144" s="55"/>
      <c r="I144" s="55"/>
      <c r="J144" s="55"/>
      <c r="K144" s="55"/>
      <c r="L144" s="55"/>
      <c r="M144" s="55"/>
      <c r="N144" s="55"/>
      <c r="O144" s="55"/>
      <c r="P144" s="55"/>
      <c r="Q144" s="55"/>
      <c r="R144" s="55"/>
      <c r="S144" s="55"/>
      <c r="T144" s="55"/>
      <c r="U144" s="55"/>
    </row>
    <row r="145" spans="4:21" ht="13.5" customHeight="1">
      <c r="D145" s="53"/>
      <c r="E145" s="54"/>
      <c r="F145" s="54"/>
      <c r="G145" s="55"/>
      <c r="H145" s="55"/>
      <c r="I145" s="55"/>
      <c r="J145" s="55"/>
      <c r="K145" s="55"/>
      <c r="L145" s="55"/>
      <c r="M145" s="55"/>
      <c r="N145" s="55"/>
      <c r="O145" s="55"/>
      <c r="P145" s="55"/>
      <c r="Q145" s="55"/>
      <c r="R145" s="55"/>
      <c r="S145" s="55"/>
      <c r="T145" s="55"/>
      <c r="U145" s="55"/>
    </row>
    <row r="146" spans="4:21" ht="13.5" customHeight="1">
      <c r="D146" s="53"/>
      <c r="E146" s="54"/>
      <c r="F146" s="54"/>
      <c r="G146" s="55"/>
      <c r="H146" s="55"/>
      <c r="I146" s="55"/>
      <c r="J146" s="55"/>
      <c r="K146" s="55"/>
      <c r="L146" s="55"/>
      <c r="M146" s="55"/>
      <c r="N146" s="55"/>
      <c r="O146" s="55"/>
      <c r="P146" s="55"/>
      <c r="Q146" s="55"/>
      <c r="R146" s="55"/>
      <c r="S146" s="55"/>
      <c r="T146" s="55"/>
      <c r="U146" s="55"/>
    </row>
    <row r="147" spans="4:21" ht="13.5" customHeight="1">
      <c r="D147" s="53"/>
      <c r="E147" s="54"/>
      <c r="F147" s="54"/>
      <c r="G147" s="55"/>
      <c r="H147" s="55"/>
      <c r="I147" s="55"/>
      <c r="J147" s="55"/>
      <c r="K147" s="55"/>
      <c r="L147" s="55"/>
      <c r="M147" s="55"/>
      <c r="N147" s="55"/>
      <c r="O147" s="55"/>
      <c r="P147" s="55"/>
      <c r="Q147" s="55"/>
      <c r="R147" s="55"/>
      <c r="S147" s="55"/>
      <c r="T147" s="55"/>
      <c r="U147" s="55"/>
    </row>
    <row r="148" spans="4:21" ht="13.5" customHeight="1">
      <c r="D148" s="53"/>
      <c r="E148" s="54"/>
      <c r="F148" s="54"/>
      <c r="G148" s="55"/>
      <c r="H148" s="55"/>
      <c r="I148" s="55"/>
      <c r="J148" s="55"/>
      <c r="K148" s="55"/>
      <c r="L148" s="55"/>
      <c r="M148" s="55"/>
      <c r="N148" s="55"/>
      <c r="O148" s="55"/>
      <c r="P148" s="55"/>
      <c r="Q148" s="55"/>
      <c r="R148" s="55"/>
      <c r="S148" s="55"/>
      <c r="T148" s="55"/>
      <c r="U148" s="55"/>
    </row>
    <row r="149" spans="4:21" ht="13.5" customHeight="1">
      <c r="D149" s="53"/>
      <c r="E149" s="54"/>
      <c r="F149" s="54"/>
      <c r="G149" s="55"/>
      <c r="H149" s="55"/>
      <c r="I149" s="55"/>
      <c r="J149" s="55"/>
      <c r="K149" s="55"/>
      <c r="L149" s="55"/>
      <c r="M149" s="55"/>
      <c r="N149" s="55"/>
      <c r="O149" s="55"/>
      <c r="P149" s="55"/>
      <c r="Q149" s="55"/>
      <c r="R149" s="55"/>
      <c r="S149" s="55"/>
      <c r="T149" s="55"/>
      <c r="U149" s="55"/>
    </row>
    <row r="150" spans="4:21" ht="13.5" customHeight="1">
      <c r="D150" s="53"/>
      <c r="E150" s="54"/>
      <c r="F150" s="54"/>
      <c r="G150" s="55"/>
      <c r="H150" s="55"/>
      <c r="I150" s="55"/>
      <c r="J150" s="55"/>
      <c r="K150" s="55"/>
      <c r="L150" s="55"/>
      <c r="M150" s="55"/>
      <c r="N150" s="55"/>
      <c r="O150" s="55"/>
      <c r="P150" s="55"/>
      <c r="Q150" s="55"/>
      <c r="R150" s="55"/>
      <c r="S150" s="55"/>
      <c r="T150" s="55"/>
      <c r="U150" s="55"/>
    </row>
    <row r="151" spans="4:21" ht="13.5" customHeight="1">
      <c r="D151" s="53"/>
      <c r="E151" s="54"/>
      <c r="F151" s="54"/>
      <c r="G151" s="55"/>
      <c r="H151" s="55"/>
      <c r="I151" s="55"/>
      <c r="J151" s="55"/>
      <c r="K151" s="55"/>
      <c r="L151" s="55"/>
      <c r="M151" s="55"/>
      <c r="N151" s="55"/>
      <c r="O151" s="55"/>
      <c r="P151" s="55"/>
      <c r="Q151" s="55"/>
      <c r="R151" s="55"/>
      <c r="S151" s="55"/>
      <c r="T151" s="55"/>
      <c r="U151" s="55"/>
    </row>
    <row r="152" spans="4:21" ht="13.5" customHeight="1">
      <c r="D152" s="53"/>
      <c r="E152" s="54"/>
      <c r="F152" s="54"/>
      <c r="G152" s="55"/>
      <c r="H152" s="55"/>
      <c r="I152" s="55"/>
      <c r="J152" s="55"/>
      <c r="K152" s="55"/>
      <c r="L152" s="55"/>
      <c r="M152" s="55"/>
      <c r="N152" s="55"/>
      <c r="O152" s="55"/>
      <c r="P152" s="55"/>
      <c r="Q152" s="55"/>
      <c r="R152" s="55"/>
      <c r="S152" s="55"/>
      <c r="T152" s="55"/>
      <c r="U152" s="55"/>
    </row>
    <row r="153" spans="4:21" ht="13.5" customHeight="1">
      <c r="D153" s="53"/>
      <c r="E153" s="54"/>
      <c r="F153" s="54"/>
      <c r="G153" s="55"/>
      <c r="H153" s="55"/>
      <c r="I153" s="55"/>
      <c r="J153" s="55"/>
      <c r="K153" s="55"/>
      <c r="L153" s="55"/>
      <c r="M153" s="55"/>
      <c r="N153" s="55"/>
      <c r="O153" s="55"/>
      <c r="P153" s="55"/>
      <c r="Q153" s="55"/>
      <c r="R153" s="55"/>
      <c r="S153" s="55"/>
      <c r="T153" s="55"/>
      <c r="U153" s="55"/>
    </row>
    <row r="154" spans="4:21" ht="13.5" customHeight="1">
      <c r="D154" s="53"/>
      <c r="E154" s="54"/>
      <c r="F154" s="54"/>
      <c r="G154" s="55"/>
      <c r="H154" s="55"/>
      <c r="I154" s="55"/>
      <c r="J154" s="55"/>
      <c r="K154" s="55"/>
      <c r="L154" s="55"/>
      <c r="M154" s="55"/>
      <c r="N154" s="55"/>
      <c r="O154" s="55"/>
      <c r="P154" s="55"/>
      <c r="Q154" s="55"/>
      <c r="R154" s="55"/>
      <c r="S154" s="55"/>
      <c r="T154" s="55"/>
      <c r="U154" s="55"/>
    </row>
    <row r="155" spans="4:21" ht="13.5" customHeight="1">
      <c r="D155" s="53"/>
      <c r="E155" s="54"/>
      <c r="F155" s="54"/>
      <c r="G155" s="55"/>
      <c r="H155" s="55"/>
      <c r="I155" s="55"/>
      <c r="J155" s="55"/>
      <c r="K155" s="55"/>
      <c r="L155" s="55"/>
      <c r="M155" s="55"/>
      <c r="N155" s="55"/>
      <c r="O155" s="55"/>
      <c r="P155" s="55"/>
      <c r="Q155" s="55"/>
      <c r="R155" s="55"/>
      <c r="S155" s="55"/>
      <c r="T155" s="55"/>
      <c r="U155" s="55"/>
    </row>
    <row r="156" spans="4:21" ht="13.5" customHeight="1">
      <c r="D156" s="53"/>
      <c r="E156" s="54"/>
      <c r="F156" s="54"/>
      <c r="G156" s="55"/>
      <c r="H156" s="55"/>
      <c r="I156" s="55"/>
      <c r="J156" s="55"/>
      <c r="K156" s="55"/>
      <c r="L156" s="55"/>
      <c r="M156" s="55"/>
      <c r="N156" s="55"/>
      <c r="O156" s="55"/>
      <c r="P156" s="55"/>
      <c r="Q156" s="55"/>
      <c r="R156" s="55"/>
      <c r="S156" s="55"/>
      <c r="T156" s="55"/>
      <c r="U156" s="55"/>
    </row>
    <row r="157" spans="4:21" ht="13.5" customHeight="1">
      <c r="D157" s="53"/>
      <c r="E157" s="54"/>
      <c r="F157" s="54"/>
      <c r="G157" s="55"/>
      <c r="H157" s="55"/>
      <c r="I157" s="55"/>
      <c r="J157" s="55"/>
      <c r="K157" s="55"/>
      <c r="L157" s="55"/>
      <c r="M157" s="55"/>
      <c r="N157" s="55"/>
      <c r="O157" s="55"/>
      <c r="P157" s="55"/>
      <c r="Q157" s="55"/>
      <c r="R157" s="55"/>
      <c r="S157" s="55"/>
      <c r="T157" s="55"/>
      <c r="U157" s="55"/>
    </row>
    <row r="158" spans="4:21" ht="13.5" customHeight="1">
      <c r="D158" s="53"/>
      <c r="E158" s="54"/>
      <c r="F158" s="54"/>
      <c r="G158" s="55"/>
      <c r="H158" s="55"/>
      <c r="I158" s="55"/>
      <c r="J158" s="55"/>
      <c r="K158" s="55"/>
      <c r="L158" s="55"/>
      <c r="M158" s="55"/>
      <c r="N158" s="55"/>
      <c r="O158" s="55"/>
      <c r="P158" s="55"/>
      <c r="Q158" s="55"/>
      <c r="R158" s="55"/>
      <c r="S158" s="55"/>
      <c r="T158" s="55"/>
      <c r="U158" s="55"/>
    </row>
    <row r="159" spans="4:21" ht="13.5" customHeight="1">
      <c r="D159" s="53"/>
      <c r="E159" s="54"/>
      <c r="F159" s="54"/>
      <c r="G159" s="55"/>
      <c r="H159" s="55"/>
      <c r="I159" s="55"/>
      <c r="J159" s="55"/>
      <c r="K159" s="55"/>
      <c r="L159" s="55"/>
      <c r="M159" s="55"/>
      <c r="N159" s="55"/>
      <c r="O159" s="55"/>
      <c r="P159" s="55"/>
      <c r="Q159" s="55"/>
      <c r="R159" s="55"/>
      <c r="S159" s="55"/>
      <c r="T159" s="55"/>
      <c r="U159" s="55"/>
    </row>
    <row r="160" spans="4:21" ht="13.5" customHeight="1">
      <c r="D160" s="53"/>
      <c r="E160" s="54"/>
      <c r="F160" s="54"/>
      <c r="G160" s="55"/>
      <c r="H160" s="55"/>
      <c r="I160" s="55"/>
      <c r="J160" s="55"/>
      <c r="K160" s="55"/>
      <c r="L160" s="55"/>
      <c r="M160" s="55"/>
      <c r="N160" s="55"/>
      <c r="O160" s="55"/>
      <c r="P160" s="55"/>
      <c r="Q160" s="55"/>
      <c r="R160" s="55"/>
      <c r="S160" s="55"/>
      <c r="T160" s="55"/>
      <c r="U160" s="55"/>
    </row>
    <row r="161" spans="4:21" ht="13.5" customHeight="1">
      <c r="D161" s="53"/>
      <c r="E161" s="54"/>
      <c r="F161" s="54"/>
      <c r="G161" s="55"/>
      <c r="H161" s="55"/>
      <c r="I161" s="55"/>
      <c r="J161" s="55"/>
      <c r="K161" s="55"/>
      <c r="L161" s="55"/>
      <c r="M161" s="55"/>
      <c r="N161" s="55"/>
      <c r="O161" s="55"/>
      <c r="P161" s="55"/>
      <c r="Q161" s="55"/>
      <c r="R161" s="55"/>
      <c r="S161" s="55"/>
      <c r="T161" s="55"/>
      <c r="U161" s="55"/>
    </row>
    <row r="162" spans="4:21" ht="13.5" customHeight="1">
      <c r="D162" s="53"/>
      <c r="E162" s="54"/>
      <c r="F162" s="54"/>
      <c r="G162" s="55"/>
      <c r="H162" s="55"/>
      <c r="I162" s="55"/>
      <c r="J162" s="55"/>
      <c r="K162" s="55"/>
      <c r="L162" s="55"/>
      <c r="M162" s="55"/>
      <c r="N162" s="55"/>
      <c r="O162" s="55"/>
      <c r="P162" s="55"/>
      <c r="Q162" s="55"/>
      <c r="R162" s="55"/>
      <c r="S162" s="55"/>
      <c r="T162" s="55"/>
      <c r="U162" s="55"/>
    </row>
    <row r="163" spans="4:21" ht="13.5" customHeight="1">
      <c r="D163" s="53"/>
      <c r="E163" s="54"/>
      <c r="F163" s="54"/>
      <c r="G163" s="55"/>
      <c r="H163" s="55"/>
      <c r="I163" s="55"/>
      <c r="J163" s="55"/>
      <c r="K163" s="55"/>
      <c r="L163" s="55"/>
      <c r="M163" s="55"/>
      <c r="N163" s="55"/>
      <c r="O163" s="55"/>
      <c r="P163" s="55"/>
      <c r="Q163" s="55"/>
      <c r="R163" s="55"/>
      <c r="S163" s="55"/>
      <c r="T163" s="55"/>
      <c r="U163" s="55"/>
    </row>
    <row r="164" spans="4:21" ht="13.5" customHeight="1">
      <c r="D164" s="53"/>
      <c r="E164" s="54"/>
      <c r="F164" s="54"/>
      <c r="G164" s="55"/>
      <c r="H164" s="55"/>
      <c r="I164" s="55"/>
      <c r="J164" s="55"/>
      <c r="K164" s="55"/>
      <c r="L164" s="55"/>
      <c r="M164" s="55"/>
      <c r="N164" s="55"/>
      <c r="O164" s="55"/>
      <c r="P164" s="55"/>
      <c r="Q164" s="55"/>
      <c r="R164" s="55"/>
      <c r="S164" s="55"/>
      <c r="T164" s="55"/>
      <c r="U164" s="55"/>
    </row>
    <row r="165" spans="4:21" ht="13.5" customHeight="1">
      <c r="D165" s="53"/>
      <c r="E165" s="54"/>
      <c r="F165" s="54"/>
      <c r="G165" s="55"/>
      <c r="H165" s="55"/>
      <c r="I165" s="55"/>
      <c r="J165" s="55"/>
      <c r="K165" s="55"/>
      <c r="L165" s="55"/>
      <c r="M165" s="55"/>
      <c r="N165" s="55"/>
      <c r="O165" s="55"/>
      <c r="P165" s="55"/>
      <c r="Q165" s="55"/>
      <c r="R165" s="55"/>
      <c r="S165" s="55"/>
      <c r="T165" s="55"/>
      <c r="U165" s="55"/>
    </row>
    <row r="166" spans="4:21" ht="13.5" customHeight="1">
      <c r="D166" s="53"/>
      <c r="E166" s="54"/>
      <c r="F166" s="54"/>
      <c r="G166" s="55"/>
      <c r="H166" s="55"/>
      <c r="I166" s="55"/>
      <c r="J166" s="55"/>
      <c r="K166" s="55"/>
      <c r="L166" s="55"/>
      <c r="M166" s="55"/>
      <c r="N166" s="55"/>
      <c r="O166" s="55"/>
      <c r="P166" s="55"/>
      <c r="Q166" s="55"/>
      <c r="R166" s="55"/>
      <c r="S166" s="55"/>
      <c r="T166" s="55"/>
      <c r="U166" s="55"/>
    </row>
    <row r="167" spans="4:21" ht="13.5" customHeight="1">
      <c r="D167" s="53"/>
      <c r="E167" s="54"/>
      <c r="F167" s="54"/>
      <c r="G167" s="55"/>
      <c r="H167" s="55"/>
      <c r="I167" s="55"/>
      <c r="J167" s="55"/>
      <c r="K167" s="55"/>
      <c r="L167" s="55"/>
      <c r="M167" s="55"/>
      <c r="N167" s="55"/>
      <c r="O167" s="55"/>
      <c r="P167" s="55"/>
      <c r="Q167" s="55"/>
      <c r="R167" s="55"/>
      <c r="S167" s="55"/>
      <c r="T167" s="55"/>
      <c r="U167" s="55"/>
    </row>
    <row r="168" spans="4:21" ht="13.5" customHeight="1">
      <c r="D168" s="53"/>
      <c r="E168" s="54"/>
      <c r="F168" s="54"/>
      <c r="G168" s="55"/>
      <c r="H168" s="55"/>
      <c r="I168" s="55"/>
      <c r="J168" s="55"/>
      <c r="K168" s="55"/>
      <c r="L168" s="55"/>
      <c r="M168" s="55"/>
      <c r="N168" s="55"/>
      <c r="O168" s="55"/>
      <c r="P168" s="55"/>
      <c r="Q168" s="55"/>
      <c r="R168" s="55"/>
      <c r="S168" s="55"/>
      <c r="T168" s="55"/>
      <c r="U168" s="55"/>
    </row>
    <row r="169" spans="4:21" ht="13.5" customHeight="1">
      <c r="D169" s="53"/>
      <c r="E169" s="54"/>
      <c r="F169" s="54"/>
      <c r="G169" s="55"/>
      <c r="H169" s="55"/>
      <c r="I169" s="55"/>
      <c r="J169" s="55"/>
      <c r="K169" s="55"/>
      <c r="L169" s="55"/>
      <c r="M169" s="55"/>
      <c r="N169" s="55"/>
      <c r="O169" s="55"/>
      <c r="P169" s="55"/>
      <c r="Q169" s="55"/>
      <c r="R169" s="55"/>
      <c r="S169" s="55"/>
      <c r="T169" s="55"/>
      <c r="U169" s="55"/>
    </row>
    <row r="170" spans="4:21" ht="13.5" customHeight="1">
      <c r="D170" s="53"/>
      <c r="E170" s="54"/>
      <c r="F170" s="54"/>
      <c r="G170" s="55"/>
      <c r="H170" s="55"/>
      <c r="I170" s="55"/>
      <c r="J170" s="55"/>
      <c r="K170" s="55"/>
      <c r="L170" s="55"/>
      <c r="M170" s="55"/>
      <c r="N170" s="55"/>
      <c r="O170" s="55"/>
      <c r="P170" s="55"/>
      <c r="Q170" s="55"/>
      <c r="R170" s="55"/>
      <c r="S170" s="55"/>
      <c r="T170" s="55"/>
      <c r="U170" s="55"/>
    </row>
    <row r="171" spans="4:21" ht="13.5" customHeight="1">
      <c r="D171" s="53"/>
      <c r="E171" s="54"/>
      <c r="F171" s="54"/>
      <c r="G171" s="55"/>
      <c r="H171" s="55"/>
      <c r="I171" s="55"/>
      <c r="J171" s="55"/>
      <c r="K171" s="55"/>
      <c r="L171" s="55"/>
      <c r="M171" s="55"/>
      <c r="N171" s="55"/>
      <c r="O171" s="55"/>
      <c r="P171" s="55"/>
      <c r="Q171" s="55"/>
      <c r="R171" s="55"/>
      <c r="S171" s="55"/>
      <c r="T171" s="55"/>
      <c r="U171" s="55"/>
    </row>
    <row r="172" spans="4:21" ht="13.5" customHeight="1">
      <c r="D172" s="53"/>
      <c r="E172" s="54"/>
      <c r="F172" s="54"/>
      <c r="G172" s="55"/>
      <c r="H172" s="55"/>
      <c r="I172" s="55"/>
      <c r="J172" s="55"/>
      <c r="K172" s="55"/>
      <c r="L172" s="55"/>
      <c r="M172" s="55"/>
      <c r="N172" s="55"/>
      <c r="O172" s="55"/>
      <c r="P172" s="55"/>
      <c r="Q172" s="55"/>
      <c r="R172" s="55"/>
      <c r="S172" s="55"/>
      <c r="T172" s="55"/>
      <c r="U172" s="55"/>
    </row>
    <row r="173" spans="4:21" ht="13.5" customHeight="1">
      <c r="D173" s="53"/>
      <c r="E173" s="54"/>
      <c r="F173" s="54"/>
      <c r="G173" s="55"/>
      <c r="H173" s="55"/>
      <c r="I173" s="55"/>
      <c r="J173" s="55"/>
      <c r="K173" s="55"/>
      <c r="L173" s="55"/>
      <c r="M173" s="55"/>
      <c r="N173" s="55"/>
      <c r="O173" s="55"/>
      <c r="P173" s="55"/>
      <c r="Q173" s="55"/>
      <c r="R173" s="55"/>
      <c r="S173" s="55"/>
      <c r="T173" s="55"/>
      <c r="U173" s="55"/>
    </row>
    <row r="174" spans="4:21" ht="13.5" customHeight="1">
      <c r="D174" s="53"/>
      <c r="E174" s="54"/>
      <c r="F174" s="54"/>
      <c r="G174" s="55"/>
      <c r="H174" s="55"/>
      <c r="I174" s="55"/>
      <c r="J174" s="55"/>
      <c r="K174" s="55"/>
      <c r="L174" s="55"/>
      <c r="M174" s="55"/>
      <c r="N174" s="55"/>
      <c r="O174" s="55"/>
      <c r="P174" s="55"/>
      <c r="Q174" s="55"/>
      <c r="R174" s="55"/>
      <c r="S174" s="55"/>
      <c r="T174" s="55"/>
      <c r="U174" s="55"/>
    </row>
    <row r="175" spans="4:21" ht="13.5" customHeight="1">
      <c r="D175" s="53"/>
      <c r="E175" s="54"/>
      <c r="F175" s="54"/>
      <c r="G175" s="55"/>
      <c r="H175" s="55"/>
      <c r="I175" s="55"/>
      <c r="J175" s="55"/>
      <c r="K175" s="55"/>
      <c r="L175" s="55"/>
      <c r="M175" s="55"/>
      <c r="N175" s="55"/>
      <c r="O175" s="55"/>
      <c r="P175" s="55"/>
      <c r="Q175" s="55"/>
      <c r="R175" s="55"/>
      <c r="S175" s="55"/>
      <c r="T175" s="55"/>
      <c r="U175" s="55"/>
    </row>
    <row r="176" spans="4:21" ht="13.5" customHeight="1">
      <c r="D176" s="53"/>
      <c r="E176" s="54"/>
      <c r="F176" s="54"/>
      <c r="G176" s="55"/>
      <c r="H176" s="55"/>
      <c r="I176" s="55"/>
      <c r="J176" s="55"/>
      <c r="K176" s="55"/>
      <c r="L176" s="55"/>
      <c r="M176" s="55"/>
      <c r="N176" s="55"/>
      <c r="O176" s="55"/>
      <c r="P176" s="55"/>
      <c r="Q176" s="55"/>
      <c r="R176" s="55"/>
      <c r="S176" s="55"/>
      <c r="T176" s="55"/>
      <c r="U176" s="55"/>
    </row>
    <row r="177" spans="4:21" ht="13.5" customHeight="1">
      <c r="D177" s="53"/>
      <c r="E177" s="54"/>
      <c r="F177" s="54"/>
      <c r="G177" s="55"/>
      <c r="H177" s="55"/>
      <c r="I177" s="55"/>
      <c r="J177" s="55"/>
      <c r="K177" s="55"/>
      <c r="L177" s="55"/>
      <c r="M177" s="55"/>
      <c r="N177" s="55"/>
      <c r="O177" s="55"/>
      <c r="P177" s="55"/>
      <c r="Q177" s="55"/>
      <c r="R177" s="55"/>
      <c r="S177" s="55"/>
      <c r="T177" s="55"/>
      <c r="U177" s="55"/>
    </row>
    <row r="178" spans="4:21" ht="13.5" customHeight="1">
      <c r="D178" s="53"/>
      <c r="E178" s="54"/>
      <c r="F178" s="54"/>
      <c r="G178" s="55"/>
      <c r="H178" s="55"/>
      <c r="I178" s="55"/>
      <c r="J178" s="55"/>
      <c r="K178" s="55"/>
      <c r="L178" s="55"/>
      <c r="M178" s="55"/>
      <c r="N178" s="55"/>
      <c r="O178" s="55"/>
      <c r="P178" s="55"/>
      <c r="Q178" s="55"/>
      <c r="R178" s="55"/>
      <c r="S178" s="55"/>
      <c r="T178" s="55"/>
      <c r="U178" s="55"/>
    </row>
    <row r="179" spans="4:21" ht="13.5" customHeight="1">
      <c r="D179" s="53"/>
      <c r="E179" s="54"/>
      <c r="F179" s="54"/>
      <c r="G179" s="55"/>
      <c r="H179" s="55"/>
      <c r="I179" s="55"/>
      <c r="J179" s="55"/>
      <c r="K179" s="55"/>
      <c r="L179" s="55"/>
      <c r="M179" s="55"/>
      <c r="N179" s="55"/>
      <c r="O179" s="55"/>
      <c r="P179" s="55"/>
      <c r="Q179" s="55"/>
      <c r="R179" s="55"/>
      <c r="S179" s="55"/>
      <c r="T179" s="55"/>
      <c r="U179" s="55"/>
    </row>
    <row r="180" spans="4:21" ht="13.5" customHeight="1">
      <c r="D180" s="53"/>
      <c r="E180" s="54"/>
      <c r="F180" s="54"/>
      <c r="G180" s="55"/>
      <c r="H180" s="55"/>
      <c r="I180" s="55"/>
      <c r="J180" s="55"/>
      <c r="K180" s="55"/>
      <c r="L180" s="55"/>
      <c r="M180" s="55"/>
      <c r="N180" s="55"/>
      <c r="O180" s="55"/>
      <c r="P180" s="55"/>
      <c r="Q180" s="55"/>
      <c r="R180" s="55"/>
      <c r="S180" s="55"/>
      <c r="T180" s="55"/>
      <c r="U180" s="55"/>
    </row>
    <row r="181" spans="4:21" ht="13.5" customHeight="1">
      <c r="D181" s="53"/>
      <c r="E181" s="54"/>
      <c r="F181" s="54"/>
      <c r="G181" s="55"/>
      <c r="H181" s="55"/>
      <c r="I181" s="55"/>
      <c r="J181" s="55"/>
      <c r="K181" s="55"/>
      <c r="L181" s="55"/>
      <c r="M181" s="55"/>
      <c r="N181" s="55"/>
      <c r="O181" s="55"/>
      <c r="P181" s="55"/>
      <c r="Q181" s="55"/>
      <c r="R181" s="55"/>
      <c r="S181" s="55"/>
      <c r="T181" s="55"/>
      <c r="U181" s="55"/>
    </row>
    <row r="182" spans="4:21" ht="13.5" customHeight="1">
      <c r="D182" s="53"/>
      <c r="E182" s="54"/>
      <c r="F182" s="54"/>
      <c r="G182" s="55"/>
      <c r="H182" s="55"/>
      <c r="I182" s="55"/>
      <c r="J182" s="55"/>
      <c r="K182" s="55"/>
      <c r="L182" s="55"/>
      <c r="M182" s="55"/>
      <c r="N182" s="55"/>
      <c r="O182" s="55"/>
      <c r="P182" s="55"/>
      <c r="Q182" s="55"/>
      <c r="R182" s="55"/>
      <c r="S182" s="55"/>
      <c r="T182" s="55"/>
      <c r="U182" s="55"/>
    </row>
    <row r="183" spans="4:21" ht="13.5" customHeight="1">
      <c r="D183" s="53"/>
      <c r="E183" s="54"/>
      <c r="F183" s="54"/>
      <c r="G183" s="55"/>
      <c r="H183" s="55"/>
      <c r="I183" s="55"/>
      <c r="J183" s="55"/>
      <c r="K183" s="55"/>
      <c r="L183" s="55"/>
      <c r="M183" s="55"/>
      <c r="N183" s="55"/>
      <c r="O183" s="55"/>
      <c r="P183" s="55"/>
      <c r="Q183" s="55"/>
      <c r="R183" s="55"/>
      <c r="S183" s="55"/>
      <c r="T183" s="55"/>
      <c r="U183" s="55"/>
    </row>
    <row r="184" spans="4:21" ht="13.5" customHeight="1">
      <c r="D184" s="53"/>
      <c r="E184" s="54"/>
      <c r="F184" s="54"/>
      <c r="G184" s="55"/>
      <c r="H184" s="55"/>
      <c r="I184" s="55"/>
      <c r="J184" s="55"/>
      <c r="K184" s="55"/>
      <c r="L184" s="55"/>
      <c r="M184" s="55"/>
      <c r="N184" s="55"/>
      <c r="O184" s="55"/>
      <c r="P184" s="55"/>
      <c r="Q184" s="55"/>
      <c r="R184" s="55"/>
      <c r="S184" s="55"/>
      <c r="T184" s="55"/>
      <c r="U184" s="55"/>
    </row>
    <row r="185" spans="4:21" ht="13.5" customHeight="1">
      <c r="D185" s="53"/>
      <c r="E185" s="54"/>
      <c r="F185" s="54"/>
      <c r="G185" s="55"/>
      <c r="H185" s="55"/>
      <c r="I185" s="55"/>
      <c r="J185" s="55"/>
      <c r="K185" s="55"/>
      <c r="L185" s="55"/>
      <c r="M185" s="55"/>
      <c r="N185" s="55"/>
      <c r="O185" s="55"/>
      <c r="P185" s="55"/>
      <c r="Q185" s="55"/>
      <c r="R185" s="55"/>
      <c r="S185" s="55"/>
      <c r="T185" s="55"/>
      <c r="U185" s="55"/>
    </row>
    <row r="186" spans="4:21" ht="13.5" customHeight="1">
      <c r="D186" s="53"/>
      <c r="E186" s="54"/>
      <c r="F186" s="54"/>
      <c r="G186" s="55"/>
      <c r="H186" s="55"/>
      <c r="I186" s="55"/>
      <c r="J186" s="55"/>
      <c r="K186" s="55"/>
      <c r="L186" s="55"/>
      <c r="M186" s="55"/>
      <c r="N186" s="55"/>
      <c r="O186" s="55"/>
      <c r="P186" s="55"/>
      <c r="Q186" s="55"/>
      <c r="R186" s="55"/>
      <c r="S186" s="55"/>
      <c r="T186" s="55"/>
      <c r="U186" s="55"/>
    </row>
    <row r="187" spans="4:21" ht="13.5" customHeight="1">
      <c r="D187" s="53"/>
      <c r="E187" s="54"/>
      <c r="F187" s="54"/>
      <c r="G187" s="55"/>
      <c r="H187" s="55"/>
      <c r="I187" s="55"/>
      <c r="J187" s="55"/>
      <c r="K187" s="55"/>
      <c r="L187" s="55"/>
      <c r="M187" s="55"/>
      <c r="N187" s="55"/>
      <c r="O187" s="55"/>
      <c r="P187" s="55"/>
      <c r="Q187" s="55"/>
      <c r="R187" s="55"/>
      <c r="S187" s="55"/>
      <c r="T187" s="55"/>
      <c r="U187" s="55"/>
    </row>
    <row r="188" spans="4:21" ht="13.5" customHeight="1">
      <c r="D188" s="53"/>
      <c r="E188" s="54"/>
      <c r="F188" s="54"/>
      <c r="G188" s="55"/>
      <c r="H188" s="55"/>
      <c r="I188" s="55"/>
      <c r="J188" s="55"/>
      <c r="K188" s="55"/>
      <c r="L188" s="55"/>
      <c r="M188" s="55"/>
      <c r="N188" s="55"/>
      <c r="O188" s="55"/>
      <c r="P188" s="55"/>
      <c r="Q188" s="55"/>
      <c r="R188" s="55"/>
      <c r="S188" s="55"/>
      <c r="T188" s="55"/>
      <c r="U188" s="55"/>
    </row>
    <row r="189" spans="4:21" ht="13.5" customHeight="1">
      <c r="D189" s="53"/>
      <c r="E189" s="54"/>
      <c r="F189" s="54"/>
      <c r="G189" s="55"/>
      <c r="H189" s="55"/>
      <c r="I189" s="55"/>
      <c r="J189" s="55"/>
      <c r="K189" s="55"/>
      <c r="L189" s="55"/>
      <c r="M189" s="55"/>
      <c r="N189" s="55"/>
      <c r="O189" s="55"/>
      <c r="P189" s="55"/>
      <c r="Q189" s="55"/>
      <c r="R189" s="55"/>
      <c r="S189" s="55"/>
      <c r="T189" s="55"/>
      <c r="U189" s="55"/>
    </row>
    <row r="190" spans="4:21" ht="13.5" customHeight="1">
      <c r="D190" s="53"/>
      <c r="E190" s="54"/>
      <c r="F190" s="54"/>
      <c r="G190" s="55"/>
      <c r="H190" s="55"/>
      <c r="I190" s="55"/>
      <c r="J190" s="55"/>
      <c r="K190" s="55"/>
      <c r="L190" s="55"/>
      <c r="M190" s="55"/>
      <c r="N190" s="55"/>
      <c r="O190" s="55"/>
      <c r="P190" s="55"/>
      <c r="Q190" s="55"/>
      <c r="R190" s="55"/>
      <c r="S190" s="55"/>
      <c r="T190" s="55"/>
      <c r="U190" s="55"/>
    </row>
    <row r="191" spans="4:21" ht="13.5" customHeight="1">
      <c r="D191" s="53"/>
      <c r="E191" s="54"/>
      <c r="F191" s="54"/>
      <c r="G191" s="55"/>
      <c r="H191" s="55"/>
      <c r="I191" s="55"/>
      <c r="J191" s="55"/>
      <c r="K191" s="55"/>
      <c r="L191" s="55"/>
      <c r="M191" s="55"/>
      <c r="N191" s="55"/>
      <c r="O191" s="55"/>
      <c r="P191" s="55"/>
      <c r="Q191" s="55"/>
      <c r="R191" s="55"/>
      <c r="S191" s="55"/>
      <c r="T191" s="55"/>
      <c r="U191" s="55"/>
    </row>
    <row r="192" spans="4:21" ht="13.5" customHeight="1">
      <c r="D192" s="53"/>
      <c r="E192" s="54"/>
      <c r="F192" s="54"/>
      <c r="G192" s="55"/>
      <c r="H192" s="55"/>
      <c r="I192" s="55"/>
      <c r="J192" s="55"/>
      <c r="K192" s="55"/>
      <c r="L192" s="55"/>
      <c r="M192" s="55"/>
      <c r="N192" s="55"/>
      <c r="O192" s="55"/>
      <c r="P192" s="55"/>
      <c r="Q192" s="55"/>
      <c r="R192" s="55"/>
      <c r="S192" s="55"/>
      <c r="T192" s="55"/>
      <c r="U192" s="55"/>
    </row>
    <row r="193" spans="4:21" ht="13.5" customHeight="1">
      <c r="D193" s="53"/>
      <c r="E193" s="54"/>
      <c r="F193" s="54"/>
      <c r="G193" s="55"/>
      <c r="H193" s="55"/>
      <c r="I193" s="55"/>
      <c r="J193" s="55"/>
      <c r="K193" s="55"/>
      <c r="L193" s="55"/>
      <c r="M193" s="55"/>
      <c r="N193" s="55"/>
      <c r="O193" s="55"/>
      <c r="P193" s="55"/>
      <c r="Q193" s="55"/>
      <c r="R193" s="55"/>
      <c r="S193" s="55"/>
      <c r="T193" s="55"/>
      <c r="U193" s="55"/>
    </row>
    <row r="194" spans="4:21" ht="13.5" customHeight="1">
      <c r="D194" s="53"/>
      <c r="E194" s="54"/>
      <c r="F194" s="54"/>
      <c r="G194" s="55"/>
      <c r="H194" s="55"/>
      <c r="I194" s="55"/>
      <c r="J194" s="55"/>
      <c r="K194" s="55"/>
      <c r="L194" s="55"/>
      <c r="M194" s="55"/>
      <c r="N194" s="55"/>
      <c r="O194" s="55"/>
      <c r="P194" s="55"/>
      <c r="Q194" s="55"/>
      <c r="R194" s="55"/>
      <c r="S194" s="55"/>
      <c r="T194" s="55"/>
      <c r="U194" s="55"/>
    </row>
    <row r="195" spans="4:21" ht="13.5" customHeight="1">
      <c r="D195" s="53"/>
      <c r="E195" s="54"/>
      <c r="F195" s="54"/>
      <c r="G195" s="55"/>
      <c r="H195" s="55"/>
      <c r="I195" s="55"/>
      <c r="J195" s="55"/>
      <c r="K195" s="55"/>
      <c r="L195" s="55"/>
      <c r="M195" s="55"/>
      <c r="N195" s="55"/>
      <c r="O195" s="55"/>
      <c r="P195" s="55"/>
      <c r="Q195" s="55"/>
      <c r="R195" s="55"/>
      <c r="S195" s="55"/>
      <c r="T195" s="55"/>
      <c r="U195" s="55"/>
    </row>
    <row r="196" spans="4:21" ht="13.5" customHeight="1">
      <c r="D196" s="53"/>
      <c r="E196" s="54"/>
      <c r="F196" s="54"/>
      <c r="G196" s="55"/>
      <c r="H196" s="55"/>
      <c r="I196" s="55"/>
      <c r="J196" s="55"/>
      <c r="K196" s="55"/>
      <c r="L196" s="55"/>
      <c r="M196" s="55"/>
      <c r="N196" s="55"/>
      <c r="O196" s="55"/>
      <c r="P196" s="55"/>
      <c r="Q196" s="55"/>
      <c r="R196" s="55"/>
      <c r="S196" s="55"/>
      <c r="T196" s="55"/>
      <c r="U196" s="55"/>
    </row>
    <row r="197" spans="4:21" ht="13.5" customHeight="1">
      <c r="D197" s="53"/>
      <c r="E197" s="54"/>
      <c r="F197" s="54"/>
      <c r="G197" s="55"/>
      <c r="H197" s="55"/>
      <c r="I197" s="55"/>
      <c r="J197" s="55"/>
      <c r="K197" s="55"/>
      <c r="L197" s="55"/>
      <c r="M197" s="55"/>
      <c r="N197" s="55"/>
      <c r="O197" s="55"/>
      <c r="P197" s="55"/>
      <c r="Q197" s="55"/>
      <c r="R197" s="55"/>
      <c r="S197" s="55"/>
      <c r="T197" s="55"/>
      <c r="U197" s="55"/>
    </row>
    <row r="198" spans="4:21" ht="13.5" customHeight="1">
      <c r="D198" s="53"/>
      <c r="E198" s="54"/>
      <c r="F198" s="54"/>
      <c r="G198" s="55"/>
      <c r="H198" s="55"/>
      <c r="I198" s="55"/>
      <c r="J198" s="55"/>
      <c r="K198" s="55"/>
      <c r="L198" s="55"/>
      <c r="M198" s="55"/>
      <c r="N198" s="55"/>
      <c r="O198" s="55"/>
      <c r="P198" s="55"/>
      <c r="Q198" s="55"/>
      <c r="R198" s="55"/>
      <c r="S198" s="55"/>
      <c r="T198" s="55"/>
      <c r="U198" s="55"/>
    </row>
    <row r="199" spans="4:21" ht="13.5" customHeight="1">
      <c r="D199" s="53"/>
      <c r="E199" s="54"/>
      <c r="F199" s="54"/>
      <c r="G199" s="55"/>
      <c r="H199" s="55"/>
      <c r="I199" s="55"/>
      <c r="J199" s="55"/>
      <c r="K199" s="55"/>
      <c r="L199" s="55"/>
      <c r="M199" s="55"/>
      <c r="N199" s="55"/>
      <c r="O199" s="55"/>
      <c r="P199" s="55"/>
      <c r="Q199" s="55"/>
      <c r="R199" s="55"/>
      <c r="S199" s="55"/>
      <c r="T199" s="55"/>
      <c r="U199" s="55"/>
    </row>
    <row r="200" spans="4:21" ht="13.5" customHeight="1">
      <c r="D200" s="53"/>
      <c r="E200" s="54"/>
      <c r="F200" s="54"/>
      <c r="G200" s="55"/>
      <c r="H200" s="55"/>
      <c r="I200" s="55"/>
      <c r="J200" s="55"/>
      <c r="K200" s="55"/>
      <c r="L200" s="55"/>
      <c r="M200" s="55"/>
      <c r="N200" s="55"/>
      <c r="O200" s="55"/>
      <c r="P200" s="55"/>
      <c r="Q200" s="55"/>
      <c r="R200" s="55"/>
      <c r="S200" s="55"/>
      <c r="T200" s="55"/>
      <c r="U200" s="55"/>
    </row>
    <row r="201" spans="4:21" ht="13.5" customHeight="1">
      <c r="D201" s="53"/>
      <c r="E201" s="54"/>
      <c r="F201" s="54"/>
      <c r="G201" s="55"/>
      <c r="H201" s="55"/>
      <c r="I201" s="55"/>
      <c r="J201" s="55"/>
      <c r="K201" s="55"/>
      <c r="L201" s="55"/>
      <c r="M201" s="55"/>
      <c r="N201" s="55"/>
      <c r="O201" s="55"/>
      <c r="P201" s="55"/>
      <c r="Q201" s="55"/>
      <c r="R201" s="55"/>
      <c r="S201" s="55"/>
      <c r="T201" s="55"/>
      <c r="U201" s="55"/>
    </row>
    <row r="202" spans="4:21" ht="13.5" customHeight="1">
      <c r="D202" s="53"/>
      <c r="E202" s="54"/>
      <c r="F202" s="54"/>
      <c r="G202" s="55"/>
      <c r="H202" s="55"/>
      <c r="I202" s="55"/>
      <c r="J202" s="55"/>
      <c r="K202" s="55"/>
      <c r="L202" s="55"/>
      <c r="M202" s="55"/>
      <c r="N202" s="55"/>
      <c r="O202" s="55"/>
      <c r="P202" s="55"/>
      <c r="Q202" s="55"/>
      <c r="R202" s="55"/>
      <c r="S202" s="55"/>
      <c r="T202" s="55"/>
      <c r="U202" s="55"/>
    </row>
    <row r="203" spans="4:21" ht="13.5" customHeight="1">
      <c r="D203" s="53"/>
      <c r="E203" s="54"/>
      <c r="F203" s="54"/>
      <c r="G203" s="55"/>
      <c r="H203" s="55"/>
      <c r="I203" s="55"/>
      <c r="J203" s="55"/>
      <c r="K203" s="55"/>
      <c r="L203" s="55"/>
      <c r="M203" s="55"/>
      <c r="N203" s="55"/>
      <c r="O203" s="55"/>
      <c r="P203" s="55"/>
      <c r="Q203" s="55"/>
      <c r="R203" s="55"/>
      <c r="S203" s="55"/>
      <c r="T203" s="55"/>
      <c r="U203" s="55"/>
    </row>
    <row r="204" spans="4:21" ht="13.5" customHeight="1">
      <c r="D204" s="53"/>
      <c r="E204" s="54"/>
      <c r="F204" s="54"/>
      <c r="G204" s="55"/>
      <c r="H204" s="55"/>
      <c r="I204" s="55"/>
      <c r="J204" s="55"/>
      <c r="K204" s="55"/>
      <c r="L204" s="55"/>
      <c r="M204" s="55"/>
      <c r="N204" s="55"/>
      <c r="O204" s="55"/>
      <c r="P204" s="55"/>
      <c r="Q204" s="55"/>
      <c r="R204" s="55"/>
      <c r="S204" s="55"/>
      <c r="T204" s="55"/>
      <c r="U204" s="55"/>
    </row>
    <row r="205" spans="4:21" ht="13.5" customHeight="1">
      <c r="D205" s="53"/>
      <c r="E205" s="54"/>
      <c r="F205" s="54"/>
      <c r="G205" s="55"/>
      <c r="H205" s="55"/>
      <c r="I205" s="55"/>
      <c r="J205" s="55"/>
      <c r="K205" s="55"/>
      <c r="L205" s="55"/>
      <c r="M205" s="55"/>
      <c r="N205" s="55"/>
      <c r="O205" s="55"/>
      <c r="P205" s="55"/>
      <c r="Q205" s="55"/>
      <c r="R205" s="55"/>
      <c r="S205" s="55"/>
      <c r="T205" s="55"/>
      <c r="U205" s="55"/>
    </row>
    <row r="206" spans="4:21" ht="13.5" customHeight="1">
      <c r="D206" s="53"/>
      <c r="E206" s="54"/>
      <c r="F206" s="54"/>
      <c r="G206" s="55"/>
      <c r="H206" s="55"/>
      <c r="I206" s="55"/>
      <c r="J206" s="55"/>
      <c r="K206" s="55"/>
      <c r="L206" s="55"/>
      <c r="M206" s="55"/>
      <c r="N206" s="55"/>
      <c r="O206" s="55"/>
      <c r="P206" s="55"/>
      <c r="Q206" s="55"/>
      <c r="R206" s="55"/>
      <c r="S206" s="55"/>
      <c r="T206" s="55"/>
      <c r="U206" s="55"/>
    </row>
    <row r="207" spans="4:21" ht="13.5" customHeight="1">
      <c r="D207" s="53"/>
      <c r="E207" s="54"/>
      <c r="F207" s="54"/>
      <c r="G207" s="55"/>
      <c r="H207" s="55"/>
      <c r="I207" s="55"/>
      <c r="J207" s="55"/>
      <c r="K207" s="55"/>
      <c r="L207" s="55"/>
      <c r="M207" s="55"/>
      <c r="N207" s="55"/>
      <c r="O207" s="55"/>
      <c r="P207" s="55"/>
      <c r="Q207" s="55"/>
      <c r="R207" s="55"/>
      <c r="S207" s="55"/>
      <c r="T207" s="55"/>
      <c r="U207" s="55"/>
    </row>
    <row r="208" spans="4:21" ht="13.5" customHeight="1">
      <c r="D208" s="53"/>
      <c r="E208" s="54"/>
      <c r="F208" s="54"/>
      <c r="G208" s="55"/>
      <c r="H208" s="55"/>
      <c r="I208" s="55"/>
      <c r="J208" s="55"/>
      <c r="K208" s="55"/>
      <c r="L208" s="55"/>
      <c r="M208" s="55"/>
      <c r="N208" s="55"/>
      <c r="O208" s="55"/>
      <c r="P208" s="55"/>
      <c r="Q208" s="55"/>
      <c r="R208" s="55"/>
      <c r="S208" s="55"/>
      <c r="T208" s="55"/>
      <c r="U208" s="55"/>
    </row>
    <row r="209" spans="4:21" ht="13.5" customHeight="1">
      <c r="D209" s="53"/>
      <c r="E209" s="54"/>
      <c r="F209" s="54"/>
      <c r="G209" s="55"/>
      <c r="H209" s="55"/>
      <c r="I209" s="55"/>
      <c r="J209" s="55"/>
      <c r="K209" s="55"/>
      <c r="L209" s="55"/>
      <c r="M209" s="55"/>
      <c r="N209" s="55"/>
      <c r="O209" s="55"/>
      <c r="P209" s="55"/>
      <c r="Q209" s="55"/>
      <c r="R209" s="55"/>
      <c r="S209" s="55"/>
      <c r="T209" s="55"/>
      <c r="U209" s="55"/>
    </row>
    <row r="210" spans="4:21" ht="13.5" customHeight="1">
      <c r="D210" s="53"/>
      <c r="E210" s="54"/>
      <c r="F210" s="54"/>
      <c r="G210" s="55"/>
      <c r="H210" s="55"/>
      <c r="I210" s="55"/>
      <c r="J210" s="55"/>
      <c r="K210" s="55"/>
      <c r="L210" s="55"/>
      <c r="M210" s="55"/>
      <c r="N210" s="55"/>
      <c r="O210" s="55"/>
      <c r="P210" s="55"/>
      <c r="Q210" s="55"/>
      <c r="R210" s="55"/>
      <c r="S210" s="55"/>
      <c r="T210" s="55"/>
      <c r="U210" s="55"/>
    </row>
    <row r="211" spans="4:21" ht="13.5" customHeight="1">
      <c r="D211" s="53"/>
      <c r="E211" s="54"/>
      <c r="F211" s="54"/>
      <c r="G211" s="55"/>
      <c r="H211" s="55"/>
      <c r="I211" s="55"/>
      <c r="J211" s="55"/>
      <c r="K211" s="55"/>
      <c r="L211" s="55"/>
      <c r="M211" s="55"/>
      <c r="N211" s="55"/>
      <c r="O211" s="55"/>
      <c r="P211" s="55"/>
      <c r="Q211" s="55"/>
      <c r="R211" s="55"/>
      <c r="S211" s="55"/>
      <c r="T211" s="55"/>
      <c r="U211" s="55"/>
    </row>
    <row r="212" spans="4:21" ht="13.5" customHeight="1">
      <c r="D212" s="53"/>
      <c r="E212" s="54"/>
      <c r="F212" s="54"/>
      <c r="G212" s="55"/>
      <c r="H212" s="55"/>
      <c r="I212" s="55"/>
      <c r="J212" s="55"/>
      <c r="K212" s="55"/>
      <c r="L212" s="55"/>
      <c r="M212" s="55"/>
      <c r="N212" s="55"/>
      <c r="O212" s="55"/>
      <c r="P212" s="55"/>
      <c r="Q212" s="55"/>
      <c r="R212" s="55"/>
      <c r="S212" s="55"/>
      <c r="T212" s="55"/>
      <c r="U212" s="55"/>
    </row>
    <row r="213" spans="4:21" ht="13.5" customHeight="1">
      <c r="D213" s="53"/>
      <c r="E213" s="54"/>
      <c r="F213" s="54"/>
      <c r="G213" s="55"/>
      <c r="H213" s="55"/>
      <c r="I213" s="55"/>
      <c r="J213" s="55"/>
      <c r="K213" s="55"/>
      <c r="L213" s="55"/>
      <c r="M213" s="55"/>
      <c r="N213" s="55"/>
      <c r="O213" s="55"/>
      <c r="P213" s="55"/>
      <c r="Q213" s="55"/>
      <c r="R213" s="55"/>
      <c r="S213" s="55"/>
      <c r="T213" s="55"/>
      <c r="U213" s="55"/>
    </row>
    <row r="214" spans="4:21" ht="13.5" customHeight="1">
      <c r="D214" s="53"/>
      <c r="E214" s="54"/>
      <c r="F214" s="54"/>
      <c r="G214" s="55"/>
      <c r="H214" s="55"/>
      <c r="I214" s="55"/>
      <c r="J214" s="55"/>
      <c r="K214" s="55"/>
      <c r="L214" s="55"/>
      <c r="M214" s="55"/>
      <c r="N214" s="55"/>
      <c r="O214" s="55"/>
      <c r="P214" s="55"/>
      <c r="Q214" s="55"/>
      <c r="R214" s="55"/>
      <c r="S214" s="55"/>
      <c r="T214" s="55"/>
      <c r="U214" s="55"/>
    </row>
    <row r="215" spans="4:21" ht="13.5" customHeight="1">
      <c r="D215" s="53"/>
      <c r="E215" s="54"/>
      <c r="F215" s="54"/>
      <c r="G215" s="55"/>
      <c r="H215" s="55"/>
      <c r="I215" s="55"/>
      <c r="J215" s="55"/>
      <c r="K215" s="55"/>
      <c r="L215" s="55"/>
      <c r="M215" s="55"/>
      <c r="N215" s="55"/>
      <c r="O215" s="55"/>
      <c r="P215" s="55"/>
      <c r="Q215" s="55"/>
      <c r="R215" s="55"/>
      <c r="S215" s="55"/>
      <c r="T215" s="55"/>
      <c r="U215" s="55"/>
    </row>
    <row r="216" spans="4:21" ht="13.5" customHeight="1">
      <c r="D216" s="53"/>
      <c r="E216" s="54"/>
      <c r="F216" s="54"/>
      <c r="G216" s="55"/>
      <c r="H216" s="55"/>
      <c r="I216" s="55"/>
      <c r="J216" s="55"/>
      <c r="K216" s="55"/>
      <c r="L216" s="55"/>
      <c r="M216" s="55"/>
      <c r="N216" s="55"/>
      <c r="O216" s="55"/>
      <c r="P216" s="55"/>
      <c r="Q216" s="55"/>
      <c r="R216" s="55"/>
      <c r="S216" s="55"/>
      <c r="T216" s="55"/>
      <c r="U216" s="55"/>
    </row>
    <row r="217" spans="4:21" ht="13.5" customHeight="1">
      <c r="D217" s="53"/>
      <c r="E217" s="54"/>
      <c r="F217" s="54"/>
      <c r="G217" s="55"/>
      <c r="H217" s="55"/>
      <c r="I217" s="55"/>
      <c r="J217" s="55"/>
      <c r="K217" s="55"/>
      <c r="L217" s="55"/>
      <c r="M217" s="55"/>
      <c r="N217" s="55"/>
      <c r="O217" s="55"/>
      <c r="P217" s="55"/>
      <c r="Q217" s="55"/>
      <c r="R217" s="55"/>
      <c r="S217" s="55"/>
      <c r="T217" s="55"/>
      <c r="U217" s="55"/>
    </row>
    <row r="218" spans="4:21" ht="13.5" customHeight="1">
      <c r="D218" s="53"/>
      <c r="E218" s="54"/>
      <c r="F218" s="54"/>
      <c r="G218" s="55"/>
      <c r="H218" s="55"/>
      <c r="I218" s="55"/>
      <c r="J218" s="55"/>
      <c r="K218" s="55"/>
      <c r="L218" s="55"/>
      <c r="M218" s="55"/>
      <c r="N218" s="55"/>
      <c r="O218" s="55"/>
      <c r="P218" s="55"/>
      <c r="Q218" s="55"/>
      <c r="R218" s="55"/>
      <c r="S218" s="55"/>
      <c r="T218" s="55"/>
      <c r="U218" s="55"/>
    </row>
    <row r="219" spans="4:21" ht="13.5" customHeight="1">
      <c r="D219" s="53"/>
      <c r="E219" s="54"/>
      <c r="F219" s="54"/>
      <c r="G219" s="55"/>
      <c r="H219" s="55"/>
      <c r="I219" s="55"/>
      <c r="J219" s="55"/>
      <c r="K219" s="55"/>
      <c r="L219" s="55"/>
      <c r="M219" s="55"/>
      <c r="N219" s="55"/>
      <c r="O219" s="55"/>
      <c r="P219" s="55"/>
      <c r="Q219" s="55"/>
      <c r="R219" s="55"/>
      <c r="S219" s="55"/>
      <c r="T219" s="55"/>
      <c r="U219" s="55"/>
    </row>
    <row r="220" spans="4:21" ht="13.5" customHeight="1">
      <c r="D220" s="53"/>
      <c r="E220" s="54"/>
      <c r="F220" s="54"/>
      <c r="G220" s="55"/>
      <c r="H220" s="55"/>
      <c r="I220" s="55"/>
      <c r="J220" s="55"/>
      <c r="K220" s="55"/>
      <c r="L220" s="55"/>
      <c r="M220" s="55"/>
      <c r="N220" s="55"/>
      <c r="O220" s="55"/>
      <c r="P220" s="55"/>
      <c r="Q220" s="55"/>
      <c r="R220" s="55"/>
      <c r="S220" s="55"/>
      <c r="T220" s="55"/>
      <c r="U220" s="55"/>
    </row>
    <row r="221" spans="4:21" ht="13.5" customHeight="1">
      <c r="D221" s="53"/>
      <c r="E221" s="54"/>
      <c r="F221" s="54"/>
      <c r="G221" s="55"/>
      <c r="H221" s="55"/>
      <c r="I221" s="55"/>
      <c r="J221" s="55"/>
      <c r="K221" s="55"/>
      <c r="L221" s="55"/>
      <c r="M221" s="55"/>
      <c r="N221" s="55"/>
      <c r="O221" s="55"/>
      <c r="P221" s="55"/>
      <c r="Q221" s="55"/>
      <c r="R221" s="55"/>
      <c r="S221" s="55"/>
      <c r="T221" s="55"/>
      <c r="U221" s="55"/>
    </row>
    <row r="222" spans="4:21" ht="13.5" customHeight="1">
      <c r="D222" s="53"/>
      <c r="E222" s="54"/>
      <c r="F222" s="54"/>
      <c r="G222" s="55"/>
      <c r="H222" s="55"/>
      <c r="I222" s="55"/>
      <c r="J222" s="55"/>
      <c r="K222" s="55"/>
      <c r="L222" s="55"/>
      <c r="M222" s="55"/>
      <c r="N222" s="55"/>
      <c r="O222" s="55"/>
      <c r="P222" s="55"/>
      <c r="Q222" s="55"/>
      <c r="R222" s="55"/>
      <c r="S222" s="55"/>
      <c r="T222" s="55"/>
      <c r="U222" s="55"/>
    </row>
    <row r="223" spans="4:21" ht="13.5" customHeight="1">
      <c r="D223" s="53"/>
      <c r="E223" s="54"/>
      <c r="F223" s="54"/>
      <c r="G223" s="55"/>
      <c r="H223" s="55"/>
      <c r="I223" s="55"/>
      <c r="J223" s="55"/>
      <c r="K223" s="55"/>
      <c r="L223" s="55"/>
      <c r="M223" s="55"/>
      <c r="N223" s="55"/>
      <c r="O223" s="55"/>
      <c r="P223" s="55"/>
      <c r="Q223" s="55"/>
      <c r="R223" s="55"/>
      <c r="S223" s="55"/>
      <c r="T223" s="55"/>
      <c r="U223" s="55"/>
    </row>
    <row r="224" spans="4:21" ht="13.5" customHeight="1">
      <c r="D224" s="53"/>
      <c r="E224" s="54"/>
      <c r="F224" s="54"/>
      <c r="G224" s="55"/>
      <c r="H224" s="55"/>
      <c r="I224" s="55"/>
      <c r="J224" s="55"/>
      <c r="K224" s="55"/>
      <c r="L224" s="55"/>
      <c r="M224" s="55"/>
      <c r="N224" s="55"/>
      <c r="O224" s="55"/>
      <c r="P224" s="55"/>
      <c r="Q224" s="55"/>
      <c r="R224" s="55"/>
      <c r="S224" s="55"/>
      <c r="T224" s="55"/>
      <c r="U224" s="55"/>
    </row>
    <row r="225" spans="4:21" ht="13.5" customHeight="1">
      <c r="D225" s="53"/>
      <c r="E225" s="54"/>
      <c r="F225" s="54"/>
      <c r="G225" s="55"/>
      <c r="H225" s="55"/>
      <c r="I225" s="55"/>
      <c r="J225" s="55"/>
      <c r="K225" s="55"/>
      <c r="L225" s="55"/>
      <c r="M225" s="55"/>
      <c r="N225" s="55"/>
      <c r="O225" s="55"/>
      <c r="P225" s="55"/>
      <c r="Q225" s="55"/>
      <c r="R225" s="55"/>
      <c r="S225" s="55"/>
      <c r="T225" s="55"/>
      <c r="U225" s="55"/>
    </row>
    <row r="226" spans="4:21" ht="13.5" customHeight="1">
      <c r="D226" s="53"/>
      <c r="E226" s="54"/>
      <c r="F226" s="54"/>
      <c r="G226" s="55"/>
      <c r="H226" s="55"/>
      <c r="I226" s="55"/>
      <c r="J226" s="55"/>
      <c r="K226" s="55"/>
      <c r="L226" s="55"/>
      <c r="M226" s="55"/>
      <c r="N226" s="55"/>
      <c r="O226" s="55"/>
      <c r="P226" s="55"/>
      <c r="Q226" s="55"/>
      <c r="R226" s="55"/>
      <c r="S226" s="55"/>
      <c r="T226" s="55"/>
      <c r="U226" s="55"/>
    </row>
    <row r="227" spans="4:21" ht="13.5" customHeight="1">
      <c r="D227" s="53"/>
      <c r="E227" s="54"/>
      <c r="F227" s="54"/>
      <c r="G227" s="55"/>
      <c r="H227" s="55"/>
      <c r="I227" s="55"/>
      <c r="J227" s="55"/>
      <c r="K227" s="55"/>
      <c r="L227" s="55"/>
      <c r="M227" s="55"/>
      <c r="N227" s="55"/>
      <c r="O227" s="55"/>
      <c r="P227" s="55"/>
      <c r="Q227" s="55"/>
      <c r="R227" s="55"/>
      <c r="S227" s="55"/>
      <c r="T227" s="55"/>
      <c r="U227" s="55"/>
    </row>
    <row r="228" spans="4:21" ht="13.5" customHeight="1">
      <c r="D228" s="53"/>
      <c r="E228" s="54"/>
      <c r="F228" s="54"/>
      <c r="G228" s="55"/>
      <c r="H228" s="55"/>
      <c r="I228" s="55"/>
      <c r="J228" s="55"/>
      <c r="K228" s="55"/>
      <c r="L228" s="55"/>
      <c r="M228" s="55"/>
      <c r="N228" s="55"/>
      <c r="O228" s="55"/>
      <c r="P228" s="55"/>
      <c r="Q228" s="55"/>
      <c r="R228" s="55"/>
      <c r="S228" s="55"/>
      <c r="T228" s="55"/>
      <c r="U228" s="55"/>
    </row>
    <row r="229" spans="4:21" ht="13.5" customHeight="1">
      <c r="D229" s="53"/>
      <c r="E229" s="54"/>
      <c r="F229" s="54"/>
      <c r="G229" s="55"/>
      <c r="H229" s="55"/>
      <c r="I229" s="55"/>
      <c r="J229" s="55"/>
      <c r="K229" s="55"/>
      <c r="L229" s="55"/>
      <c r="M229" s="55"/>
      <c r="N229" s="55"/>
      <c r="O229" s="55"/>
      <c r="P229" s="55"/>
      <c r="Q229" s="55"/>
      <c r="R229" s="55"/>
      <c r="S229" s="55"/>
      <c r="T229" s="55"/>
      <c r="U229" s="55"/>
    </row>
    <row r="230" spans="4:21" ht="13.5" customHeight="1">
      <c r="D230" s="53"/>
      <c r="E230" s="54"/>
      <c r="F230" s="54"/>
      <c r="G230" s="55"/>
      <c r="H230" s="55"/>
      <c r="I230" s="55"/>
      <c r="J230" s="55"/>
      <c r="K230" s="55"/>
      <c r="L230" s="55"/>
      <c r="M230" s="55"/>
      <c r="N230" s="55"/>
      <c r="O230" s="55"/>
      <c r="P230" s="55"/>
      <c r="Q230" s="55"/>
      <c r="R230" s="55"/>
      <c r="S230" s="55"/>
      <c r="T230" s="55"/>
      <c r="U230" s="55"/>
    </row>
    <row r="231" spans="4:21" ht="13.5" customHeight="1">
      <c r="D231" s="53"/>
      <c r="E231" s="54"/>
      <c r="F231" s="54"/>
      <c r="G231" s="55"/>
      <c r="H231" s="55"/>
      <c r="I231" s="55"/>
      <c r="J231" s="55"/>
      <c r="K231" s="55"/>
      <c r="L231" s="55"/>
      <c r="M231" s="55"/>
      <c r="N231" s="55"/>
      <c r="O231" s="55"/>
      <c r="P231" s="55"/>
      <c r="Q231" s="55"/>
      <c r="R231" s="55"/>
      <c r="S231" s="55"/>
      <c r="T231" s="55"/>
      <c r="U231" s="55"/>
    </row>
    <row r="232" spans="4:21" ht="13.5" customHeight="1">
      <c r="D232" s="53"/>
      <c r="E232" s="54"/>
      <c r="F232" s="54"/>
      <c r="G232" s="55"/>
      <c r="H232" s="55"/>
      <c r="I232" s="55"/>
      <c r="J232" s="55"/>
      <c r="K232" s="55"/>
      <c r="L232" s="55"/>
      <c r="M232" s="55"/>
      <c r="N232" s="55"/>
      <c r="O232" s="55"/>
      <c r="P232" s="55"/>
      <c r="Q232" s="55"/>
      <c r="R232" s="55"/>
      <c r="S232" s="55"/>
      <c r="T232" s="55"/>
      <c r="U232" s="55"/>
    </row>
    <row r="233" spans="4:21" ht="13.5" customHeight="1">
      <c r="D233" s="53"/>
      <c r="E233" s="54"/>
      <c r="F233" s="54"/>
      <c r="G233" s="55"/>
      <c r="H233" s="55"/>
      <c r="I233" s="55"/>
      <c r="J233" s="55"/>
      <c r="K233" s="55"/>
      <c r="L233" s="55"/>
      <c r="M233" s="55"/>
      <c r="N233" s="55"/>
      <c r="O233" s="55"/>
      <c r="P233" s="55"/>
      <c r="Q233" s="55"/>
      <c r="R233" s="55"/>
      <c r="S233" s="55"/>
      <c r="T233" s="55"/>
      <c r="U233" s="55"/>
    </row>
    <row r="234" spans="4:21" ht="13.5" customHeight="1">
      <c r="D234" s="53"/>
      <c r="E234" s="54"/>
      <c r="F234" s="54"/>
      <c r="G234" s="55"/>
      <c r="H234" s="55"/>
      <c r="I234" s="55"/>
      <c r="J234" s="55"/>
      <c r="K234" s="55"/>
      <c r="L234" s="55"/>
      <c r="M234" s="55"/>
      <c r="N234" s="55"/>
      <c r="O234" s="55"/>
      <c r="P234" s="55"/>
      <c r="Q234" s="55"/>
      <c r="R234" s="55"/>
      <c r="S234" s="55"/>
      <c r="T234" s="55"/>
      <c r="U234" s="55"/>
    </row>
    <row r="235" spans="4:21" ht="13.5" customHeight="1">
      <c r="D235" s="53"/>
      <c r="E235" s="54"/>
      <c r="F235" s="54"/>
      <c r="G235" s="55"/>
      <c r="H235" s="55"/>
      <c r="I235" s="55"/>
      <c r="J235" s="55"/>
      <c r="K235" s="55"/>
      <c r="L235" s="55"/>
      <c r="M235" s="55"/>
      <c r="N235" s="55"/>
      <c r="O235" s="55"/>
      <c r="P235" s="55"/>
      <c r="Q235" s="55"/>
      <c r="R235" s="55"/>
      <c r="S235" s="55"/>
      <c r="T235" s="55"/>
      <c r="U235" s="55"/>
    </row>
    <row r="236" spans="4:21" ht="13.5" customHeight="1">
      <c r="D236" s="53"/>
      <c r="E236" s="54"/>
      <c r="F236" s="54"/>
      <c r="G236" s="55"/>
      <c r="H236" s="55"/>
      <c r="I236" s="55"/>
      <c r="J236" s="55"/>
      <c r="K236" s="55"/>
      <c r="L236" s="55"/>
      <c r="M236" s="55"/>
      <c r="N236" s="55"/>
      <c r="O236" s="55"/>
      <c r="P236" s="55"/>
      <c r="Q236" s="55"/>
      <c r="R236" s="55"/>
      <c r="S236" s="55"/>
      <c r="T236" s="55"/>
      <c r="U236" s="55"/>
    </row>
    <row r="237" spans="4:21" ht="13.5" customHeight="1">
      <c r="D237" s="53"/>
      <c r="E237" s="54"/>
      <c r="F237" s="54"/>
      <c r="G237" s="55"/>
      <c r="H237" s="55"/>
      <c r="I237" s="55"/>
      <c r="J237" s="55"/>
      <c r="K237" s="55"/>
      <c r="L237" s="55"/>
      <c r="M237" s="55"/>
      <c r="N237" s="55"/>
      <c r="O237" s="55"/>
      <c r="P237" s="55"/>
      <c r="Q237" s="55"/>
      <c r="R237" s="55"/>
      <c r="S237" s="55"/>
      <c r="T237" s="55"/>
      <c r="U237" s="55"/>
    </row>
    <row r="238" spans="4:21" ht="13.5" customHeight="1">
      <c r="D238" s="53"/>
      <c r="E238" s="54"/>
      <c r="F238" s="54"/>
      <c r="G238" s="55"/>
      <c r="H238" s="55"/>
      <c r="I238" s="55"/>
      <c r="J238" s="55"/>
      <c r="K238" s="55"/>
      <c r="L238" s="55"/>
      <c r="M238" s="55"/>
      <c r="N238" s="55"/>
      <c r="O238" s="55"/>
      <c r="P238" s="55"/>
      <c r="Q238" s="55"/>
      <c r="R238" s="55"/>
      <c r="S238" s="55"/>
      <c r="T238" s="55"/>
      <c r="U238" s="55"/>
    </row>
    <row r="239" spans="4:21" ht="13.5" customHeight="1">
      <c r="D239" s="53"/>
      <c r="E239" s="54"/>
      <c r="F239" s="54"/>
      <c r="G239" s="55"/>
      <c r="H239" s="55"/>
      <c r="I239" s="55"/>
      <c r="J239" s="55"/>
      <c r="K239" s="55"/>
      <c r="L239" s="55"/>
      <c r="M239" s="55"/>
      <c r="N239" s="55"/>
      <c r="O239" s="55"/>
      <c r="P239" s="55"/>
      <c r="Q239" s="55"/>
      <c r="R239" s="55"/>
      <c r="S239" s="55"/>
      <c r="T239" s="55"/>
      <c r="U239" s="55"/>
    </row>
    <row r="240" spans="4:21" ht="13.5" customHeight="1">
      <c r="D240" s="53"/>
      <c r="E240" s="54"/>
      <c r="F240" s="54"/>
      <c r="G240" s="55"/>
      <c r="H240" s="55"/>
      <c r="I240" s="55"/>
      <c r="J240" s="55"/>
      <c r="K240" s="55"/>
      <c r="L240" s="55"/>
      <c r="M240" s="55"/>
      <c r="N240" s="55"/>
      <c r="O240" s="55"/>
      <c r="P240" s="55"/>
      <c r="Q240" s="55"/>
      <c r="R240" s="55"/>
      <c r="S240" s="55"/>
      <c r="T240" s="55"/>
      <c r="U240" s="55"/>
    </row>
    <row r="241" spans="4:21" ht="13.5" customHeight="1">
      <c r="D241" s="53"/>
      <c r="E241" s="54"/>
      <c r="F241" s="54"/>
      <c r="G241" s="55"/>
      <c r="H241" s="55"/>
      <c r="I241" s="55"/>
      <c r="J241" s="55"/>
      <c r="K241" s="55"/>
      <c r="L241" s="55"/>
      <c r="M241" s="55"/>
      <c r="N241" s="55"/>
      <c r="O241" s="55"/>
      <c r="P241" s="55"/>
      <c r="Q241" s="55"/>
      <c r="R241" s="55"/>
      <c r="S241" s="55"/>
      <c r="T241" s="55"/>
      <c r="U241" s="55"/>
    </row>
    <row r="242" spans="4:21" ht="13.5" customHeight="1">
      <c r="D242" s="53"/>
      <c r="E242" s="54"/>
      <c r="F242" s="54"/>
      <c r="G242" s="55"/>
      <c r="H242" s="55"/>
      <c r="I242" s="55"/>
      <c r="J242" s="55"/>
      <c r="K242" s="55"/>
      <c r="L242" s="55"/>
      <c r="M242" s="55"/>
      <c r="N242" s="55"/>
      <c r="O242" s="55"/>
      <c r="P242" s="55"/>
      <c r="Q242" s="55"/>
      <c r="R242" s="55"/>
      <c r="S242" s="55"/>
      <c r="T242" s="55"/>
      <c r="U242" s="55"/>
    </row>
    <row r="243" spans="4:21" ht="13.5" customHeight="1">
      <c r="D243" s="53"/>
      <c r="E243" s="54"/>
      <c r="F243" s="54"/>
      <c r="G243" s="55"/>
      <c r="H243" s="55"/>
      <c r="I243" s="55"/>
      <c r="J243" s="55"/>
      <c r="K243" s="55"/>
      <c r="L243" s="55"/>
      <c r="M243" s="55"/>
      <c r="N243" s="55"/>
      <c r="O243" s="55"/>
      <c r="P243" s="55"/>
      <c r="Q243" s="55"/>
      <c r="R243" s="55"/>
      <c r="S243" s="55"/>
      <c r="T243" s="55"/>
      <c r="U243" s="55"/>
    </row>
    <row r="244" spans="4:21" ht="13.5" customHeight="1">
      <c r="D244" s="53"/>
      <c r="E244" s="54"/>
      <c r="F244" s="54"/>
      <c r="G244" s="55"/>
      <c r="H244" s="55"/>
      <c r="I244" s="55"/>
      <c r="J244" s="55"/>
      <c r="K244" s="55"/>
      <c r="L244" s="55"/>
      <c r="M244" s="55"/>
      <c r="N244" s="55"/>
      <c r="O244" s="55"/>
      <c r="P244" s="55"/>
      <c r="Q244" s="55"/>
      <c r="R244" s="55"/>
      <c r="S244" s="55"/>
      <c r="T244" s="55"/>
      <c r="U244" s="55"/>
    </row>
    <row r="245" spans="4:21" ht="13.5" customHeight="1">
      <c r="D245" s="53"/>
      <c r="E245" s="54"/>
      <c r="F245" s="54"/>
      <c r="G245" s="55"/>
      <c r="H245" s="55"/>
      <c r="I245" s="55"/>
      <c r="J245" s="55"/>
      <c r="K245" s="55"/>
      <c r="L245" s="55"/>
      <c r="M245" s="55"/>
      <c r="N245" s="55"/>
      <c r="O245" s="55"/>
      <c r="P245" s="55"/>
      <c r="Q245" s="55"/>
      <c r="R245" s="55"/>
      <c r="S245" s="55"/>
      <c r="T245" s="55"/>
      <c r="U245" s="55"/>
    </row>
    <row r="246" spans="4:21" ht="13.5" customHeight="1">
      <c r="D246" s="53"/>
      <c r="E246" s="54"/>
      <c r="F246" s="54"/>
      <c r="G246" s="55"/>
      <c r="H246" s="55"/>
      <c r="I246" s="55"/>
      <c r="J246" s="55"/>
      <c r="K246" s="55"/>
      <c r="L246" s="55"/>
      <c r="M246" s="55"/>
      <c r="N246" s="55"/>
      <c r="O246" s="55"/>
      <c r="P246" s="55"/>
      <c r="Q246" s="55"/>
      <c r="R246" s="55"/>
      <c r="S246" s="55"/>
      <c r="T246" s="55"/>
      <c r="U246" s="55"/>
    </row>
    <row r="247" spans="4:21" ht="13.5" customHeight="1">
      <c r="D247" s="53"/>
      <c r="E247" s="54"/>
      <c r="F247" s="54"/>
      <c r="G247" s="55"/>
      <c r="H247" s="55"/>
      <c r="I247" s="55"/>
      <c r="J247" s="55"/>
      <c r="K247" s="55"/>
      <c r="L247" s="55"/>
      <c r="M247" s="55"/>
      <c r="N247" s="55"/>
      <c r="O247" s="55"/>
      <c r="P247" s="55"/>
      <c r="Q247" s="55"/>
      <c r="R247" s="55"/>
      <c r="S247" s="55"/>
      <c r="T247" s="55"/>
      <c r="U247" s="55"/>
    </row>
    <row r="248" spans="4:21" ht="13.5" customHeight="1">
      <c r="D248" s="53"/>
      <c r="E248" s="54"/>
      <c r="F248" s="54"/>
      <c r="G248" s="55"/>
      <c r="H248" s="55"/>
      <c r="I248" s="55"/>
      <c r="J248" s="55"/>
      <c r="K248" s="55"/>
      <c r="L248" s="55"/>
      <c r="M248" s="55"/>
      <c r="N248" s="55"/>
      <c r="O248" s="55"/>
      <c r="P248" s="55"/>
      <c r="Q248" s="55"/>
      <c r="R248" s="55"/>
      <c r="S248" s="55"/>
      <c r="T248" s="55"/>
      <c r="U248" s="55"/>
    </row>
    <row r="249" spans="4:21" ht="13.5" customHeight="1">
      <c r="D249" s="53"/>
      <c r="E249" s="54"/>
      <c r="F249" s="54"/>
      <c r="G249" s="55"/>
      <c r="H249" s="55"/>
      <c r="I249" s="55"/>
      <c r="J249" s="55"/>
      <c r="K249" s="55"/>
      <c r="L249" s="55"/>
      <c r="M249" s="55"/>
      <c r="N249" s="55"/>
      <c r="O249" s="55"/>
      <c r="P249" s="55"/>
      <c r="Q249" s="55"/>
      <c r="R249" s="55"/>
      <c r="S249" s="55"/>
      <c r="T249" s="55"/>
      <c r="U249" s="55"/>
    </row>
    <row r="250" spans="4:21" ht="13.5" customHeight="1">
      <c r="D250" s="53"/>
      <c r="E250" s="54"/>
      <c r="F250" s="54"/>
      <c r="G250" s="55"/>
      <c r="H250" s="55"/>
      <c r="I250" s="55"/>
      <c r="J250" s="55"/>
      <c r="K250" s="55"/>
      <c r="L250" s="55"/>
      <c r="M250" s="55"/>
      <c r="N250" s="55"/>
      <c r="O250" s="55"/>
      <c r="P250" s="55"/>
      <c r="Q250" s="55"/>
      <c r="R250" s="55"/>
      <c r="S250" s="55"/>
      <c r="T250" s="55"/>
      <c r="U250" s="55"/>
    </row>
    <row r="251" spans="4:21" ht="13.5" customHeight="1">
      <c r="D251" s="53"/>
      <c r="E251" s="54"/>
      <c r="F251" s="54"/>
      <c r="G251" s="55"/>
      <c r="H251" s="55"/>
      <c r="I251" s="55"/>
      <c r="J251" s="55"/>
      <c r="K251" s="55"/>
      <c r="L251" s="55"/>
      <c r="M251" s="55"/>
      <c r="N251" s="55"/>
      <c r="O251" s="55"/>
      <c r="P251" s="55"/>
      <c r="Q251" s="55"/>
      <c r="R251" s="55"/>
      <c r="S251" s="55"/>
      <c r="T251" s="55"/>
      <c r="U251" s="55"/>
    </row>
    <row r="252" spans="4:21" ht="13.5" customHeight="1">
      <c r="D252" s="53"/>
      <c r="E252" s="54"/>
      <c r="F252" s="54"/>
      <c r="G252" s="55"/>
      <c r="H252" s="55"/>
      <c r="I252" s="55"/>
      <c r="J252" s="55"/>
      <c r="K252" s="55"/>
      <c r="L252" s="55"/>
      <c r="M252" s="55"/>
      <c r="N252" s="55"/>
      <c r="O252" s="55"/>
      <c r="P252" s="55"/>
      <c r="Q252" s="55"/>
      <c r="R252" s="55"/>
      <c r="S252" s="55"/>
      <c r="T252" s="55"/>
      <c r="U252" s="55"/>
    </row>
    <row r="253" spans="4:21" ht="13.5" customHeight="1">
      <c r="D253" s="53"/>
      <c r="E253" s="54"/>
      <c r="F253" s="54"/>
      <c r="G253" s="55"/>
      <c r="H253" s="55"/>
      <c r="I253" s="55"/>
      <c r="J253" s="55"/>
      <c r="K253" s="55"/>
      <c r="L253" s="55"/>
      <c r="M253" s="55"/>
      <c r="N253" s="55"/>
      <c r="O253" s="55"/>
      <c r="P253" s="55"/>
      <c r="Q253" s="55"/>
      <c r="R253" s="55"/>
      <c r="S253" s="55"/>
      <c r="T253" s="55"/>
      <c r="U253" s="55"/>
    </row>
    <row r="254" spans="4:21" ht="13.5" customHeight="1">
      <c r="D254" s="53"/>
      <c r="E254" s="54"/>
      <c r="F254" s="54"/>
      <c r="G254" s="55"/>
      <c r="H254" s="55"/>
      <c r="I254" s="55"/>
      <c r="J254" s="55"/>
      <c r="K254" s="55"/>
      <c r="L254" s="55"/>
      <c r="M254" s="55"/>
      <c r="N254" s="55"/>
      <c r="O254" s="55"/>
      <c r="P254" s="55"/>
      <c r="Q254" s="55"/>
      <c r="R254" s="55"/>
      <c r="S254" s="55"/>
      <c r="T254" s="55"/>
      <c r="U254" s="55"/>
    </row>
    <row r="255" spans="4:21" ht="13.5" customHeight="1">
      <c r="D255" s="53"/>
      <c r="E255" s="54"/>
      <c r="F255" s="54"/>
      <c r="G255" s="55"/>
      <c r="H255" s="55"/>
      <c r="I255" s="55"/>
      <c r="J255" s="55"/>
      <c r="K255" s="55"/>
      <c r="L255" s="55"/>
      <c r="M255" s="55"/>
      <c r="N255" s="55"/>
      <c r="O255" s="55"/>
      <c r="P255" s="55"/>
      <c r="Q255" s="55"/>
      <c r="R255" s="55"/>
      <c r="S255" s="55"/>
      <c r="T255" s="55"/>
      <c r="U255" s="55"/>
    </row>
    <row r="256" spans="4:21" ht="13.5" customHeight="1">
      <c r="D256" s="53"/>
      <c r="E256" s="54"/>
      <c r="F256" s="54"/>
      <c r="G256" s="55"/>
      <c r="H256" s="55"/>
      <c r="I256" s="55"/>
      <c r="J256" s="55"/>
      <c r="K256" s="55"/>
      <c r="L256" s="55"/>
      <c r="M256" s="55"/>
      <c r="N256" s="55"/>
      <c r="O256" s="55"/>
      <c r="P256" s="55"/>
      <c r="Q256" s="55"/>
      <c r="R256" s="55"/>
      <c r="S256" s="55"/>
      <c r="T256" s="55"/>
      <c r="U256" s="55"/>
    </row>
    <row r="257" spans="4:21" ht="13.5" customHeight="1">
      <c r="D257" s="53"/>
      <c r="E257" s="54"/>
      <c r="F257" s="54"/>
      <c r="G257" s="55"/>
      <c r="H257" s="55"/>
      <c r="I257" s="55"/>
      <c r="J257" s="55"/>
      <c r="K257" s="55"/>
      <c r="L257" s="55"/>
      <c r="M257" s="55"/>
      <c r="N257" s="55"/>
      <c r="O257" s="55"/>
      <c r="P257" s="55"/>
      <c r="Q257" s="55"/>
      <c r="R257" s="55"/>
      <c r="S257" s="55"/>
      <c r="T257" s="55"/>
      <c r="U257" s="55"/>
    </row>
    <row r="258" spans="4:21" ht="13.5" customHeight="1">
      <c r="D258" s="53"/>
      <c r="E258" s="54"/>
      <c r="F258" s="54"/>
      <c r="G258" s="55"/>
      <c r="H258" s="55"/>
      <c r="I258" s="55"/>
      <c r="J258" s="55"/>
      <c r="K258" s="55"/>
      <c r="L258" s="55"/>
      <c r="M258" s="55"/>
      <c r="N258" s="55"/>
      <c r="O258" s="55"/>
      <c r="P258" s="55"/>
      <c r="Q258" s="55"/>
      <c r="R258" s="55"/>
      <c r="S258" s="55"/>
      <c r="T258" s="55"/>
      <c r="U258" s="55"/>
    </row>
    <row r="259" spans="4:21" ht="13.5" customHeight="1">
      <c r="D259" s="53"/>
      <c r="E259" s="54"/>
      <c r="F259" s="54"/>
      <c r="G259" s="55"/>
      <c r="H259" s="55"/>
      <c r="I259" s="55"/>
      <c r="J259" s="55"/>
      <c r="K259" s="55"/>
      <c r="L259" s="55"/>
      <c r="M259" s="55"/>
      <c r="N259" s="55"/>
      <c r="O259" s="55"/>
      <c r="P259" s="55"/>
      <c r="Q259" s="55"/>
      <c r="R259" s="55"/>
      <c r="S259" s="55"/>
      <c r="T259" s="55"/>
      <c r="U259" s="55"/>
    </row>
    <row r="260" spans="4:21" ht="13.5" customHeight="1">
      <c r="D260" s="53"/>
      <c r="E260" s="54"/>
      <c r="F260" s="54"/>
      <c r="G260" s="55"/>
      <c r="H260" s="55"/>
      <c r="I260" s="55"/>
      <c r="J260" s="55"/>
      <c r="K260" s="55"/>
      <c r="L260" s="55"/>
      <c r="M260" s="55"/>
      <c r="N260" s="55"/>
      <c r="O260" s="55"/>
      <c r="P260" s="55"/>
      <c r="Q260" s="55"/>
      <c r="R260" s="55"/>
      <c r="S260" s="55"/>
      <c r="T260" s="55"/>
      <c r="U260" s="55"/>
    </row>
    <row r="261" spans="4:21" ht="13.5" customHeight="1">
      <c r="D261" s="53"/>
      <c r="E261" s="54"/>
      <c r="F261" s="54"/>
      <c r="G261" s="55"/>
      <c r="H261" s="55"/>
      <c r="I261" s="55"/>
      <c r="J261" s="55"/>
      <c r="K261" s="55"/>
      <c r="L261" s="55"/>
      <c r="M261" s="55"/>
      <c r="N261" s="55"/>
      <c r="O261" s="55"/>
      <c r="P261" s="55"/>
      <c r="Q261" s="55"/>
      <c r="R261" s="55"/>
      <c r="S261" s="55"/>
      <c r="T261" s="55"/>
      <c r="U261" s="55"/>
    </row>
    <row r="262" spans="4:21" ht="13.5" customHeight="1">
      <c r="D262" s="53"/>
      <c r="E262" s="54"/>
      <c r="F262" s="54"/>
      <c r="G262" s="55"/>
      <c r="H262" s="55"/>
      <c r="I262" s="55"/>
      <c r="J262" s="55"/>
      <c r="K262" s="55"/>
      <c r="L262" s="55"/>
      <c r="M262" s="55"/>
      <c r="N262" s="55"/>
      <c r="O262" s="55"/>
      <c r="P262" s="55"/>
      <c r="Q262" s="55"/>
      <c r="R262" s="55"/>
      <c r="S262" s="55"/>
      <c r="T262" s="55"/>
      <c r="U262" s="55"/>
    </row>
    <row r="263" spans="4:21" ht="13.5" customHeight="1">
      <c r="D263" s="53"/>
      <c r="E263" s="54"/>
      <c r="F263" s="54"/>
      <c r="G263" s="55"/>
      <c r="H263" s="55"/>
      <c r="I263" s="55"/>
      <c r="J263" s="55"/>
      <c r="K263" s="55"/>
      <c r="L263" s="55"/>
      <c r="M263" s="55"/>
      <c r="N263" s="55"/>
      <c r="O263" s="55"/>
      <c r="P263" s="55"/>
      <c r="Q263" s="55"/>
      <c r="R263" s="55"/>
      <c r="S263" s="55"/>
      <c r="T263" s="55"/>
      <c r="U263" s="55"/>
    </row>
    <row r="264" spans="4:21" ht="13.5" customHeight="1">
      <c r="D264" s="53"/>
      <c r="E264" s="54"/>
      <c r="F264" s="54"/>
      <c r="G264" s="55"/>
      <c r="H264" s="55"/>
      <c r="I264" s="55"/>
      <c r="J264" s="55"/>
      <c r="K264" s="55"/>
      <c r="L264" s="55"/>
      <c r="M264" s="55"/>
      <c r="N264" s="55"/>
      <c r="O264" s="55"/>
      <c r="P264" s="55"/>
      <c r="Q264" s="55"/>
      <c r="R264" s="55"/>
      <c r="S264" s="55"/>
      <c r="T264" s="55"/>
      <c r="U264" s="55"/>
    </row>
    <row r="265" spans="4:21" ht="13.5" customHeight="1">
      <c r="D265" s="53"/>
      <c r="E265" s="54"/>
      <c r="F265" s="54"/>
      <c r="G265" s="55"/>
      <c r="H265" s="55"/>
      <c r="I265" s="55"/>
      <c r="J265" s="55"/>
      <c r="K265" s="55"/>
      <c r="L265" s="55"/>
      <c r="M265" s="55"/>
      <c r="N265" s="55"/>
      <c r="O265" s="55"/>
      <c r="P265" s="55"/>
      <c r="Q265" s="55"/>
      <c r="R265" s="55"/>
      <c r="S265" s="55"/>
      <c r="T265" s="55"/>
      <c r="U265" s="55"/>
    </row>
    <row r="266" spans="4:21" ht="13.5" customHeight="1">
      <c r="D266" s="53"/>
      <c r="E266" s="54"/>
      <c r="F266" s="54"/>
      <c r="G266" s="55"/>
      <c r="H266" s="55"/>
      <c r="I266" s="55"/>
      <c r="J266" s="55"/>
      <c r="K266" s="55"/>
      <c r="L266" s="55"/>
      <c r="M266" s="55"/>
      <c r="N266" s="55"/>
      <c r="O266" s="55"/>
      <c r="P266" s="55"/>
      <c r="Q266" s="55"/>
      <c r="R266" s="55"/>
      <c r="S266" s="55"/>
      <c r="T266" s="55"/>
      <c r="U266" s="55"/>
    </row>
    <row r="267" spans="4:21" ht="13.5" customHeight="1">
      <c r="D267" s="53"/>
      <c r="E267" s="54"/>
      <c r="F267" s="54"/>
      <c r="G267" s="55"/>
      <c r="H267" s="55"/>
      <c r="I267" s="55"/>
      <c r="J267" s="55"/>
      <c r="K267" s="55"/>
      <c r="L267" s="55"/>
      <c r="M267" s="55"/>
      <c r="N267" s="55"/>
      <c r="O267" s="55"/>
      <c r="P267" s="55"/>
      <c r="Q267" s="55"/>
      <c r="R267" s="55"/>
      <c r="S267" s="55"/>
      <c r="T267" s="55"/>
      <c r="U267" s="55"/>
    </row>
    <row r="268" spans="4:21" ht="13.5" customHeight="1">
      <c r="D268" s="53"/>
      <c r="E268" s="54"/>
      <c r="F268" s="54"/>
      <c r="G268" s="55"/>
      <c r="H268" s="55"/>
      <c r="I268" s="55"/>
      <c r="J268" s="55"/>
      <c r="K268" s="55"/>
      <c r="L268" s="55"/>
      <c r="M268" s="55"/>
      <c r="N268" s="55"/>
      <c r="O268" s="55"/>
      <c r="P268" s="55"/>
      <c r="Q268" s="55"/>
      <c r="R268" s="55"/>
      <c r="S268" s="55"/>
      <c r="T268" s="55"/>
      <c r="U268" s="55"/>
    </row>
    <row r="269" spans="4:21" ht="13.5" customHeight="1">
      <c r="D269" s="53"/>
      <c r="E269" s="54"/>
      <c r="F269" s="54"/>
      <c r="G269" s="55"/>
      <c r="H269" s="55"/>
      <c r="I269" s="55"/>
      <c r="J269" s="55"/>
      <c r="K269" s="55"/>
      <c r="L269" s="55"/>
      <c r="M269" s="55"/>
      <c r="N269" s="55"/>
      <c r="O269" s="55"/>
      <c r="P269" s="55"/>
      <c r="Q269" s="55"/>
      <c r="R269" s="55"/>
      <c r="S269" s="55"/>
      <c r="T269" s="55"/>
      <c r="U269" s="55"/>
    </row>
    <row r="270" spans="4:21" ht="13.5" customHeight="1">
      <c r="D270" s="53"/>
      <c r="E270" s="54"/>
      <c r="F270" s="54"/>
      <c r="G270" s="55"/>
      <c r="H270" s="55"/>
      <c r="I270" s="55"/>
      <c r="J270" s="55"/>
      <c r="K270" s="55"/>
      <c r="L270" s="55"/>
      <c r="M270" s="55"/>
      <c r="N270" s="55"/>
      <c r="O270" s="55"/>
      <c r="P270" s="55"/>
      <c r="Q270" s="55"/>
      <c r="R270" s="55"/>
      <c r="S270" s="55"/>
      <c r="T270" s="55"/>
      <c r="U270" s="55"/>
    </row>
    <row r="271" spans="4:21" ht="13.5" customHeight="1">
      <c r="D271" s="53"/>
      <c r="E271" s="54"/>
      <c r="F271" s="54"/>
      <c r="G271" s="55"/>
      <c r="H271" s="55"/>
      <c r="I271" s="55"/>
      <c r="J271" s="55"/>
      <c r="K271" s="55"/>
      <c r="L271" s="55"/>
      <c r="M271" s="55"/>
      <c r="N271" s="55"/>
      <c r="O271" s="55"/>
      <c r="P271" s="55"/>
      <c r="Q271" s="55"/>
      <c r="R271" s="55"/>
      <c r="S271" s="55"/>
      <c r="T271" s="55"/>
      <c r="U271" s="55"/>
    </row>
    <row r="272" spans="4:21" ht="13.5" customHeight="1">
      <c r="D272" s="53"/>
      <c r="E272" s="54"/>
      <c r="F272" s="54"/>
      <c r="G272" s="55"/>
      <c r="H272" s="55"/>
      <c r="I272" s="55"/>
      <c r="J272" s="55"/>
      <c r="K272" s="55"/>
      <c r="L272" s="55"/>
      <c r="M272" s="55"/>
      <c r="N272" s="55"/>
      <c r="O272" s="55"/>
      <c r="P272" s="55"/>
      <c r="Q272" s="55"/>
      <c r="R272" s="55"/>
      <c r="S272" s="55"/>
      <c r="T272" s="55"/>
      <c r="U272" s="55"/>
    </row>
    <row r="273" spans="4:21" ht="13.5" customHeight="1">
      <c r="D273" s="53"/>
      <c r="E273" s="54"/>
      <c r="F273" s="54"/>
      <c r="G273" s="55"/>
      <c r="H273" s="55"/>
      <c r="I273" s="55"/>
      <c r="J273" s="55"/>
      <c r="K273" s="55"/>
      <c r="L273" s="55"/>
      <c r="M273" s="55"/>
      <c r="N273" s="55"/>
      <c r="O273" s="55"/>
      <c r="P273" s="55"/>
      <c r="Q273" s="55"/>
      <c r="R273" s="55"/>
      <c r="S273" s="55"/>
      <c r="T273" s="55"/>
      <c r="U273" s="55"/>
    </row>
    <row r="274" spans="4:21" ht="13.5" customHeight="1">
      <c r="D274" s="53"/>
      <c r="E274" s="54"/>
      <c r="F274" s="54"/>
      <c r="G274" s="55"/>
      <c r="H274" s="55"/>
      <c r="I274" s="55"/>
      <c r="J274" s="55"/>
      <c r="K274" s="55"/>
      <c r="L274" s="55"/>
      <c r="M274" s="55"/>
      <c r="N274" s="55"/>
      <c r="O274" s="55"/>
      <c r="P274" s="55"/>
      <c r="Q274" s="55"/>
      <c r="R274" s="55"/>
      <c r="S274" s="55"/>
      <c r="T274" s="55"/>
      <c r="U274" s="55"/>
    </row>
    <row r="275" spans="4:21" ht="13.5" customHeight="1">
      <c r="D275" s="53"/>
      <c r="E275" s="54"/>
      <c r="F275" s="54"/>
      <c r="G275" s="55"/>
      <c r="H275" s="55"/>
      <c r="I275" s="55"/>
      <c r="J275" s="55"/>
      <c r="K275" s="55"/>
      <c r="L275" s="55"/>
      <c r="M275" s="55"/>
      <c r="N275" s="55"/>
      <c r="O275" s="55"/>
      <c r="P275" s="55"/>
      <c r="Q275" s="55"/>
      <c r="R275" s="55"/>
      <c r="S275" s="55"/>
      <c r="T275" s="55"/>
      <c r="U275" s="55"/>
    </row>
    <row r="276" spans="4:21" ht="13.5" customHeight="1">
      <c r="D276" s="53"/>
      <c r="E276" s="54"/>
      <c r="F276" s="54"/>
      <c r="G276" s="55"/>
      <c r="H276" s="55"/>
      <c r="I276" s="55"/>
      <c r="J276" s="55"/>
      <c r="K276" s="55"/>
      <c r="L276" s="55"/>
      <c r="M276" s="55"/>
      <c r="N276" s="55"/>
      <c r="O276" s="55"/>
      <c r="P276" s="55"/>
      <c r="Q276" s="55"/>
      <c r="R276" s="55"/>
      <c r="S276" s="55"/>
      <c r="T276" s="55"/>
      <c r="U276" s="55"/>
    </row>
    <row r="277" spans="4:21" ht="13.5" customHeight="1">
      <c r="D277" s="53"/>
      <c r="E277" s="54"/>
      <c r="F277" s="54"/>
      <c r="G277" s="55"/>
      <c r="H277" s="55"/>
      <c r="I277" s="55"/>
      <c r="J277" s="55"/>
      <c r="K277" s="55"/>
      <c r="L277" s="55"/>
      <c r="M277" s="55"/>
      <c r="N277" s="55"/>
      <c r="O277" s="55"/>
      <c r="P277" s="55"/>
      <c r="Q277" s="55"/>
      <c r="R277" s="55"/>
      <c r="S277" s="55"/>
      <c r="T277" s="55"/>
      <c r="U277" s="55"/>
    </row>
    <row r="278" spans="4:21" ht="13.5" customHeight="1">
      <c r="D278" s="53"/>
      <c r="E278" s="54"/>
      <c r="F278" s="54"/>
      <c r="G278" s="55"/>
      <c r="H278" s="55"/>
      <c r="I278" s="55"/>
      <c r="J278" s="55"/>
      <c r="K278" s="55"/>
      <c r="L278" s="55"/>
      <c r="M278" s="55"/>
      <c r="N278" s="55"/>
      <c r="O278" s="55"/>
      <c r="P278" s="55"/>
      <c r="Q278" s="55"/>
      <c r="R278" s="55"/>
      <c r="S278" s="55"/>
      <c r="T278" s="55"/>
      <c r="U278" s="55"/>
    </row>
    <row r="279" spans="4:21" ht="13.5" customHeight="1">
      <c r="D279" s="53"/>
      <c r="E279" s="54"/>
      <c r="F279" s="54"/>
      <c r="G279" s="55"/>
      <c r="H279" s="55"/>
      <c r="I279" s="55"/>
      <c r="J279" s="55"/>
      <c r="K279" s="55"/>
      <c r="L279" s="55"/>
      <c r="M279" s="55"/>
      <c r="N279" s="55"/>
      <c r="O279" s="55"/>
      <c r="P279" s="55"/>
      <c r="Q279" s="55"/>
      <c r="R279" s="55"/>
      <c r="S279" s="55"/>
      <c r="T279" s="55"/>
      <c r="U279" s="55"/>
    </row>
    <row r="280" spans="4:21" ht="13.5" customHeight="1">
      <c r="D280" s="53"/>
      <c r="E280" s="54"/>
      <c r="F280" s="54"/>
      <c r="G280" s="55"/>
      <c r="H280" s="55"/>
      <c r="I280" s="55"/>
      <c r="J280" s="55"/>
      <c r="K280" s="55"/>
      <c r="L280" s="55"/>
      <c r="M280" s="55"/>
      <c r="N280" s="55"/>
      <c r="O280" s="55"/>
      <c r="P280" s="55"/>
      <c r="Q280" s="55"/>
      <c r="R280" s="55"/>
      <c r="S280" s="55"/>
      <c r="T280" s="55"/>
      <c r="U280" s="55"/>
    </row>
    <row r="281" spans="4:21" ht="13.5" customHeight="1">
      <c r="D281" s="53"/>
      <c r="E281" s="54"/>
      <c r="F281" s="54"/>
      <c r="G281" s="55"/>
      <c r="H281" s="55"/>
      <c r="I281" s="55"/>
      <c r="J281" s="55"/>
      <c r="K281" s="55"/>
      <c r="L281" s="55"/>
      <c r="M281" s="55"/>
      <c r="N281" s="55"/>
      <c r="O281" s="55"/>
      <c r="P281" s="55"/>
      <c r="Q281" s="55"/>
      <c r="R281" s="55"/>
      <c r="S281" s="55"/>
      <c r="T281" s="55"/>
      <c r="U281" s="55"/>
    </row>
    <row r="282" spans="4:21" ht="13.5" customHeight="1">
      <c r="D282" s="53"/>
      <c r="E282" s="54"/>
      <c r="F282" s="54"/>
      <c r="G282" s="55"/>
      <c r="H282" s="55"/>
      <c r="I282" s="55"/>
      <c r="J282" s="55"/>
      <c r="K282" s="55"/>
      <c r="L282" s="55"/>
      <c r="M282" s="55"/>
      <c r="N282" s="55"/>
      <c r="O282" s="55"/>
      <c r="P282" s="55"/>
      <c r="Q282" s="55"/>
      <c r="R282" s="55"/>
      <c r="S282" s="55"/>
      <c r="T282" s="55"/>
      <c r="U282" s="55"/>
    </row>
    <row r="283" spans="4:21" ht="13.5" customHeight="1">
      <c r="D283" s="53"/>
      <c r="E283" s="54"/>
      <c r="F283" s="54"/>
      <c r="G283" s="55"/>
      <c r="H283" s="55"/>
      <c r="I283" s="55"/>
      <c r="J283" s="55"/>
      <c r="K283" s="55"/>
      <c r="L283" s="55"/>
      <c r="M283" s="55"/>
      <c r="N283" s="55"/>
      <c r="O283" s="55"/>
      <c r="P283" s="55"/>
      <c r="Q283" s="55"/>
      <c r="R283" s="55"/>
      <c r="S283" s="55"/>
      <c r="T283" s="55"/>
      <c r="U283" s="55"/>
    </row>
    <row r="284" spans="4:21" ht="13.5" customHeight="1">
      <c r="D284" s="53"/>
      <c r="E284" s="54"/>
      <c r="F284" s="54"/>
      <c r="G284" s="55"/>
      <c r="H284" s="55"/>
      <c r="I284" s="55"/>
      <c r="J284" s="55"/>
      <c r="K284" s="55"/>
      <c r="L284" s="55"/>
      <c r="M284" s="55"/>
      <c r="N284" s="55"/>
      <c r="O284" s="55"/>
      <c r="P284" s="55"/>
      <c r="Q284" s="55"/>
      <c r="R284" s="55"/>
      <c r="S284" s="55"/>
      <c r="T284" s="55"/>
      <c r="U284" s="55"/>
    </row>
    <row r="285" spans="4:21" ht="13.5" customHeight="1">
      <c r="D285" s="53"/>
      <c r="E285" s="54"/>
      <c r="F285" s="54"/>
      <c r="G285" s="55"/>
      <c r="H285" s="55"/>
      <c r="I285" s="55"/>
      <c r="J285" s="55"/>
      <c r="K285" s="55"/>
      <c r="L285" s="55"/>
      <c r="M285" s="55"/>
      <c r="N285" s="55"/>
      <c r="O285" s="55"/>
      <c r="P285" s="55"/>
      <c r="Q285" s="55"/>
      <c r="R285" s="55"/>
      <c r="S285" s="55"/>
      <c r="T285" s="55"/>
      <c r="U285" s="55"/>
    </row>
    <row r="286" spans="4:21" ht="13.5" customHeight="1">
      <c r="D286" s="53"/>
      <c r="E286" s="54"/>
      <c r="F286" s="54"/>
      <c r="G286" s="55"/>
      <c r="H286" s="55"/>
      <c r="I286" s="55"/>
      <c r="J286" s="55"/>
      <c r="K286" s="55"/>
      <c r="L286" s="55"/>
      <c r="M286" s="55"/>
      <c r="N286" s="55"/>
      <c r="O286" s="55"/>
      <c r="P286" s="55"/>
      <c r="Q286" s="55"/>
      <c r="R286" s="55"/>
      <c r="S286" s="55"/>
      <c r="T286" s="55"/>
      <c r="U286" s="55"/>
    </row>
    <row r="287" spans="4:21" ht="13.5" customHeight="1">
      <c r="D287" s="53"/>
      <c r="E287" s="54"/>
      <c r="F287" s="54"/>
      <c r="G287" s="55"/>
      <c r="H287" s="55"/>
      <c r="I287" s="55"/>
      <c r="J287" s="55"/>
      <c r="K287" s="55"/>
      <c r="L287" s="55"/>
      <c r="M287" s="55"/>
      <c r="N287" s="55"/>
      <c r="O287" s="55"/>
      <c r="P287" s="55"/>
      <c r="Q287" s="55"/>
      <c r="R287" s="55"/>
      <c r="S287" s="55"/>
      <c r="T287" s="55"/>
      <c r="U287" s="55"/>
    </row>
    <row r="288" spans="4:21" ht="13.5" customHeight="1">
      <c r="D288" s="53"/>
      <c r="E288" s="54"/>
      <c r="F288" s="54"/>
      <c r="G288" s="55"/>
      <c r="H288" s="55"/>
      <c r="I288" s="55"/>
      <c r="J288" s="55"/>
      <c r="K288" s="55"/>
      <c r="L288" s="55"/>
      <c r="M288" s="55"/>
      <c r="N288" s="55"/>
      <c r="O288" s="55"/>
      <c r="P288" s="55"/>
      <c r="Q288" s="55"/>
      <c r="R288" s="55"/>
      <c r="S288" s="55"/>
      <c r="T288" s="55"/>
      <c r="U288" s="55"/>
    </row>
    <row r="289" spans="4:21" ht="13.5" customHeight="1">
      <c r="D289" s="53"/>
      <c r="E289" s="54"/>
      <c r="F289" s="54"/>
      <c r="G289" s="55"/>
      <c r="H289" s="55"/>
      <c r="I289" s="55"/>
      <c r="J289" s="55"/>
      <c r="K289" s="55"/>
      <c r="L289" s="55"/>
      <c r="M289" s="55"/>
      <c r="N289" s="55"/>
      <c r="O289" s="55"/>
      <c r="P289" s="55"/>
      <c r="Q289" s="55"/>
      <c r="R289" s="55"/>
      <c r="S289" s="55"/>
      <c r="T289" s="55"/>
      <c r="U289" s="55"/>
    </row>
    <row r="290" spans="4:21" ht="13.5" customHeight="1">
      <c r="D290" s="53"/>
      <c r="E290" s="54"/>
      <c r="F290" s="54"/>
      <c r="G290" s="55"/>
      <c r="H290" s="55"/>
      <c r="I290" s="55"/>
      <c r="J290" s="55"/>
      <c r="K290" s="55"/>
      <c r="L290" s="55"/>
      <c r="M290" s="55"/>
      <c r="N290" s="55"/>
      <c r="O290" s="55"/>
      <c r="P290" s="55"/>
      <c r="Q290" s="55"/>
      <c r="R290" s="55"/>
      <c r="S290" s="55"/>
      <c r="T290" s="55"/>
      <c r="U290" s="55"/>
    </row>
    <row r="291" spans="4:21" ht="13.5" customHeight="1">
      <c r="D291" s="53"/>
      <c r="E291" s="54"/>
      <c r="F291" s="54"/>
      <c r="G291" s="55"/>
      <c r="H291" s="55"/>
      <c r="I291" s="55"/>
      <c r="J291" s="55"/>
      <c r="K291" s="55"/>
      <c r="L291" s="55"/>
      <c r="M291" s="55"/>
      <c r="N291" s="55"/>
      <c r="O291" s="55"/>
      <c r="P291" s="55"/>
      <c r="Q291" s="55"/>
      <c r="R291" s="55"/>
      <c r="S291" s="55"/>
      <c r="T291" s="55"/>
      <c r="U291" s="55"/>
    </row>
    <row r="292" spans="4:21" ht="13.5" customHeight="1">
      <c r="D292" s="53"/>
      <c r="E292" s="54"/>
      <c r="F292" s="54"/>
      <c r="G292" s="55"/>
      <c r="H292" s="55"/>
      <c r="I292" s="55"/>
      <c r="J292" s="55"/>
      <c r="K292" s="55"/>
      <c r="L292" s="55"/>
      <c r="M292" s="55"/>
      <c r="N292" s="55"/>
      <c r="O292" s="55"/>
      <c r="P292" s="55"/>
      <c r="Q292" s="55"/>
      <c r="R292" s="55"/>
      <c r="S292" s="55"/>
      <c r="T292" s="55"/>
      <c r="U292" s="55"/>
    </row>
    <row r="293" spans="4:21" ht="13.5" customHeight="1">
      <c r="D293" s="53"/>
      <c r="E293" s="54"/>
      <c r="F293" s="54"/>
      <c r="G293" s="55"/>
      <c r="H293" s="55"/>
      <c r="I293" s="55"/>
      <c r="J293" s="55"/>
      <c r="K293" s="55"/>
      <c r="L293" s="55"/>
      <c r="M293" s="55"/>
      <c r="N293" s="55"/>
      <c r="O293" s="55"/>
      <c r="P293" s="55"/>
      <c r="Q293" s="55"/>
      <c r="R293" s="55"/>
      <c r="S293" s="55"/>
      <c r="T293" s="55"/>
      <c r="U293" s="55"/>
    </row>
    <row r="294" spans="4:21" ht="13.5" customHeight="1">
      <c r="D294" s="53"/>
      <c r="E294" s="54"/>
      <c r="F294" s="54"/>
      <c r="G294" s="55"/>
      <c r="H294" s="55"/>
      <c r="I294" s="55"/>
      <c r="J294" s="55"/>
      <c r="K294" s="55"/>
      <c r="L294" s="55"/>
      <c r="M294" s="55"/>
      <c r="N294" s="55"/>
      <c r="O294" s="55"/>
      <c r="P294" s="55"/>
      <c r="Q294" s="55"/>
      <c r="R294" s="55"/>
      <c r="S294" s="55"/>
      <c r="T294" s="55"/>
      <c r="U294" s="55"/>
    </row>
    <row r="295" spans="4:21" ht="13.5" customHeight="1">
      <c r="D295" s="53"/>
      <c r="E295" s="54"/>
      <c r="F295" s="54"/>
      <c r="G295" s="55"/>
      <c r="H295" s="55"/>
      <c r="I295" s="55"/>
      <c r="J295" s="55"/>
      <c r="K295" s="55"/>
      <c r="L295" s="55"/>
      <c r="M295" s="55"/>
      <c r="N295" s="55"/>
      <c r="O295" s="55"/>
      <c r="P295" s="55"/>
      <c r="Q295" s="55"/>
      <c r="R295" s="55"/>
      <c r="S295" s="55"/>
      <c r="T295" s="55"/>
      <c r="U295" s="55"/>
    </row>
    <row r="296" spans="4:21" ht="13.5" customHeight="1">
      <c r="D296" s="53"/>
      <c r="E296" s="54"/>
      <c r="F296" s="54"/>
      <c r="G296" s="55"/>
      <c r="H296" s="55"/>
      <c r="I296" s="55"/>
      <c r="J296" s="55"/>
      <c r="K296" s="55"/>
      <c r="L296" s="55"/>
      <c r="M296" s="55"/>
      <c r="N296" s="55"/>
      <c r="O296" s="55"/>
      <c r="P296" s="55"/>
      <c r="Q296" s="55"/>
      <c r="R296" s="55"/>
      <c r="S296" s="55"/>
      <c r="T296" s="55"/>
      <c r="U296" s="55"/>
    </row>
    <row r="297" spans="4:21" ht="13.5" customHeight="1">
      <c r="D297" s="53"/>
      <c r="E297" s="54"/>
      <c r="F297" s="54"/>
      <c r="G297" s="55"/>
      <c r="H297" s="55"/>
      <c r="I297" s="55"/>
      <c r="J297" s="55"/>
      <c r="K297" s="55"/>
      <c r="L297" s="55"/>
      <c r="M297" s="55"/>
      <c r="N297" s="55"/>
      <c r="O297" s="55"/>
      <c r="P297" s="55"/>
      <c r="Q297" s="55"/>
      <c r="R297" s="55"/>
      <c r="S297" s="55"/>
      <c r="T297" s="55"/>
      <c r="U297" s="55"/>
    </row>
    <row r="298" spans="4:21" ht="13.5" customHeight="1">
      <c r="D298" s="53"/>
      <c r="E298" s="54"/>
      <c r="F298" s="54"/>
      <c r="G298" s="55"/>
      <c r="H298" s="55"/>
      <c r="I298" s="55"/>
      <c r="J298" s="55"/>
      <c r="K298" s="55"/>
      <c r="L298" s="55"/>
      <c r="M298" s="55"/>
      <c r="N298" s="55"/>
      <c r="O298" s="55"/>
      <c r="P298" s="55"/>
      <c r="Q298" s="55"/>
      <c r="R298" s="55"/>
      <c r="S298" s="55"/>
      <c r="T298" s="55"/>
      <c r="U298" s="55"/>
    </row>
    <row r="299" spans="4:21" ht="13.5" customHeight="1">
      <c r="D299" s="53"/>
      <c r="E299" s="54"/>
      <c r="F299" s="54"/>
      <c r="G299" s="55"/>
      <c r="H299" s="55"/>
      <c r="I299" s="55"/>
      <c r="J299" s="55"/>
      <c r="K299" s="55"/>
      <c r="L299" s="55"/>
      <c r="M299" s="55"/>
      <c r="N299" s="55"/>
      <c r="O299" s="55"/>
      <c r="P299" s="55"/>
      <c r="Q299" s="55"/>
      <c r="R299" s="55"/>
      <c r="S299" s="55"/>
      <c r="T299" s="55"/>
      <c r="U299" s="55"/>
    </row>
    <row r="300" spans="4:21" ht="13.5" customHeight="1">
      <c r="D300" s="53"/>
      <c r="E300" s="54"/>
      <c r="F300" s="54"/>
      <c r="G300" s="55"/>
      <c r="H300" s="55"/>
      <c r="I300" s="55"/>
      <c r="J300" s="55"/>
      <c r="K300" s="55"/>
      <c r="L300" s="55"/>
      <c r="M300" s="55"/>
      <c r="N300" s="55"/>
      <c r="O300" s="55"/>
      <c r="P300" s="55"/>
      <c r="Q300" s="55"/>
      <c r="R300" s="55"/>
      <c r="S300" s="55"/>
      <c r="T300" s="55"/>
      <c r="U300" s="55"/>
    </row>
    <row r="301" spans="4:21" ht="13.5" customHeight="1">
      <c r="D301" s="53"/>
      <c r="E301" s="54"/>
      <c r="F301" s="54"/>
      <c r="G301" s="55"/>
      <c r="H301" s="55"/>
      <c r="I301" s="55"/>
      <c r="J301" s="55"/>
      <c r="K301" s="55"/>
      <c r="L301" s="55"/>
      <c r="M301" s="55"/>
      <c r="N301" s="55"/>
      <c r="O301" s="55"/>
      <c r="P301" s="55"/>
      <c r="Q301" s="55"/>
      <c r="R301" s="55"/>
      <c r="S301" s="55"/>
      <c r="T301" s="55"/>
      <c r="U301" s="55"/>
    </row>
    <row r="302" spans="4:21" ht="13.5" customHeight="1">
      <c r="D302" s="53"/>
      <c r="E302" s="54"/>
      <c r="F302" s="54"/>
      <c r="G302" s="55"/>
      <c r="H302" s="55"/>
      <c r="I302" s="55"/>
      <c r="J302" s="55"/>
      <c r="K302" s="55"/>
      <c r="L302" s="55"/>
      <c r="M302" s="55"/>
      <c r="N302" s="55"/>
      <c r="O302" s="55"/>
      <c r="P302" s="55"/>
      <c r="Q302" s="55"/>
      <c r="R302" s="55"/>
      <c r="S302" s="55"/>
      <c r="T302" s="55"/>
      <c r="U302" s="55"/>
    </row>
    <row r="303" spans="4:21" ht="13.5" customHeight="1">
      <c r="D303" s="53"/>
      <c r="E303" s="54"/>
      <c r="F303" s="54"/>
      <c r="G303" s="55"/>
      <c r="H303" s="55"/>
      <c r="I303" s="55"/>
      <c r="J303" s="55"/>
      <c r="K303" s="55"/>
      <c r="L303" s="55"/>
      <c r="M303" s="55"/>
      <c r="N303" s="55"/>
      <c r="O303" s="55"/>
      <c r="P303" s="55"/>
      <c r="Q303" s="55"/>
      <c r="R303" s="55"/>
      <c r="S303" s="55"/>
      <c r="T303" s="55"/>
      <c r="U303" s="55"/>
    </row>
    <row r="304" spans="4:21" ht="13.5" customHeight="1">
      <c r="D304" s="53"/>
      <c r="E304" s="54"/>
      <c r="F304" s="54"/>
      <c r="G304" s="55"/>
      <c r="H304" s="55"/>
      <c r="I304" s="55"/>
      <c r="J304" s="55"/>
      <c r="K304" s="55"/>
      <c r="L304" s="55"/>
      <c r="M304" s="55"/>
      <c r="N304" s="55"/>
      <c r="O304" s="55"/>
      <c r="P304" s="55"/>
      <c r="Q304" s="55"/>
      <c r="R304" s="55"/>
      <c r="S304" s="55"/>
      <c r="T304" s="55"/>
      <c r="U304" s="55"/>
    </row>
    <row r="305" spans="4:21" ht="13.5" customHeight="1">
      <c r="D305" s="53"/>
      <c r="E305" s="54"/>
      <c r="F305" s="54"/>
      <c r="G305" s="55"/>
      <c r="H305" s="55"/>
      <c r="I305" s="55"/>
      <c r="J305" s="55"/>
      <c r="K305" s="55"/>
      <c r="L305" s="55"/>
      <c r="M305" s="55"/>
      <c r="N305" s="55"/>
      <c r="O305" s="55"/>
      <c r="P305" s="55"/>
      <c r="Q305" s="55"/>
      <c r="R305" s="55"/>
      <c r="S305" s="55"/>
      <c r="T305" s="55"/>
      <c r="U305" s="55"/>
    </row>
    <row r="306" spans="4:21" ht="13.5" customHeight="1">
      <c r="D306" s="53"/>
      <c r="E306" s="54"/>
      <c r="F306" s="54"/>
      <c r="G306" s="55"/>
      <c r="H306" s="55"/>
      <c r="I306" s="55"/>
      <c r="J306" s="55"/>
      <c r="K306" s="55"/>
      <c r="L306" s="55"/>
      <c r="M306" s="55"/>
      <c r="N306" s="55"/>
      <c r="O306" s="55"/>
      <c r="P306" s="55"/>
      <c r="Q306" s="55"/>
      <c r="R306" s="55"/>
      <c r="S306" s="55"/>
      <c r="T306" s="55"/>
      <c r="U306" s="55"/>
    </row>
    <row r="307" spans="4:21" ht="13.5" customHeight="1">
      <c r="D307" s="53"/>
      <c r="E307" s="54"/>
      <c r="F307" s="54"/>
      <c r="G307" s="55"/>
      <c r="H307" s="55"/>
      <c r="I307" s="55"/>
      <c r="J307" s="55"/>
      <c r="K307" s="55"/>
      <c r="L307" s="55"/>
      <c r="M307" s="55"/>
      <c r="N307" s="55"/>
      <c r="O307" s="55"/>
      <c r="P307" s="55"/>
      <c r="Q307" s="55"/>
      <c r="R307" s="55"/>
      <c r="S307" s="55"/>
      <c r="T307" s="55"/>
      <c r="U307" s="55"/>
    </row>
    <row r="308" spans="4:21" ht="13.5" customHeight="1">
      <c r="D308" s="53"/>
      <c r="E308" s="54"/>
      <c r="F308" s="54"/>
      <c r="G308" s="55"/>
      <c r="H308" s="55"/>
      <c r="I308" s="55"/>
      <c r="J308" s="55"/>
      <c r="K308" s="55"/>
      <c r="L308" s="55"/>
      <c r="M308" s="55"/>
      <c r="N308" s="55"/>
      <c r="O308" s="55"/>
      <c r="P308" s="55"/>
      <c r="Q308" s="55"/>
      <c r="R308" s="55"/>
      <c r="S308" s="55"/>
      <c r="T308" s="55"/>
      <c r="U308" s="55"/>
    </row>
    <row r="309" spans="4:21" ht="13.5" customHeight="1">
      <c r="D309" s="53"/>
      <c r="E309" s="54"/>
      <c r="F309" s="54"/>
      <c r="G309" s="55"/>
      <c r="H309" s="55"/>
      <c r="I309" s="55"/>
      <c r="J309" s="55"/>
      <c r="K309" s="55"/>
      <c r="L309" s="55"/>
      <c r="M309" s="55"/>
      <c r="N309" s="55"/>
      <c r="O309" s="55"/>
      <c r="P309" s="55"/>
      <c r="Q309" s="55"/>
      <c r="R309" s="55"/>
      <c r="S309" s="55"/>
      <c r="T309" s="55"/>
      <c r="U309" s="55"/>
    </row>
    <row r="310" spans="4:21" ht="13.5" customHeight="1">
      <c r="D310" s="53"/>
      <c r="E310" s="54"/>
      <c r="F310" s="54"/>
      <c r="G310" s="55"/>
      <c r="H310" s="55"/>
      <c r="I310" s="55"/>
      <c r="J310" s="55"/>
      <c r="K310" s="55"/>
      <c r="L310" s="55"/>
      <c r="M310" s="55"/>
      <c r="N310" s="55"/>
      <c r="O310" s="55"/>
      <c r="P310" s="55"/>
      <c r="Q310" s="55"/>
      <c r="R310" s="55"/>
      <c r="S310" s="55"/>
      <c r="T310" s="55"/>
      <c r="U310" s="55"/>
    </row>
    <row r="311" spans="4:21" ht="13.5" customHeight="1">
      <c r="D311" s="53"/>
      <c r="E311" s="54"/>
      <c r="F311" s="54"/>
      <c r="G311" s="55"/>
      <c r="H311" s="55"/>
      <c r="I311" s="55"/>
      <c r="J311" s="55"/>
      <c r="K311" s="55"/>
      <c r="L311" s="55"/>
      <c r="M311" s="55"/>
      <c r="N311" s="55"/>
      <c r="O311" s="55"/>
      <c r="P311" s="55"/>
      <c r="Q311" s="55"/>
      <c r="R311" s="55"/>
      <c r="S311" s="55"/>
      <c r="T311" s="55"/>
      <c r="U311" s="55"/>
    </row>
    <row r="312" spans="4:21" ht="13.5" customHeight="1">
      <c r="D312" s="53"/>
      <c r="E312" s="54"/>
      <c r="F312" s="54"/>
      <c r="G312" s="55"/>
      <c r="H312" s="55"/>
      <c r="I312" s="55"/>
      <c r="J312" s="55"/>
      <c r="K312" s="55"/>
      <c r="L312" s="55"/>
      <c r="M312" s="55"/>
      <c r="N312" s="55"/>
      <c r="O312" s="55"/>
      <c r="P312" s="55"/>
      <c r="Q312" s="55"/>
      <c r="R312" s="55"/>
      <c r="S312" s="55"/>
      <c r="T312" s="55"/>
      <c r="U312" s="55"/>
    </row>
    <row r="313" spans="4:21" ht="13.5" customHeight="1">
      <c r="D313" s="53"/>
      <c r="E313" s="54"/>
      <c r="F313" s="54"/>
      <c r="G313" s="55"/>
      <c r="H313" s="55"/>
      <c r="I313" s="55"/>
      <c r="J313" s="55"/>
      <c r="K313" s="55"/>
      <c r="L313" s="55"/>
      <c r="M313" s="55"/>
      <c r="N313" s="55"/>
      <c r="O313" s="55"/>
      <c r="P313" s="55"/>
      <c r="Q313" s="55"/>
      <c r="R313" s="55"/>
      <c r="S313" s="55"/>
      <c r="T313" s="55"/>
      <c r="U313" s="55"/>
    </row>
    <row r="314" spans="4:21" ht="13.5" customHeight="1">
      <c r="D314" s="53"/>
      <c r="E314" s="54"/>
      <c r="F314" s="54"/>
      <c r="G314" s="55"/>
      <c r="H314" s="55"/>
      <c r="I314" s="55"/>
      <c r="J314" s="55"/>
      <c r="K314" s="55"/>
      <c r="L314" s="55"/>
      <c r="M314" s="55"/>
      <c r="N314" s="55"/>
      <c r="O314" s="55"/>
      <c r="P314" s="55"/>
      <c r="Q314" s="55"/>
      <c r="R314" s="55"/>
      <c r="S314" s="55"/>
      <c r="T314" s="55"/>
      <c r="U314" s="55"/>
    </row>
    <row r="315" spans="4:21" ht="13.5" customHeight="1">
      <c r="D315" s="53"/>
      <c r="E315" s="54"/>
      <c r="F315" s="54"/>
      <c r="G315" s="55"/>
      <c r="H315" s="55"/>
      <c r="I315" s="55"/>
      <c r="J315" s="55"/>
      <c r="K315" s="55"/>
      <c r="L315" s="55"/>
      <c r="M315" s="55"/>
      <c r="N315" s="55"/>
      <c r="O315" s="55"/>
      <c r="P315" s="55"/>
      <c r="Q315" s="55"/>
      <c r="R315" s="55"/>
      <c r="S315" s="55"/>
      <c r="T315" s="55"/>
      <c r="U315" s="55"/>
    </row>
    <row r="316" spans="4:21" ht="13.5" customHeight="1">
      <c r="D316" s="53"/>
      <c r="E316" s="54"/>
      <c r="F316" s="54"/>
      <c r="G316" s="55"/>
      <c r="H316" s="55"/>
      <c r="I316" s="55"/>
      <c r="J316" s="55"/>
      <c r="K316" s="55"/>
      <c r="L316" s="55"/>
      <c r="M316" s="55"/>
      <c r="N316" s="55"/>
      <c r="O316" s="55"/>
      <c r="P316" s="55"/>
      <c r="Q316" s="55"/>
      <c r="R316" s="55"/>
      <c r="S316" s="55"/>
      <c r="T316" s="55"/>
      <c r="U316" s="55"/>
    </row>
    <row r="317" spans="4:21" ht="13.5" customHeight="1">
      <c r="D317" s="53"/>
      <c r="E317" s="54"/>
      <c r="F317" s="54"/>
      <c r="G317" s="55"/>
      <c r="H317" s="55"/>
      <c r="I317" s="55"/>
      <c r="J317" s="55"/>
      <c r="K317" s="55"/>
      <c r="L317" s="55"/>
      <c r="M317" s="55"/>
      <c r="N317" s="55"/>
      <c r="O317" s="55"/>
      <c r="P317" s="55"/>
      <c r="Q317" s="55"/>
      <c r="R317" s="55"/>
      <c r="S317" s="55"/>
      <c r="T317" s="55"/>
      <c r="U317" s="55"/>
    </row>
    <row r="318" spans="4:21" ht="13.5" customHeight="1">
      <c r="D318" s="53"/>
      <c r="E318" s="54"/>
      <c r="F318" s="54"/>
      <c r="G318" s="55"/>
      <c r="H318" s="55"/>
      <c r="I318" s="55"/>
      <c r="J318" s="55"/>
      <c r="K318" s="55"/>
      <c r="L318" s="55"/>
      <c r="M318" s="55"/>
      <c r="N318" s="55"/>
      <c r="O318" s="55"/>
      <c r="P318" s="55"/>
      <c r="Q318" s="55"/>
      <c r="R318" s="55"/>
      <c r="S318" s="55"/>
      <c r="T318" s="55"/>
      <c r="U318" s="55"/>
    </row>
    <row r="319" spans="4:21" ht="13.5" customHeight="1">
      <c r="D319" s="53"/>
      <c r="E319" s="54"/>
      <c r="F319" s="54"/>
      <c r="G319" s="55"/>
      <c r="H319" s="55"/>
      <c r="I319" s="55"/>
      <c r="J319" s="55"/>
      <c r="K319" s="55"/>
      <c r="L319" s="55"/>
      <c r="M319" s="55"/>
      <c r="N319" s="55"/>
      <c r="O319" s="55"/>
      <c r="P319" s="55"/>
      <c r="Q319" s="55"/>
      <c r="R319" s="55"/>
      <c r="S319" s="55"/>
      <c r="T319" s="55"/>
      <c r="U319" s="55"/>
    </row>
    <row r="320" spans="4:21" ht="13.5" customHeight="1">
      <c r="D320" s="53"/>
      <c r="E320" s="54"/>
      <c r="F320" s="54"/>
      <c r="G320" s="55"/>
      <c r="H320" s="55"/>
      <c r="I320" s="55"/>
      <c r="J320" s="55"/>
      <c r="K320" s="55"/>
      <c r="L320" s="55"/>
      <c r="M320" s="55"/>
      <c r="N320" s="55"/>
      <c r="O320" s="55"/>
      <c r="P320" s="55"/>
      <c r="Q320" s="55"/>
      <c r="R320" s="55"/>
      <c r="S320" s="55"/>
      <c r="T320" s="55"/>
      <c r="U320" s="55"/>
    </row>
    <row r="321" spans="4:21" ht="13.5" customHeight="1">
      <c r="D321" s="53"/>
      <c r="E321" s="54"/>
      <c r="F321" s="54"/>
      <c r="G321" s="55"/>
      <c r="H321" s="55"/>
      <c r="I321" s="55"/>
      <c r="J321" s="55"/>
      <c r="K321" s="55"/>
      <c r="L321" s="55"/>
      <c r="M321" s="55"/>
      <c r="N321" s="55"/>
      <c r="O321" s="55"/>
      <c r="P321" s="55"/>
      <c r="Q321" s="55"/>
      <c r="R321" s="55"/>
      <c r="S321" s="55"/>
      <c r="T321" s="55"/>
      <c r="U321" s="55"/>
    </row>
    <row r="322" spans="4:21" ht="13.5" customHeight="1">
      <c r="D322" s="53"/>
      <c r="E322" s="54"/>
      <c r="F322" s="54"/>
      <c r="G322" s="55"/>
      <c r="H322" s="55"/>
      <c r="I322" s="55"/>
      <c r="J322" s="55"/>
      <c r="K322" s="55"/>
      <c r="L322" s="55"/>
      <c r="M322" s="55"/>
      <c r="N322" s="55"/>
      <c r="O322" s="55"/>
      <c r="P322" s="55"/>
      <c r="Q322" s="55"/>
      <c r="R322" s="55"/>
      <c r="S322" s="55"/>
      <c r="T322" s="55"/>
      <c r="U322" s="55"/>
    </row>
    <row r="323" spans="4:21" ht="13.5" customHeight="1">
      <c r="D323" s="53"/>
      <c r="E323" s="54"/>
      <c r="F323" s="54"/>
      <c r="G323" s="55"/>
      <c r="H323" s="55"/>
      <c r="I323" s="55"/>
      <c r="J323" s="55"/>
      <c r="K323" s="55"/>
      <c r="L323" s="55"/>
      <c r="M323" s="55"/>
      <c r="N323" s="55"/>
      <c r="O323" s="55"/>
      <c r="P323" s="55"/>
      <c r="Q323" s="55"/>
      <c r="R323" s="55"/>
      <c r="S323" s="55"/>
      <c r="T323" s="55"/>
      <c r="U323" s="55"/>
    </row>
    <row r="324" spans="4:21" ht="13.5" customHeight="1">
      <c r="D324" s="53"/>
      <c r="E324" s="54"/>
      <c r="F324" s="54"/>
      <c r="G324" s="55"/>
      <c r="H324" s="55"/>
      <c r="I324" s="55"/>
      <c r="J324" s="55"/>
      <c r="K324" s="55"/>
      <c r="L324" s="55"/>
      <c r="M324" s="55"/>
      <c r="N324" s="55"/>
      <c r="O324" s="55"/>
      <c r="P324" s="55"/>
      <c r="Q324" s="55"/>
      <c r="R324" s="55"/>
      <c r="S324" s="55"/>
      <c r="T324" s="55"/>
      <c r="U324" s="55"/>
    </row>
    <row r="325" spans="4:21" ht="13.5" customHeight="1">
      <c r="D325" s="53"/>
      <c r="E325" s="54"/>
      <c r="F325" s="54"/>
      <c r="G325" s="55"/>
      <c r="H325" s="55"/>
      <c r="I325" s="55"/>
      <c r="J325" s="55"/>
      <c r="K325" s="55"/>
      <c r="L325" s="55"/>
      <c r="M325" s="55"/>
      <c r="N325" s="55"/>
      <c r="O325" s="55"/>
      <c r="P325" s="55"/>
      <c r="Q325" s="55"/>
      <c r="R325" s="55"/>
      <c r="S325" s="55"/>
      <c r="T325" s="55"/>
      <c r="U325" s="55"/>
    </row>
    <row r="326" spans="4:21" ht="13.5" customHeight="1">
      <c r="D326" s="53"/>
      <c r="E326" s="54"/>
      <c r="F326" s="54"/>
      <c r="G326" s="55"/>
      <c r="H326" s="55"/>
      <c r="I326" s="55"/>
      <c r="J326" s="55"/>
      <c r="K326" s="55"/>
      <c r="L326" s="55"/>
      <c r="M326" s="55"/>
      <c r="N326" s="55"/>
      <c r="O326" s="55"/>
      <c r="P326" s="55"/>
      <c r="Q326" s="55"/>
      <c r="R326" s="55"/>
      <c r="S326" s="55"/>
      <c r="T326" s="55"/>
      <c r="U326" s="55"/>
    </row>
    <row r="327" spans="4:21" ht="13.5" customHeight="1">
      <c r="D327" s="53"/>
      <c r="E327" s="54"/>
      <c r="F327" s="54"/>
      <c r="G327" s="55"/>
      <c r="H327" s="55"/>
      <c r="I327" s="55"/>
      <c r="J327" s="55"/>
      <c r="K327" s="55"/>
      <c r="L327" s="55"/>
      <c r="M327" s="55"/>
      <c r="N327" s="55"/>
      <c r="O327" s="55"/>
      <c r="P327" s="55"/>
      <c r="Q327" s="55"/>
      <c r="R327" s="55"/>
      <c r="S327" s="55"/>
      <c r="T327" s="55"/>
      <c r="U327" s="55"/>
    </row>
    <row r="328" spans="4:21" ht="13.5" customHeight="1">
      <c r="D328" s="53"/>
      <c r="E328" s="54"/>
      <c r="F328" s="54"/>
      <c r="G328" s="55"/>
      <c r="H328" s="55"/>
      <c r="I328" s="55"/>
      <c r="J328" s="55"/>
      <c r="K328" s="55"/>
      <c r="L328" s="55"/>
      <c r="M328" s="55"/>
      <c r="N328" s="55"/>
      <c r="O328" s="55"/>
      <c r="P328" s="55"/>
      <c r="Q328" s="55"/>
      <c r="R328" s="55"/>
      <c r="S328" s="55"/>
      <c r="T328" s="55"/>
      <c r="U328" s="55"/>
    </row>
    <row r="329" spans="4:21" ht="13.5" customHeight="1">
      <c r="D329" s="53"/>
      <c r="E329" s="54"/>
      <c r="F329" s="54"/>
      <c r="G329" s="55"/>
      <c r="H329" s="55"/>
      <c r="I329" s="55"/>
      <c r="J329" s="55"/>
      <c r="K329" s="55"/>
      <c r="L329" s="55"/>
      <c r="M329" s="55"/>
      <c r="N329" s="55"/>
      <c r="O329" s="55"/>
      <c r="P329" s="55"/>
      <c r="Q329" s="55"/>
      <c r="R329" s="55"/>
      <c r="S329" s="55"/>
      <c r="T329" s="55"/>
      <c r="U329" s="55"/>
    </row>
    <row r="330" spans="4:21" ht="13.5" customHeight="1">
      <c r="D330" s="53"/>
      <c r="E330" s="54"/>
      <c r="F330" s="54"/>
      <c r="G330" s="55"/>
      <c r="H330" s="55"/>
      <c r="I330" s="55"/>
      <c r="J330" s="55"/>
      <c r="K330" s="55"/>
      <c r="L330" s="55"/>
      <c r="M330" s="55"/>
      <c r="N330" s="55"/>
      <c r="O330" s="55"/>
      <c r="P330" s="55"/>
      <c r="Q330" s="55"/>
      <c r="R330" s="55"/>
      <c r="S330" s="55"/>
      <c r="T330" s="55"/>
      <c r="U330" s="55"/>
    </row>
    <row r="331" spans="4:21" ht="13.5" customHeight="1">
      <c r="D331" s="53"/>
      <c r="E331" s="54"/>
      <c r="F331" s="54"/>
      <c r="G331" s="55"/>
      <c r="H331" s="55"/>
      <c r="I331" s="55"/>
      <c r="J331" s="55"/>
      <c r="K331" s="55"/>
      <c r="L331" s="55"/>
      <c r="M331" s="55"/>
      <c r="N331" s="55"/>
      <c r="O331" s="55"/>
      <c r="P331" s="55"/>
      <c r="Q331" s="55"/>
      <c r="R331" s="55"/>
      <c r="S331" s="55"/>
      <c r="T331" s="55"/>
      <c r="U331" s="55"/>
    </row>
    <row r="332" spans="4:21" ht="13.5" customHeight="1">
      <c r="D332" s="53"/>
      <c r="E332" s="54"/>
      <c r="F332" s="54"/>
      <c r="G332" s="55"/>
      <c r="H332" s="55"/>
      <c r="I332" s="55"/>
      <c r="J332" s="55"/>
      <c r="K332" s="55"/>
      <c r="L332" s="55"/>
      <c r="M332" s="55"/>
      <c r="N332" s="55"/>
      <c r="O332" s="55"/>
      <c r="P332" s="55"/>
      <c r="Q332" s="55"/>
      <c r="R332" s="55"/>
      <c r="S332" s="55"/>
      <c r="T332" s="55"/>
      <c r="U332" s="55"/>
    </row>
    <row r="333" spans="4:21" ht="13.5" customHeight="1">
      <c r="D333" s="53"/>
      <c r="E333" s="54"/>
      <c r="F333" s="54"/>
      <c r="G333" s="55"/>
      <c r="H333" s="55"/>
      <c r="I333" s="55"/>
      <c r="J333" s="55"/>
      <c r="K333" s="55"/>
      <c r="L333" s="55"/>
      <c r="M333" s="55"/>
      <c r="N333" s="55"/>
      <c r="O333" s="55"/>
      <c r="P333" s="55"/>
      <c r="Q333" s="55"/>
      <c r="R333" s="55"/>
      <c r="S333" s="55"/>
      <c r="T333" s="55"/>
      <c r="U333" s="55"/>
    </row>
    <row r="334" spans="4:21" ht="13.5" customHeight="1">
      <c r="D334" s="53"/>
      <c r="E334" s="54"/>
      <c r="F334" s="54"/>
      <c r="G334" s="55"/>
      <c r="H334" s="55"/>
      <c r="I334" s="55"/>
      <c r="J334" s="55"/>
      <c r="K334" s="55"/>
      <c r="L334" s="55"/>
      <c r="M334" s="55"/>
      <c r="N334" s="55"/>
      <c r="O334" s="55"/>
      <c r="P334" s="55"/>
      <c r="Q334" s="55"/>
      <c r="R334" s="55"/>
      <c r="S334" s="55"/>
      <c r="T334" s="55"/>
      <c r="U334" s="55"/>
    </row>
    <row r="335" spans="4:21" ht="13.5" customHeight="1">
      <c r="D335" s="53"/>
      <c r="E335" s="54"/>
      <c r="F335" s="54"/>
      <c r="G335" s="55"/>
      <c r="H335" s="55"/>
      <c r="I335" s="55"/>
      <c r="J335" s="55"/>
      <c r="K335" s="55"/>
      <c r="L335" s="55"/>
      <c r="M335" s="55"/>
      <c r="N335" s="55"/>
      <c r="O335" s="55"/>
      <c r="P335" s="55"/>
      <c r="Q335" s="55"/>
      <c r="R335" s="55"/>
      <c r="S335" s="55"/>
      <c r="T335" s="55"/>
      <c r="U335" s="55"/>
    </row>
    <row r="336" spans="4:21" ht="13.5" customHeight="1">
      <c r="D336" s="53"/>
      <c r="E336" s="54"/>
      <c r="F336" s="54"/>
      <c r="G336" s="55"/>
      <c r="H336" s="55"/>
      <c r="I336" s="55"/>
      <c r="J336" s="55"/>
      <c r="K336" s="55"/>
      <c r="L336" s="55"/>
      <c r="M336" s="55"/>
      <c r="N336" s="55"/>
      <c r="O336" s="55"/>
      <c r="P336" s="55"/>
      <c r="Q336" s="55"/>
      <c r="R336" s="55"/>
      <c r="S336" s="55"/>
      <c r="T336" s="55"/>
      <c r="U336" s="55"/>
    </row>
    <row r="337" spans="4:21" ht="13.5" customHeight="1">
      <c r="D337" s="53"/>
      <c r="E337" s="54"/>
      <c r="F337" s="54"/>
      <c r="G337" s="55"/>
      <c r="H337" s="55"/>
      <c r="I337" s="55"/>
      <c r="J337" s="55"/>
      <c r="K337" s="55"/>
      <c r="L337" s="55"/>
      <c r="M337" s="55"/>
      <c r="N337" s="55"/>
      <c r="O337" s="55"/>
      <c r="P337" s="55"/>
      <c r="Q337" s="55"/>
      <c r="R337" s="55"/>
      <c r="S337" s="55"/>
      <c r="T337" s="55"/>
      <c r="U337" s="55"/>
    </row>
    <row r="338" spans="4:21" ht="13.5" customHeight="1">
      <c r="D338" s="53"/>
      <c r="E338" s="54"/>
      <c r="F338" s="54"/>
      <c r="G338" s="55"/>
      <c r="H338" s="55"/>
      <c r="I338" s="55"/>
      <c r="J338" s="55"/>
      <c r="K338" s="55"/>
      <c r="L338" s="55"/>
      <c r="M338" s="55"/>
      <c r="N338" s="55"/>
      <c r="O338" s="55"/>
      <c r="P338" s="55"/>
      <c r="Q338" s="55"/>
      <c r="R338" s="55"/>
      <c r="S338" s="55"/>
      <c r="T338" s="55"/>
      <c r="U338" s="55"/>
    </row>
    <row r="339" spans="4:21" ht="13.5" customHeight="1">
      <c r="D339" s="53"/>
      <c r="E339" s="54"/>
      <c r="F339" s="54"/>
      <c r="G339" s="55"/>
      <c r="H339" s="55"/>
      <c r="I339" s="55"/>
      <c r="J339" s="55"/>
      <c r="K339" s="55"/>
      <c r="L339" s="55"/>
      <c r="M339" s="55"/>
      <c r="N339" s="55"/>
      <c r="O339" s="55"/>
      <c r="P339" s="55"/>
      <c r="Q339" s="55"/>
      <c r="R339" s="55"/>
      <c r="S339" s="55"/>
      <c r="T339" s="55"/>
      <c r="U339" s="55"/>
    </row>
    <row r="340" spans="4:21" ht="13.5" customHeight="1">
      <c r="D340" s="53"/>
      <c r="E340" s="54"/>
      <c r="F340" s="54"/>
      <c r="G340" s="55"/>
      <c r="H340" s="55"/>
      <c r="I340" s="55"/>
      <c r="J340" s="55"/>
      <c r="K340" s="55"/>
      <c r="L340" s="55"/>
      <c r="M340" s="55"/>
      <c r="N340" s="55"/>
      <c r="O340" s="55"/>
      <c r="P340" s="55"/>
      <c r="Q340" s="55"/>
      <c r="R340" s="55"/>
      <c r="S340" s="55"/>
      <c r="T340" s="55"/>
      <c r="U340" s="55"/>
    </row>
    <row r="341" spans="4:21" ht="13.5" customHeight="1">
      <c r="D341" s="53"/>
      <c r="E341" s="54"/>
      <c r="F341" s="54"/>
      <c r="G341" s="55"/>
      <c r="H341" s="55"/>
      <c r="I341" s="55"/>
      <c r="J341" s="55"/>
      <c r="K341" s="55"/>
      <c r="L341" s="55"/>
      <c r="M341" s="55"/>
      <c r="N341" s="55"/>
      <c r="O341" s="55"/>
      <c r="P341" s="55"/>
      <c r="Q341" s="55"/>
      <c r="R341" s="55"/>
      <c r="S341" s="55"/>
      <c r="T341" s="55"/>
      <c r="U341" s="55"/>
    </row>
    <row r="342" spans="4:21" ht="13.5" customHeight="1">
      <c r="D342" s="53"/>
      <c r="E342" s="54"/>
      <c r="F342" s="54"/>
      <c r="G342" s="55"/>
      <c r="H342" s="55"/>
      <c r="I342" s="55"/>
      <c r="J342" s="55"/>
      <c r="K342" s="55"/>
      <c r="L342" s="55"/>
      <c r="M342" s="55"/>
      <c r="N342" s="55"/>
      <c r="O342" s="55"/>
      <c r="P342" s="55"/>
      <c r="Q342" s="55"/>
      <c r="R342" s="55"/>
      <c r="S342" s="55"/>
      <c r="T342" s="55"/>
      <c r="U342" s="55"/>
    </row>
    <row r="343" spans="4:21" ht="13.5" customHeight="1">
      <c r="D343" s="53"/>
      <c r="E343" s="54"/>
      <c r="F343" s="54"/>
      <c r="G343" s="55"/>
      <c r="H343" s="55"/>
      <c r="I343" s="55"/>
      <c r="J343" s="55"/>
      <c r="K343" s="55"/>
      <c r="L343" s="55"/>
      <c r="M343" s="55"/>
      <c r="N343" s="55"/>
      <c r="O343" s="55"/>
      <c r="P343" s="55"/>
      <c r="Q343" s="55"/>
      <c r="R343" s="55"/>
      <c r="S343" s="55"/>
      <c r="T343" s="55"/>
      <c r="U343" s="55"/>
    </row>
    <row r="344" spans="4:21" ht="13.5" customHeight="1">
      <c r="D344" s="53"/>
      <c r="E344" s="54"/>
      <c r="F344" s="54"/>
      <c r="G344" s="55"/>
      <c r="H344" s="55"/>
      <c r="I344" s="55"/>
      <c r="J344" s="55"/>
      <c r="K344" s="55"/>
      <c r="L344" s="55"/>
      <c r="M344" s="55"/>
      <c r="N344" s="55"/>
      <c r="O344" s="55"/>
      <c r="P344" s="55"/>
      <c r="Q344" s="55"/>
      <c r="R344" s="55"/>
      <c r="S344" s="55"/>
      <c r="T344" s="55"/>
      <c r="U344" s="55"/>
    </row>
    <row r="345" spans="4:21" ht="13.5" customHeight="1">
      <c r="D345" s="53"/>
      <c r="E345" s="54"/>
      <c r="F345" s="54"/>
      <c r="G345" s="55"/>
      <c r="H345" s="55"/>
      <c r="I345" s="55"/>
      <c r="J345" s="55"/>
      <c r="K345" s="55"/>
      <c r="L345" s="55"/>
      <c r="M345" s="55"/>
      <c r="N345" s="55"/>
      <c r="O345" s="55"/>
      <c r="P345" s="55"/>
      <c r="Q345" s="55"/>
      <c r="R345" s="55"/>
      <c r="S345" s="55"/>
      <c r="T345" s="55"/>
      <c r="U345" s="55"/>
    </row>
    <row r="346" spans="4:21" ht="13.5" customHeight="1">
      <c r="D346" s="53"/>
      <c r="E346" s="54"/>
      <c r="F346" s="54"/>
      <c r="G346" s="55"/>
      <c r="H346" s="55"/>
      <c r="I346" s="55"/>
      <c r="J346" s="55"/>
      <c r="K346" s="55"/>
      <c r="L346" s="55"/>
      <c r="M346" s="55"/>
      <c r="N346" s="55"/>
      <c r="O346" s="55"/>
      <c r="P346" s="55"/>
      <c r="Q346" s="55"/>
      <c r="R346" s="55"/>
      <c r="S346" s="55"/>
      <c r="T346" s="55"/>
      <c r="U346" s="55"/>
    </row>
    <row r="347" spans="4:21" ht="13.5" customHeight="1">
      <c r="D347" s="53"/>
      <c r="E347" s="54"/>
      <c r="F347" s="54"/>
      <c r="G347" s="55"/>
      <c r="H347" s="55"/>
      <c r="I347" s="55"/>
      <c r="J347" s="55"/>
      <c r="K347" s="55"/>
      <c r="L347" s="55"/>
      <c r="M347" s="55"/>
      <c r="N347" s="55"/>
      <c r="O347" s="55"/>
      <c r="P347" s="55"/>
      <c r="Q347" s="55"/>
      <c r="R347" s="55"/>
      <c r="S347" s="55"/>
      <c r="T347" s="55"/>
      <c r="U347" s="55"/>
    </row>
    <row r="348" spans="4:21" ht="13.5" customHeight="1">
      <c r="D348" s="53"/>
      <c r="E348" s="54"/>
      <c r="F348" s="54"/>
      <c r="G348" s="55"/>
      <c r="H348" s="55"/>
      <c r="I348" s="55"/>
      <c r="J348" s="55"/>
      <c r="K348" s="55"/>
      <c r="L348" s="55"/>
      <c r="M348" s="55"/>
      <c r="N348" s="55"/>
      <c r="O348" s="55"/>
      <c r="P348" s="55"/>
      <c r="Q348" s="55"/>
      <c r="R348" s="55"/>
      <c r="S348" s="55"/>
      <c r="T348" s="55"/>
      <c r="U348" s="55"/>
    </row>
    <row r="349" spans="4:21" ht="13.5" customHeight="1">
      <c r="D349" s="53"/>
      <c r="E349" s="54"/>
      <c r="F349" s="54"/>
      <c r="G349" s="55"/>
      <c r="H349" s="55"/>
      <c r="I349" s="55"/>
      <c r="J349" s="55"/>
      <c r="K349" s="55"/>
      <c r="L349" s="55"/>
      <c r="M349" s="55"/>
      <c r="N349" s="55"/>
      <c r="O349" s="55"/>
      <c r="P349" s="55"/>
      <c r="Q349" s="55"/>
      <c r="R349" s="55"/>
      <c r="S349" s="55"/>
      <c r="T349" s="55"/>
      <c r="U349" s="55"/>
    </row>
    <row r="350" spans="4:21" ht="13.5" customHeight="1">
      <c r="D350" s="53"/>
      <c r="E350" s="54"/>
      <c r="F350" s="54"/>
      <c r="G350" s="55"/>
      <c r="H350" s="55"/>
      <c r="I350" s="55"/>
      <c r="J350" s="55"/>
      <c r="K350" s="55"/>
      <c r="L350" s="55"/>
      <c r="M350" s="55"/>
      <c r="N350" s="55"/>
      <c r="O350" s="55"/>
      <c r="P350" s="55"/>
      <c r="Q350" s="55"/>
      <c r="R350" s="55"/>
      <c r="S350" s="55"/>
      <c r="T350" s="55"/>
      <c r="U350" s="55"/>
    </row>
    <row r="351" spans="4:21" ht="13.5" customHeight="1">
      <c r="D351" s="53"/>
      <c r="E351" s="54"/>
      <c r="F351" s="54"/>
      <c r="G351" s="55"/>
      <c r="H351" s="55"/>
      <c r="I351" s="55"/>
      <c r="J351" s="55"/>
      <c r="K351" s="55"/>
      <c r="L351" s="55"/>
      <c r="M351" s="55"/>
      <c r="N351" s="55"/>
      <c r="O351" s="55"/>
      <c r="P351" s="55"/>
      <c r="Q351" s="55"/>
      <c r="R351" s="55"/>
      <c r="S351" s="55"/>
      <c r="T351" s="55"/>
      <c r="U351" s="55"/>
    </row>
    <row r="352" spans="4:21" ht="13.5" customHeight="1">
      <c r="D352" s="53"/>
      <c r="E352" s="54"/>
      <c r="F352" s="54"/>
      <c r="G352" s="55"/>
      <c r="H352" s="55"/>
      <c r="I352" s="55"/>
      <c r="J352" s="55"/>
      <c r="K352" s="55"/>
      <c r="L352" s="55"/>
      <c r="M352" s="55"/>
      <c r="N352" s="55"/>
      <c r="O352" s="55"/>
      <c r="P352" s="55"/>
      <c r="Q352" s="55"/>
      <c r="R352" s="55"/>
      <c r="S352" s="55"/>
      <c r="T352" s="55"/>
      <c r="U352" s="55"/>
    </row>
    <row r="353" spans="4:21" ht="13.5" customHeight="1">
      <c r="D353" s="53"/>
      <c r="E353" s="54"/>
      <c r="F353" s="54"/>
      <c r="G353" s="55"/>
      <c r="H353" s="55"/>
      <c r="I353" s="55"/>
      <c r="J353" s="55"/>
      <c r="K353" s="55"/>
      <c r="L353" s="55"/>
      <c r="M353" s="55"/>
      <c r="N353" s="55"/>
      <c r="O353" s="55"/>
      <c r="P353" s="55"/>
      <c r="Q353" s="55"/>
      <c r="R353" s="55"/>
      <c r="S353" s="55"/>
      <c r="T353" s="55"/>
      <c r="U353" s="55"/>
    </row>
    <row r="354" spans="4:21" ht="13.5" customHeight="1">
      <c r="D354" s="53"/>
      <c r="E354" s="54"/>
      <c r="F354" s="54"/>
      <c r="G354" s="55"/>
      <c r="H354" s="55"/>
      <c r="I354" s="55"/>
      <c r="J354" s="55"/>
      <c r="K354" s="55"/>
      <c r="L354" s="55"/>
      <c r="M354" s="55"/>
      <c r="N354" s="55"/>
      <c r="O354" s="55"/>
      <c r="P354" s="55"/>
      <c r="Q354" s="55"/>
      <c r="R354" s="55"/>
      <c r="S354" s="55"/>
      <c r="T354" s="55"/>
      <c r="U354" s="55"/>
    </row>
    <row r="355" spans="4:21" ht="13.5" customHeight="1">
      <c r="D355" s="53"/>
      <c r="E355" s="54"/>
      <c r="F355" s="54"/>
      <c r="G355" s="55"/>
      <c r="H355" s="55"/>
      <c r="I355" s="55"/>
      <c r="J355" s="55"/>
      <c r="K355" s="55"/>
      <c r="L355" s="55"/>
      <c r="M355" s="55"/>
      <c r="N355" s="55"/>
      <c r="O355" s="55"/>
      <c r="P355" s="55"/>
      <c r="Q355" s="55"/>
      <c r="R355" s="55"/>
      <c r="S355" s="55"/>
      <c r="T355" s="55"/>
      <c r="U355" s="55"/>
    </row>
    <row r="356" spans="4:21" ht="13.5" customHeight="1">
      <c r="D356" s="53"/>
      <c r="E356" s="54"/>
      <c r="F356" s="54"/>
      <c r="G356" s="55"/>
      <c r="H356" s="55"/>
      <c r="I356" s="55"/>
      <c r="J356" s="55"/>
      <c r="K356" s="55"/>
      <c r="L356" s="55"/>
      <c r="M356" s="55"/>
      <c r="N356" s="55"/>
      <c r="O356" s="55"/>
      <c r="P356" s="55"/>
      <c r="Q356" s="55"/>
      <c r="R356" s="55"/>
      <c r="S356" s="55"/>
      <c r="T356" s="55"/>
      <c r="U356" s="55"/>
    </row>
    <row r="357" spans="4:21" ht="13.5" customHeight="1">
      <c r="D357" s="53"/>
      <c r="E357" s="54"/>
      <c r="F357" s="54"/>
      <c r="G357" s="55"/>
      <c r="H357" s="55"/>
      <c r="I357" s="55"/>
      <c r="J357" s="55"/>
      <c r="K357" s="55"/>
      <c r="L357" s="55"/>
      <c r="M357" s="55"/>
      <c r="N357" s="55"/>
      <c r="O357" s="55"/>
      <c r="P357" s="55"/>
      <c r="Q357" s="55"/>
      <c r="R357" s="55"/>
      <c r="S357" s="55"/>
      <c r="T357" s="55"/>
      <c r="U357" s="55"/>
    </row>
    <row r="358" spans="4:21" ht="13.5" customHeight="1">
      <c r="D358" s="53"/>
      <c r="E358" s="54"/>
      <c r="F358" s="54"/>
      <c r="G358" s="55"/>
      <c r="H358" s="55"/>
      <c r="I358" s="55"/>
      <c r="J358" s="55"/>
      <c r="K358" s="55"/>
      <c r="L358" s="55"/>
      <c r="M358" s="55"/>
      <c r="N358" s="55"/>
      <c r="O358" s="55"/>
      <c r="P358" s="55"/>
      <c r="Q358" s="55"/>
      <c r="R358" s="55"/>
      <c r="S358" s="55"/>
      <c r="T358" s="55"/>
      <c r="U358" s="55"/>
    </row>
    <row r="359" spans="4:21" ht="13.5" customHeight="1">
      <c r="D359" s="53"/>
      <c r="E359" s="54"/>
      <c r="F359" s="54"/>
      <c r="G359" s="55"/>
      <c r="H359" s="55"/>
      <c r="I359" s="55"/>
      <c r="J359" s="55"/>
      <c r="K359" s="55"/>
      <c r="L359" s="55"/>
      <c r="M359" s="55"/>
      <c r="N359" s="55"/>
      <c r="O359" s="55"/>
      <c r="P359" s="55"/>
      <c r="Q359" s="55"/>
      <c r="R359" s="55"/>
      <c r="S359" s="55"/>
      <c r="T359" s="55"/>
      <c r="U359" s="55"/>
    </row>
    <row r="360" spans="4:21" ht="13.5" customHeight="1">
      <c r="D360" s="53"/>
      <c r="E360" s="54"/>
      <c r="F360" s="54"/>
      <c r="G360" s="55"/>
      <c r="H360" s="55"/>
      <c r="I360" s="55"/>
      <c r="J360" s="55"/>
      <c r="K360" s="55"/>
      <c r="L360" s="55"/>
      <c r="M360" s="55"/>
      <c r="N360" s="55"/>
      <c r="O360" s="55"/>
      <c r="P360" s="55"/>
      <c r="Q360" s="55"/>
      <c r="R360" s="55"/>
      <c r="S360" s="55"/>
      <c r="T360" s="55"/>
      <c r="U360" s="55"/>
    </row>
    <row r="361" spans="4:21" ht="13.5" customHeight="1">
      <c r="D361" s="53"/>
      <c r="E361" s="54"/>
      <c r="F361" s="54"/>
      <c r="G361" s="55"/>
      <c r="H361" s="55"/>
      <c r="I361" s="55"/>
      <c r="J361" s="55"/>
      <c r="K361" s="55"/>
      <c r="L361" s="55"/>
      <c r="M361" s="55"/>
      <c r="N361" s="55"/>
      <c r="O361" s="55"/>
      <c r="P361" s="55"/>
      <c r="Q361" s="55"/>
      <c r="R361" s="55"/>
      <c r="S361" s="55"/>
      <c r="T361" s="55"/>
      <c r="U361" s="55"/>
    </row>
    <row r="362" spans="4:21" ht="13.5" customHeight="1">
      <c r="D362" s="53"/>
      <c r="E362" s="54"/>
      <c r="F362" s="54"/>
      <c r="G362" s="55"/>
      <c r="H362" s="55"/>
      <c r="I362" s="55"/>
      <c r="J362" s="55"/>
      <c r="K362" s="55"/>
      <c r="L362" s="55"/>
      <c r="M362" s="55"/>
      <c r="N362" s="55"/>
      <c r="O362" s="55"/>
      <c r="P362" s="55"/>
      <c r="Q362" s="55"/>
      <c r="R362" s="55"/>
      <c r="S362" s="55"/>
      <c r="T362" s="55"/>
      <c r="U362" s="55"/>
    </row>
    <row r="363" spans="4:21" ht="13.5" customHeight="1">
      <c r="D363" s="53"/>
      <c r="E363" s="54"/>
      <c r="F363" s="54"/>
      <c r="G363" s="55"/>
      <c r="H363" s="55"/>
      <c r="I363" s="55"/>
      <c r="J363" s="55"/>
      <c r="K363" s="55"/>
      <c r="L363" s="55"/>
      <c r="M363" s="55"/>
      <c r="N363" s="55"/>
      <c r="O363" s="55"/>
      <c r="P363" s="55"/>
      <c r="Q363" s="55"/>
      <c r="R363" s="55"/>
      <c r="S363" s="55"/>
      <c r="T363" s="55"/>
      <c r="U363" s="55"/>
    </row>
    <row r="364" spans="4:21" ht="13.5" customHeight="1">
      <c r="D364" s="53"/>
      <c r="E364" s="54"/>
      <c r="F364" s="54"/>
      <c r="G364" s="55"/>
      <c r="H364" s="55"/>
      <c r="I364" s="55"/>
      <c r="J364" s="55"/>
      <c r="K364" s="55"/>
      <c r="L364" s="55"/>
      <c r="M364" s="55"/>
      <c r="N364" s="55"/>
      <c r="O364" s="55"/>
      <c r="P364" s="55"/>
      <c r="Q364" s="55"/>
      <c r="R364" s="55"/>
      <c r="S364" s="55"/>
      <c r="T364" s="55"/>
      <c r="U364" s="55"/>
    </row>
    <row r="365" spans="4:21" ht="13.5" customHeight="1">
      <c r="D365" s="53"/>
      <c r="E365" s="54"/>
      <c r="F365" s="54"/>
      <c r="G365" s="55"/>
      <c r="H365" s="55"/>
      <c r="I365" s="55"/>
      <c r="J365" s="55"/>
      <c r="K365" s="55"/>
      <c r="L365" s="55"/>
      <c r="M365" s="55"/>
      <c r="N365" s="55"/>
      <c r="O365" s="55"/>
      <c r="P365" s="55"/>
      <c r="Q365" s="55"/>
      <c r="R365" s="55"/>
      <c r="S365" s="55"/>
      <c r="T365" s="55"/>
      <c r="U365" s="55"/>
    </row>
    <row r="366" spans="4:21" ht="13.5" customHeight="1">
      <c r="D366" s="53"/>
      <c r="E366" s="54"/>
      <c r="F366" s="54"/>
      <c r="G366" s="55"/>
      <c r="H366" s="55"/>
      <c r="I366" s="55"/>
      <c r="J366" s="55"/>
      <c r="K366" s="55"/>
      <c r="L366" s="55"/>
      <c r="M366" s="55"/>
      <c r="N366" s="55"/>
      <c r="O366" s="55"/>
      <c r="P366" s="55"/>
      <c r="Q366" s="55"/>
      <c r="R366" s="55"/>
      <c r="S366" s="55"/>
      <c r="T366" s="55"/>
      <c r="U366" s="55"/>
    </row>
    <row r="367" spans="4:21" ht="13.5" customHeight="1">
      <c r="D367" s="53"/>
      <c r="E367" s="54"/>
      <c r="F367" s="54"/>
      <c r="G367" s="55"/>
      <c r="H367" s="55"/>
      <c r="I367" s="55"/>
      <c r="J367" s="55"/>
      <c r="K367" s="55"/>
      <c r="L367" s="55"/>
      <c r="M367" s="55"/>
      <c r="N367" s="55"/>
      <c r="O367" s="55"/>
      <c r="P367" s="55"/>
      <c r="Q367" s="55"/>
      <c r="R367" s="55"/>
      <c r="S367" s="55"/>
      <c r="T367" s="55"/>
      <c r="U367" s="55"/>
    </row>
    <row r="368" spans="4:21" ht="13.5" customHeight="1">
      <c r="D368" s="53"/>
      <c r="E368" s="54"/>
      <c r="F368" s="54"/>
      <c r="G368" s="55"/>
      <c r="H368" s="55"/>
      <c r="I368" s="55"/>
      <c r="J368" s="55"/>
      <c r="K368" s="55"/>
      <c r="L368" s="55"/>
      <c r="M368" s="55"/>
      <c r="N368" s="55"/>
      <c r="O368" s="55"/>
      <c r="P368" s="55"/>
      <c r="Q368" s="55"/>
      <c r="R368" s="55"/>
      <c r="S368" s="55"/>
      <c r="T368" s="55"/>
      <c r="U368" s="55"/>
    </row>
    <row r="369" spans="4:21" ht="13.5" customHeight="1">
      <c r="D369" s="53"/>
      <c r="E369" s="54"/>
      <c r="F369" s="54"/>
      <c r="G369" s="55"/>
      <c r="H369" s="55"/>
      <c r="I369" s="55"/>
      <c r="J369" s="55"/>
      <c r="K369" s="55"/>
      <c r="L369" s="55"/>
      <c r="M369" s="55"/>
      <c r="N369" s="55"/>
      <c r="O369" s="55"/>
      <c r="P369" s="55"/>
      <c r="Q369" s="55"/>
      <c r="R369" s="55"/>
      <c r="S369" s="55"/>
      <c r="T369" s="55"/>
      <c r="U369" s="55"/>
    </row>
    <row r="370" spans="4:21" ht="13.5" customHeight="1">
      <c r="D370" s="53"/>
      <c r="E370" s="54"/>
      <c r="F370" s="54"/>
      <c r="G370" s="55"/>
      <c r="H370" s="55"/>
      <c r="I370" s="55"/>
      <c r="J370" s="55"/>
      <c r="K370" s="55"/>
      <c r="L370" s="55"/>
      <c r="M370" s="55"/>
      <c r="N370" s="55"/>
      <c r="O370" s="55"/>
      <c r="P370" s="55"/>
      <c r="Q370" s="55"/>
      <c r="R370" s="55"/>
      <c r="S370" s="55"/>
      <c r="T370" s="55"/>
      <c r="U370" s="55"/>
    </row>
    <row r="371" spans="4:21" ht="13.5" customHeight="1">
      <c r="D371" s="53"/>
      <c r="E371" s="54"/>
      <c r="F371" s="54"/>
      <c r="G371" s="55"/>
      <c r="H371" s="55"/>
      <c r="I371" s="55"/>
      <c r="J371" s="55"/>
      <c r="K371" s="55"/>
      <c r="L371" s="55"/>
      <c r="M371" s="55"/>
      <c r="N371" s="55"/>
      <c r="O371" s="55"/>
      <c r="P371" s="55"/>
      <c r="Q371" s="55"/>
      <c r="R371" s="55"/>
      <c r="S371" s="55"/>
      <c r="T371" s="55"/>
      <c r="U371" s="55"/>
    </row>
    <row r="372" spans="4:21" ht="13.5" customHeight="1">
      <c r="D372" s="53"/>
      <c r="E372" s="54"/>
      <c r="F372" s="54"/>
      <c r="G372" s="55"/>
      <c r="H372" s="55"/>
      <c r="I372" s="55"/>
      <c r="J372" s="55"/>
      <c r="K372" s="55"/>
      <c r="L372" s="55"/>
      <c r="M372" s="55"/>
      <c r="N372" s="55"/>
      <c r="O372" s="55"/>
      <c r="P372" s="55"/>
      <c r="Q372" s="55"/>
      <c r="R372" s="55"/>
      <c r="S372" s="55"/>
      <c r="T372" s="55"/>
      <c r="U372" s="55"/>
    </row>
    <row r="373" spans="4:21" ht="13.5" customHeight="1">
      <c r="D373" s="53"/>
      <c r="E373" s="54"/>
      <c r="F373" s="54"/>
      <c r="G373" s="55"/>
      <c r="H373" s="55"/>
      <c r="I373" s="55"/>
      <c r="J373" s="55"/>
      <c r="K373" s="55"/>
      <c r="L373" s="55"/>
      <c r="M373" s="55"/>
      <c r="N373" s="55"/>
      <c r="O373" s="55"/>
      <c r="P373" s="55"/>
      <c r="Q373" s="55"/>
      <c r="R373" s="55"/>
      <c r="S373" s="55"/>
      <c r="T373" s="55"/>
      <c r="U373" s="55"/>
    </row>
    <row r="374" spans="4:21" ht="13.5" customHeight="1">
      <c r="D374" s="53"/>
      <c r="E374" s="54"/>
      <c r="F374" s="54"/>
      <c r="G374" s="55"/>
      <c r="H374" s="55"/>
      <c r="I374" s="55"/>
      <c r="J374" s="55"/>
      <c r="K374" s="55"/>
      <c r="L374" s="55"/>
      <c r="M374" s="55"/>
      <c r="N374" s="55"/>
      <c r="O374" s="55"/>
      <c r="P374" s="55"/>
      <c r="Q374" s="55"/>
      <c r="R374" s="55"/>
      <c r="S374" s="55"/>
      <c r="T374" s="55"/>
      <c r="U374" s="55"/>
    </row>
    <row r="375" spans="4:21" ht="13.5" customHeight="1">
      <c r="D375" s="53"/>
      <c r="E375" s="54"/>
      <c r="F375" s="54"/>
      <c r="G375" s="55"/>
      <c r="H375" s="55"/>
      <c r="I375" s="55"/>
      <c r="J375" s="55"/>
      <c r="K375" s="55"/>
      <c r="L375" s="55"/>
      <c r="M375" s="55"/>
      <c r="N375" s="55"/>
      <c r="O375" s="55"/>
      <c r="P375" s="55"/>
      <c r="Q375" s="55"/>
      <c r="R375" s="55"/>
      <c r="S375" s="55"/>
      <c r="T375" s="55"/>
      <c r="U375" s="55"/>
    </row>
    <row r="376" spans="4:21" ht="13.5" customHeight="1">
      <c r="D376" s="53"/>
      <c r="E376" s="54"/>
      <c r="F376" s="54"/>
      <c r="G376" s="55"/>
      <c r="H376" s="55"/>
      <c r="I376" s="55"/>
      <c r="J376" s="55"/>
      <c r="K376" s="55"/>
      <c r="L376" s="55"/>
      <c r="M376" s="55"/>
      <c r="N376" s="55"/>
      <c r="O376" s="55"/>
      <c r="P376" s="55"/>
      <c r="Q376" s="55"/>
      <c r="R376" s="55"/>
      <c r="S376" s="55"/>
      <c r="T376" s="55"/>
      <c r="U376" s="55"/>
    </row>
    <row r="377" spans="4:21" ht="13.5" customHeight="1">
      <c r="D377" s="53"/>
      <c r="E377" s="54"/>
      <c r="F377" s="54"/>
      <c r="G377" s="55"/>
      <c r="H377" s="55"/>
      <c r="I377" s="55"/>
      <c r="J377" s="55"/>
      <c r="K377" s="55"/>
      <c r="L377" s="55"/>
      <c r="M377" s="55"/>
      <c r="N377" s="55"/>
      <c r="O377" s="55"/>
      <c r="P377" s="55"/>
      <c r="Q377" s="55"/>
      <c r="R377" s="55"/>
      <c r="S377" s="55"/>
      <c r="T377" s="55"/>
      <c r="U377" s="55"/>
    </row>
    <row r="378" spans="4:21" ht="13.5" customHeight="1">
      <c r="D378" s="53"/>
      <c r="E378" s="54"/>
      <c r="F378" s="54"/>
      <c r="G378" s="55"/>
      <c r="H378" s="55"/>
      <c r="I378" s="55"/>
      <c r="J378" s="55"/>
      <c r="K378" s="55"/>
      <c r="L378" s="55"/>
      <c r="M378" s="55"/>
      <c r="N378" s="55"/>
      <c r="O378" s="55"/>
      <c r="P378" s="55"/>
      <c r="Q378" s="55"/>
      <c r="R378" s="55"/>
      <c r="S378" s="55"/>
      <c r="T378" s="55"/>
      <c r="U378" s="55"/>
    </row>
    <row r="379" spans="4:21" ht="13.5" customHeight="1">
      <c r="D379" s="53"/>
      <c r="E379" s="54"/>
      <c r="F379" s="54"/>
      <c r="G379" s="55"/>
      <c r="H379" s="55"/>
      <c r="I379" s="55"/>
      <c r="J379" s="55"/>
      <c r="K379" s="55"/>
      <c r="L379" s="55"/>
      <c r="M379" s="55"/>
      <c r="N379" s="55"/>
      <c r="O379" s="55"/>
      <c r="P379" s="55"/>
      <c r="Q379" s="55"/>
      <c r="R379" s="55"/>
      <c r="S379" s="55"/>
      <c r="T379" s="55"/>
      <c r="U379" s="55"/>
    </row>
    <row r="380" spans="4:21" ht="13.5" customHeight="1">
      <c r="D380" s="53"/>
      <c r="E380" s="54"/>
      <c r="F380" s="54"/>
      <c r="G380" s="55"/>
      <c r="H380" s="55"/>
      <c r="I380" s="55"/>
      <c r="J380" s="55"/>
      <c r="K380" s="55"/>
      <c r="L380" s="55"/>
      <c r="M380" s="55"/>
      <c r="N380" s="55"/>
      <c r="O380" s="55"/>
      <c r="P380" s="55"/>
      <c r="Q380" s="55"/>
      <c r="R380" s="55"/>
      <c r="S380" s="55"/>
      <c r="T380" s="55"/>
      <c r="U380" s="55"/>
    </row>
    <row r="381" spans="4:21" ht="13.5" customHeight="1">
      <c r="D381" s="53"/>
      <c r="E381" s="54"/>
      <c r="F381" s="54"/>
      <c r="G381" s="55"/>
      <c r="H381" s="55"/>
      <c r="I381" s="55"/>
      <c r="J381" s="55"/>
      <c r="K381" s="55"/>
      <c r="L381" s="55"/>
      <c r="M381" s="55"/>
      <c r="N381" s="55"/>
      <c r="O381" s="55"/>
      <c r="P381" s="55"/>
      <c r="Q381" s="55"/>
      <c r="R381" s="55"/>
      <c r="S381" s="55"/>
      <c r="T381" s="55"/>
      <c r="U381" s="55"/>
    </row>
    <row r="382" spans="4:21" ht="13.5" customHeight="1">
      <c r="D382" s="53"/>
      <c r="E382" s="54"/>
      <c r="F382" s="54"/>
      <c r="G382" s="55"/>
      <c r="H382" s="55"/>
      <c r="I382" s="55"/>
      <c r="J382" s="55"/>
      <c r="K382" s="55"/>
      <c r="L382" s="55"/>
      <c r="M382" s="55"/>
      <c r="N382" s="55"/>
      <c r="O382" s="55"/>
      <c r="P382" s="55"/>
      <c r="Q382" s="55"/>
      <c r="R382" s="55"/>
      <c r="S382" s="55"/>
      <c r="T382" s="55"/>
      <c r="U382" s="55"/>
    </row>
    <row r="383" spans="4:21" ht="13.5" customHeight="1">
      <c r="D383" s="53"/>
      <c r="E383" s="54"/>
      <c r="F383" s="54"/>
      <c r="G383" s="55"/>
      <c r="H383" s="55"/>
      <c r="I383" s="55"/>
      <c r="J383" s="55"/>
      <c r="K383" s="55"/>
      <c r="L383" s="55"/>
      <c r="M383" s="55"/>
      <c r="N383" s="55"/>
      <c r="O383" s="55"/>
      <c r="P383" s="55"/>
      <c r="Q383" s="55"/>
      <c r="R383" s="55"/>
      <c r="S383" s="55"/>
      <c r="T383" s="55"/>
      <c r="U383" s="55"/>
    </row>
    <row r="384" spans="4:21" ht="13.5" customHeight="1">
      <c r="D384" s="53"/>
      <c r="E384" s="54"/>
      <c r="F384" s="54"/>
      <c r="G384" s="55"/>
      <c r="H384" s="55"/>
      <c r="I384" s="55"/>
      <c r="J384" s="55"/>
      <c r="K384" s="55"/>
      <c r="L384" s="55"/>
      <c r="M384" s="55"/>
      <c r="N384" s="55"/>
      <c r="O384" s="55"/>
      <c r="P384" s="55"/>
      <c r="Q384" s="55"/>
      <c r="R384" s="55"/>
      <c r="S384" s="55"/>
      <c r="T384" s="55"/>
      <c r="U384" s="55"/>
    </row>
    <row r="385" spans="4:21" ht="13.5" customHeight="1">
      <c r="D385" s="53"/>
      <c r="E385" s="54"/>
      <c r="F385" s="54"/>
      <c r="G385" s="55"/>
      <c r="H385" s="55"/>
      <c r="I385" s="55"/>
      <c r="J385" s="55"/>
      <c r="K385" s="55"/>
      <c r="L385" s="55"/>
      <c r="M385" s="55"/>
      <c r="N385" s="55"/>
      <c r="O385" s="55"/>
      <c r="P385" s="55"/>
      <c r="Q385" s="55"/>
      <c r="R385" s="55"/>
      <c r="S385" s="55"/>
      <c r="T385" s="55"/>
      <c r="U385" s="55"/>
    </row>
    <row r="386" spans="4:21" ht="13.5" customHeight="1">
      <c r="D386" s="53"/>
      <c r="E386" s="54"/>
      <c r="F386" s="54"/>
      <c r="G386" s="55"/>
      <c r="H386" s="55"/>
      <c r="I386" s="55"/>
      <c r="J386" s="55"/>
      <c r="K386" s="55"/>
      <c r="L386" s="55"/>
      <c r="M386" s="55"/>
      <c r="N386" s="55"/>
      <c r="O386" s="55"/>
      <c r="P386" s="55"/>
      <c r="Q386" s="55"/>
      <c r="R386" s="55"/>
      <c r="S386" s="55"/>
      <c r="T386" s="55"/>
      <c r="U386" s="55"/>
    </row>
    <row r="387" spans="4:21" ht="13.5" customHeight="1">
      <c r="D387" s="53"/>
      <c r="E387" s="54"/>
      <c r="F387" s="54"/>
      <c r="G387" s="55"/>
      <c r="H387" s="55"/>
      <c r="I387" s="55"/>
      <c r="J387" s="55"/>
      <c r="K387" s="55"/>
      <c r="L387" s="55"/>
      <c r="M387" s="55"/>
      <c r="N387" s="55"/>
      <c r="O387" s="55"/>
      <c r="P387" s="55"/>
      <c r="Q387" s="55"/>
      <c r="R387" s="55"/>
      <c r="S387" s="55"/>
      <c r="T387" s="55"/>
      <c r="U387" s="55"/>
    </row>
    <row r="388" spans="4:21" ht="13.5" customHeight="1">
      <c r="D388" s="53"/>
      <c r="E388" s="54"/>
      <c r="F388" s="54"/>
      <c r="G388" s="55"/>
      <c r="H388" s="55"/>
      <c r="I388" s="55"/>
      <c r="J388" s="55"/>
      <c r="K388" s="55"/>
      <c r="L388" s="55"/>
      <c r="M388" s="55"/>
      <c r="N388" s="55"/>
      <c r="O388" s="55"/>
      <c r="P388" s="55"/>
      <c r="Q388" s="55"/>
      <c r="R388" s="55"/>
      <c r="S388" s="55"/>
      <c r="T388" s="55"/>
      <c r="U388" s="55"/>
    </row>
    <row r="389" spans="4:21" ht="13.5" customHeight="1">
      <c r="D389" s="53"/>
      <c r="E389" s="54"/>
      <c r="F389" s="54"/>
      <c r="G389" s="55"/>
      <c r="H389" s="55"/>
      <c r="I389" s="55"/>
      <c r="J389" s="55"/>
      <c r="K389" s="55"/>
      <c r="L389" s="55"/>
      <c r="M389" s="55"/>
      <c r="N389" s="55"/>
      <c r="O389" s="55"/>
      <c r="P389" s="55"/>
      <c r="Q389" s="55"/>
      <c r="R389" s="55"/>
      <c r="S389" s="55"/>
      <c r="T389" s="55"/>
      <c r="U389" s="55"/>
    </row>
    <row r="390" spans="4:21" ht="13.5" customHeight="1">
      <c r="D390" s="53"/>
      <c r="E390" s="54"/>
      <c r="F390" s="54"/>
      <c r="G390" s="55"/>
      <c r="H390" s="55"/>
      <c r="I390" s="55"/>
      <c r="J390" s="55"/>
      <c r="K390" s="55"/>
      <c r="L390" s="55"/>
      <c r="M390" s="55"/>
      <c r="N390" s="55"/>
      <c r="O390" s="55"/>
      <c r="P390" s="55"/>
      <c r="Q390" s="55"/>
      <c r="R390" s="55"/>
      <c r="S390" s="55"/>
      <c r="T390" s="55"/>
      <c r="U390" s="55"/>
    </row>
    <row r="391" spans="4:21" ht="13.5" customHeight="1">
      <c r="D391" s="53"/>
      <c r="E391" s="54"/>
      <c r="F391" s="54"/>
      <c r="G391" s="55"/>
      <c r="H391" s="55"/>
      <c r="I391" s="55"/>
      <c r="J391" s="55"/>
      <c r="K391" s="55"/>
      <c r="L391" s="55"/>
      <c r="M391" s="55"/>
      <c r="N391" s="55"/>
      <c r="O391" s="55"/>
      <c r="P391" s="55"/>
      <c r="Q391" s="55"/>
      <c r="R391" s="55"/>
      <c r="S391" s="55"/>
      <c r="T391" s="55"/>
      <c r="U391" s="55"/>
    </row>
    <row r="392" spans="4:21" ht="13.5" customHeight="1">
      <c r="D392" s="53"/>
      <c r="E392" s="54"/>
      <c r="F392" s="54"/>
      <c r="G392" s="55"/>
      <c r="H392" s="55"/>
      <c r="I392" s="55"/>
      <c r="J392" s="55"/>
      <c r="K392" s="55"/>
      <c r="L392" s="55"/>
      <c r="M392" s="55"/>
      <c r="N392" s="55"/>
      <c r="O392" s="55"/>
      <c r="P392" s="55"/>
      <c r="Q392" s="55"/>
      <c r="R392" s="55"/>
      <c r="S392" s="55"/>
      <c r="T392" s="55"/>
      <c r="U392" s="55"/>
    </row>
    <row r="393" spans="4:21" ht="13.5" customHeight="1">
      <c r="D393" s="53"/>
      <c r="E393" s="54"/>
      <c r="F393" s="54"/>
      <c r="G393" s="55"/>
      <c r="H393" s="55"/>
      <c r="I393" s="55"/>
      <c r="J393" s="55"/>
      <c r="K393" s="55"/>
      <c r="L393" s="55"/>
      <c r="M393" s="55"/>
      <c r="N393" s="55"/>
      <c r="O393" s="55"/>
      <c r="P393" s="55"/>
      <c r="Q393" s="55"/>
      <c r="R393" s="55"/>
      <c r="S393" s="55"/>
      <c r="T393" s="55"/>
      <c r="U393" s="55"/>
    </row>
    <row r="394" spans="4:21" ht="13.5" customHeight="1">
      <c r="D394" s="53"/>
      <c r="E394" s="54"/>
      <c r="F394" s="54"/>
      <c r="G394" s="55"/>
      <c r="H394" s="55"/>
      <c r="I394" s="55"/>
      <c r="J394" s="55"/>
      <c r="K394" s="55"/>
      <c r="L394" s="55"/>
      <c r="M394" s="55"/>
      <c r="N394" s="55"/>
      <c r="O394" s="55"/>
      <c r="P394" s="55"/>
      <c r="Q394" s="55"/>
      <c r="R394" s="55"/>
      <c r="S394" s="55"/>
      <c r="T394" s="55"/>
      <c r="U394" s="55"/>
    </row>
    <row r="395" spans="4:21" ht="13.5" customHeight="1">
      <c r="D395" s="53"/>
      <c r="E395" s="54"/>
      <c r="F395" s="54"/>
      <c r="G395" s="55"/>
      <c r="H395" s="55"/>
      <c r="I395" s="55"/>
      <c r="J395" s="55"/>
      <c r="K395" s="55"/>
      <c r="L395" s="55"/>
      <c r="M395" s="55"/>
      <c r="N395" s="55"/>
      <c r="O395" s="55"/>
      <c r="P395" s="55"/>
      <c r="Q395" s="55"/>
      <c r="R395" s="55"/>
      <c r="S395" s="55"/>
      <c r="T395" s="55"/>
      <c r="U395" s="55"/>
    </row>
    <row r="396" spans="4:21" ht="13.5" customHeight="1">
      <c r="D396" s="53"/>
      <c r="E396" s="54"/>
      <c r="F396" s="54"/>
      <c r="G396" s="55"/>
      <c r="H396" s="55"/>
      <c r="I396" s="55"/>
      <c r="J396" s="55"/>
      <c r="K396" s="55"/>
      <c r="L396" s="55"/>
      <c r="M396" s="55"/>
      <c r="N396" s="55"/>
      <c r="O396" s="55"/>
      <c r="P396" s="55"/>
      <c r="Q396" s="55"/>
      <c r="R396" s="55"/>
      <c r="S396" s="55"/>
      <c r="T396" s="55"/>
      <c r="U396" s="55"/>
    </row>
    <row r="397" spans="4:21" ht="13.5" customHeight="1">
      <c r="D397" s="53"/>
      <c r="E397" s="54"/>
      <c r="F397" s="54"/>
      <c r="G397" s="55"/>
      <c r="H397" s="55"/>
      <c r="I397" s="55"/>
      <c r="J397" s="55"/>
      <c r="K397" s="55"/>
      <c r="L397" s="55"/>
      <c r="M397" s="55"/>
      <c r="N397" s="55"/>
      <c r="O397" s="55"/>
      <c r="P397" s="55"/>
      <c r="Q397" s="55"/>
      <c r="R397" s="55"/>
      <c r="S397" s="55"/>
      <c r="T397" s="55"/>
      <c r="U397" s="55"/>
    </row>
    <row r="398" spans="4:21" ht="13.5" customHeight="1">
      <c r="D398" s="53"/>
      <c r="E398" s="54"/>
      <c r="F398" s="54"/>
      <c r="G398" s="55"/>
      <c r="H398" s="55"/>
      <c r="I398" s="55"/>
      <c r="J398" s="55"/>
      <c r="K398" s="55"/>
      <c r="L398" s="55"/>
      <c r="M398" s="55"/>
      <c r="N398" s="55"/>
      <c r="O398" s="55"/>
      <c r="P398" s="55"/>
      <c r="Q398" s="55"/>
      <c r="R398" s="55"/>
      <c r="S398" s="55"/>
      <c r="T398" s="55"/>
      <c r="U398" s="55"/>
    </row>
    <row r="399" spans="4:21" ht="13.5" customHeight="1">
      <c r="D399" s="53"/>
      <c r="E399" s="54"/>
      <c r="F399" s="54"/>
      <c r="G399" s="55"/>
      <c r="H399" s="55"/>
      <c r="I399" s="55"/>
      <c r="J399" s="55"/>
      <c r="K399" s="55"/>
      <c r="L399" s="55"/>
      <c r="M399" s="55"/>
      <c r="N399" s="55"/>
      <c r="O399" s="55"/>
      <c r="P399" s="55"/>
      <c r="Q399" s="55"/>
      <c r="R399" s="55"/>
      <c r="S399" s="55"/>
      <c r="T399" s="55"/>
      <c r="U399" s="55"/>
    </row>
    <row r="400" spans="4:21" ht="13.5" customHeight="1">
      <c r="D400" s="53"/>
      <c r="E400" s="54"/>
      <c r="F400" s="54"/>
      <c r="G400" s="55"/>
      <c r="H400" s="55"/>
      <c r="I400" s="55"/>
      <c r="J400" s="55"/>
      <c r="K400" s="55"/>
      <c r="L400" s="55"/>
      <c r="M400" s="55"/>
      <c r="N400" s="55"/>
      <c r="O400" s="55"/>
      <c r="P400" s="55"/>
      <c r="Q400" s="55"/>
      <c r="R400" s="55"/>
      <c r="S400" s="55"/>
      <c r="T400" s="55"/>
      <c r="U400" s="55"/>
    </row>
    <row r="401" spans="4:21" ht="13.5" customHeight="1">
      <c r="D401" s="53"/>
      <c r="E401" s="54"/>
      <c r="F401" s="54"/>
      <c r="G401" s="55"/>
      <c r="H401" s="55"/>
      <c r="I401" s="55"/>
      <c r="J401" s="55"/>
      <c r="K401" s="55"/>
      <c r="L401" s="55"/>
      <c r="M401" s="55"/>
      <c r="N401" s="55"/>
      <c r="O401" s="55"/>
      <c r="P401" s="55"/>
      <c r="Q401" s="55"/>
      <c r="R401" s="55"/>
      <c r="S401" s="55"/>
      <c r="T401" s="55"/>
      <c r="U401" s="55"/>
    </row>
    <row r="402" spans="4:21" ht="13.5" customHeight="1">
      <c r="D402" s="53"/>
      <c r="E402" s="54"/>
      <c r="F402" s="54"/>
      <c r="G402" s="55"/>
      <c r="H402" s="55"/>
      <c r="I402" s="55"/>
      <c r="J402" s="55"/>
      <c r="K402" s="55"/>
      <c r="L402" s="55"/>
      <c r="M402" s="55"/>
      <c r="N402" s="55"/>
      <c r="O402" s="55"/>
      <c r="P402" s="55"/>
      <c r="Q402" s="55"/>
      <c r="R402" s="55"/>
      <c r="S402" s="55"/>
      <c r="T402" s="55"/>
      <c r="U402" s="55"/>
    </row>
    <row r="403" spans="4:21" ht="13.5" customHeight="1">
      <c r="D403" s="53"/>
      <c r="E403" s="54"/>
      <c r="F403" s="54"/>
      <c r="G403" s="55"/>
      <c r="H403" s="55"/>
      <c r="I403" s="55"/>
      <c r="J403" s="55"/>
      <c r="K403" s="55"/>
      <c r="L403" s="55"/>
      <c r="M403" s="55"/>
      <c r="N403" s="55"/>
      <c r="O403" s="55"/>
      <c r="P403" s="55"/>
      <c r="Q403" s="55"/>
      <c r="R403" s="55"/>
      <c r="S403" s="55"/>
      <c r="T403" s="55"/>
      <c r="U403" s="55"/>
    </row>
    <row r="404" spans="4:21" ht="13.5" customHeight="1">
      <c r="D404" s="53"/>
      <c r="E404" s="54"/>
      <c r="F404" s="54"/>
      <c r="G404" s="55"/>
      <c r="H404" s="55"/>
      <c r="I404" s="55"/>
      <c r="J404" s="55"/>
      <c r="K404" s="55"/>
      <c r="L404" s="55"/>
      <c r="M404" s="55"/>
      <c r="N404" s="55"/>
      <c r="O404" s="55"/>
      <c r="P404" s="55"/>
      <c r="Q404" s="55"/>
      <c r="R404" s="55"/>
      <c r="S404" s="55"/>
      <c r="T404" s="55"/>
      <c r="U404" s="55"/>
    </row>
    <row r="405" spans="4:21" ht="13.5" customHeight="1">
      <c r="D405" s="53"/>
      <c r="E405" s="54"/>
      <c r="F405" s="54"/>
      <c r="G405" s="55"/>
      <c r="H405" s="55"/>
      <c r="I405" s="55"/>
      <c r="J405" s="55"/>
      <c r="K405" s="55"/>
      <c r="L405" s="55"/>
      <c r="M405" s="55"/>
      <c r="N405" s="55"/>
      <c r="O405" s="55"/>
      <c r="P405" s="55"/>
      <c r="Q405" s="55"/>
      <c r="R405" s="55"/>
      <c r="S405" s="55"/>
      <c r="T405" s="55"/>
      <c r="U405" s="55"/>
    </row>
    <row r="406" spans="4:21" ht="13.5" customHeight="1">
      <c r="D406" s="53"/>
      <c r="E406" s="54"/>
      <c r="F406" s="54"/>
      <c r="G406" s="55"/>
      <c r="H406" s="55"/>
      <c r="I406" s="55"/>
      <c r="J406" s="55"/>
      <c r="K406" s="55"/>
      <c r="L406" s="55"/>
      <c r="M406" s="55"/>
      <c r="N406" s="55"/>
      <c r="O406" s="55"/>
      <c r="P406" s="55"/>
      <c r="Q406" s="55"/>
      <c r="R406" s="55"/>
      <c r="S406" s="55"/>
      <c r="T406" s="55"/>
      <c r="U406" s="55"/>
    </row>
    <row r="407" spans="4:21" ht="13.5" customHeight="1">
      <c r="D407" s="53"/>
      <c r="E407" s="54"/>
      <c r="F407" s="54"/>
      <c r="G407" s="55"/>
      <c r="H407" s="55"/>
      <c r="I407" s="55"/>
      <c r="J407" s="55"/>
      <c r="K407" s="55"/>
      <c r="L407" s="55"/>
      <c r="M407" s="55"/>
      <c r="N407" s="55"/>
      <c r="O407" s="55"/>
      <c r="P407" s="55"/>
      <c r="Q407" s="55"/>
      <c r="R407" s="55"/>
      <c r="S407" s="55"/>
      <c r="T407" s="55"/>
      <c r="U407" s="55"/>
    </row>
    <row r="408" spans="4:21" ht="13.5" customHeight="1">
      <c r="D408" s="53"/>
      <c r="E408" s="54"/>
      <c r="F408" s="54"/>
      <c r="G408" s="55"/>
      <c r="H408" s="55"/>
      <c r="I408" s="55"/>
      <c r="J408" s="55"/>
      <c r="K408" s="55"/>
      <c r="L408" s="55"/>
      <c r="M408" s="55"/>
      <c r="N408" s="55"/>
      <c r="O408" s="55"/>
      <c r="P408" s="55"/>
      <c r="Q408" s="55"/>
      <c r="R408" s="55"/>
      <c r="S408" s="55"/>
      <c r="T408" s="55"/>
      <c r="U408" s="55"/>
    </row>
    <row r="409" spans="4:21" ht="13.5" customHeight="1">
      <c r="D409" s="53"/>
      <c r="E409" s="54"/>
      <c r="F409" s="54"/>
      <c r="G409" s="55"/>
      <c r="H409" s="55"/>
      <c r="I409" s="55"/>
      <c r="J409" s="55"/>
      <c r="K409" s="55"/>
      <c r="L409" s="55"/>
      <c r="M409" s="55"/>
      <c r="N409" s="55"/>
      <c r="O409" s="55"/>
      <c r="P409" s="55"/>
      <c r="Q409" s="55"/>
      <c r="R409" s="55"/>
      <c r="S409" s="55"/>
      <c r="T409" s="55"/>
      <c r="U409" s="55"/>
    </row>
    <row r="410" spans="4:21" ht="13.5" customHeight="1">
      <c r="D410" s="53"/>
      <c r="E410" s="54"/>
      <c r="F410" s="54"/>
      <c r="G410" s="55"/>
      <c r="H410" s="55"/>
      <c r="I410" s="55"/>
      <c r="J410" s="55"/>
      <c r="K410" s="55"/>
      <c r="L410" s="55"/>
      <c r="M410" s="55"/>
      <c r="N410" s="55"/>
      <c r="O410" s="55"/>
      <c r="P410" s="55"/>
      <c r="Q410" s="55"/>
      <c r="R410" s="55"/>
      <c r="S410" s="55"/>
      <c r="T410" s="55"/>
      <c r="U410" s="55"/>
    </row>
    <row r="411" spans="4:21" ht="13.5" customHeight="1">
      <c r="D411" s="53"/>
      <c r="E411" s="54"/>
      <c r="F411" s="54"/>
      <c r="G411" s="55"/>
      <c r="H411" s="55"/>
      <c r="I411" s="55"/>
      <c r="J411" s="55"/>
      <c r="K411" s="55"/>
      <c r="L411" s="55"/>
      <c r="M411" s="55"/>
      <c r="N411" s="55"/>
      <c r="O411" s="55"/>
      <c r="P411" s="55"/>
      <c r="Q411" s="55"/>
      <c r="R411" s="55"/>
      <c r="S411" s="55"/>
      <c r="T411" s="55"/>
      <c r="U411" s="55"/>
    </row>
    <row r="412" spans="4:21" ht="13.5" customHeight="1">
      <c r="D412" s="53"/>
      <c r="E412" s="54"/>
      <c r="F412" s="54"/>
      <c r="G412" s="55"/>
      <c r="H412" s="55"/>
      <c r="I412" s="55"/>
      <c r="J412" s="55"/>
      <c r="K412" s="55"/>
      <c r="L412" s="55"/>
      <c r="M412" s="55"/>
      <c r="N412" s="55"/>
      <c r="O412" s="55"/>
      <c r="P412" s="55"/>
      <c r="Q412" s="55"/>
      <c r="R412" s="55"/>
      <c r="S412" s="55"/>
      <c r="T412" s="55"/>
      <c r="U412" s="55"/>
    </row>
    <row r="413" spans="4:21" ht="13.5" customHeight="1">
      <c r="D413" s="53"/>
      <c r="E413" s="54"/>
      <c r="F413" s="54"/>
      <c r="G413" s="55"/>
      <c r="H413" s="55"/>
      <c r="I413" s="55"/>
      <c r="J413" s="55"/>
      <c r="K413" s="55"/>
      <c r="L413" s="55"/>
      <c r="M413" s="55"/>
      <c r="N413" s="55"/>
      <c r="O413" s="55"/>
      <c r="P413" s="55"/>
      <c r="Q413" s="55"/>
      <c r="R413" s="55"/>
      <c r="S413" s="55"/>
      <c r="T413" s="55"/>
      <c r="U413" s="55"/>
    </row>
    <row r="414" spans="4:21" ht="13.5" customHeight="1">
      <c r="D414" s="53"/>
      <c r="E414" s="54"/>
      <c r="F414" s="54"/>
      <c r="G414" s="55"/>
      <c r="H414" s="55"/>
      <c r="I414" s="55"/>
      <c r="J414" s="55"/>
      <c r="K414" s="55"/>
      <c r="L414" s="55"/>
      <c r="M414" s="55"/>
      <c r="N414" s="55"/>
      <c r="O414" s="55"/>
      <c r="P414" s="55"/>
      <c r="Q414" s="55"/>
      <c r="R414" s="55"/>
      <c r="S414" s="55"/>
      <c r="T414" s="55"/>
      <c r="U414" s="55"/>
    </row>
    <row r="415" spans="4:21" ht="13.5" customHeight="1">
      <c r="D415" s="53"/>
      <c r="E415" s="54"/>
      <c r="F415" s="54"/>
      <c r="G415" s="55"/>
      <c r="H415" s="55"/>
      <c r="I415" s="55"/>
      <c r="J415" s="55"/>
      <c r="K415" s="55"/>
      <c r="L415" s="55"/>
      <c r="M415" s="55"/>
      <c r="N415" s="55"/>
      <c r="O415" s="55"/>
      <c r="P415" s="55"/>
      <c r="Q415" s="55"/>
      <c r="R415" s="55"/>
      <c r="S415" s="55"/>
      <c r="T415" s="55"/>
      <c r="U415" s="55"/>
    </row>
    <row r="416" spans="4:21" ht="13.5" customHeight="1">
      <c r="D416" s="53"/>
      <c r="E416" s="54"/>
      <c r="F416" s="54"/>
      <c r="G416" s="55"/>
      <c r="H416" s="55"/>
      <c r="I416" s="55"/>
      <c r="J416" s="55"/>
      <c r="K416" s="55"/>
      <c r="L416" s="55"/>
      <c r="M416" s="55"/>
      <c r="N416" s="55"/>
      <c r="O416" s="55"/>
      <c r="P416" s="55"/>
      <c r="Q416" s="55"/>
      <c r="R416" s="55"/>
      <c r="S416" s="55"/>
      <c r="T416" s="55"/>
      <c r="U416" s="55"/>
    </row>
    <row r="417" spans="4:21" ht="13.5" customHeight="1">
      <c r="D417" s="53"/>
      <c r="E417" s="54"/>
      <c r="F417" s="54"/>
      <c r="G417" s="55"/>
      <c r="H417" s="55"/>
      <c r="I417" s="55"/>
      <c r="J417" s="55"/>
      <c r="K417" s="55"/>
      <c r="L417" s="55"/>
      <c r="M417" s="55"/>
      <c r="N417" s="55"/>
      <c r="O417" s="55"/>
      <c r="P417" s="55"/>
      <c r="Q417" s="55"/>
      <c r="R417" s="55"/>
      <c r="S417" s="55"/>
      <c r="T417" s="55"/>
      <c r="U417" s="55"/>
    </row>
    <row r="418" spans="4:21" ht="13.5" customHeight="1">
      <c r="D418" s="53"/>
      <c r="E418" s="54"/>
      <c r="F418" s="54"/>
      <c r="G418" s="55"/>
      <c r="H418" s="55"/>
      <c r="I418" s="55"/>
      <c r="J418" s="55"/>
      <c r="K418" s="55"/>
      <c r="L418" s="55"/>
      <c r="M418" s="55"/>
      <c r="N418" s="55"/>
      <c r="O418" s="55"/>
      <c r="P418" s="55"/>
      <c r="Q418" s="55"/>
      <c r="R418" s="55"/>
      <c r="S418" s="55"/>
      <c r="T418" s="55"/>
      <c r="U418" s="55"/>
    </row>
    <row r="419" spans="4:21" ht="13.5" customHeight="1">
      <c r="D419" s="53"/>
      <c r="E419" s="54"/>
      <c r="F419" s="54"/>
      <c r="G419" s="55"/>
      <c r="H419" s="55"/>
      <c r="I419" s="55"/>
      <c r="J419" s="55"/>
      <c r="K419" s="55"/>
      <c r="L419" s="55"/>
      <c r="M419" s="55"/>
      <c r="N419" s="55"/>
      <c r="O419" s="55"/>
      <c r="P419" s="55"/>
      <c r="Q419" s="55"/>
      <c r="R419" s="55"/>
      <c r="S419" s="55"/>
      <c r="T419" s="55"/>
      <c r="U419" s="55"/>
    </row>
    <row r="420" spans="4:21" ht="13.5" customHeight="1">
      <c r="D420" s="53"/>
      <c r="E420" s="54"/>
      <c r="F420" s="54"/>
      <c r="G420" s="55"/>
      <c r="H420" s="55"/>
      <c r="I420" s="55"/>
      <c r="J420" s="55"/>
      <c r="K420" s="55"/>
      <c r="L420" s="55"/>
      <c r="M420" s="55"/>
      <c r="N420" s="55"/>
      <c r="O420" s="55"/>
      <c r="P420" s="55"/>
      <c r="Q420" s="55"/>
      <c r="R420" s="55"/>
      <c r="S420" s="55"/>
      <c r="T420" s="55"/>
      <c r="U420" s="55"/>
    </row>
    <row r="421" spans="4:21" ht="13.5" customHeight="1">
      <c r="D421" s="53"/>
      <c r="E421" s="54"/>
      <c r="F421" s="54"/>
      <c r="G421" s="55"/>
      <c r="H421" s="55"/>
      <c r="I421" s="55"/>
      <c r="J421" s="55"/>
      <c r="K421" s="55"/>
      <c r="L421" s="55"/>
      <c r="M421" s="55"/>
      <c r="N421" s="55"/>
      <c r="O421" s="55"/>
      <c r="P421" s="55"/>
      <c r="Q421" s="55"/>
      <c r="R421" s="55"/>
      <c r="S421" s="55"/>
      <c r="T421" s="55"/>
      <c r="U421" s="55"/>
    </row>
    <row r="422" spans="4:21" ht="13.5" customHeight="1">
      <c r="D422" s="53"/>
      <c r="E422" s="54"/>
      <c r="F422" s="54"/>
      <c r="G422" s="55"/>
      <c r="H422" s="55"/>
      <c r="I422" s="55"/>
      <c r="J422" s="55"/>
      <c r="K422" s="55"/>
      <c r="L422" s="55"/>
      <c r="M422" s="55"/>
      <c r="N422" s="55"/>
      <c r="O422" s="55"/>
      <c r="P422" s="55"/>
      <c r="Q422" s="55"/>
      <c r="R422" s="55"/>
      <c r="S422" s="55"/>
      <c r="T422" s="55"/>
      <c r="U422" s="55"/>
    </row>
    <row r="423" spans="4:21" ht="13.5" customHeight="1">
      <c r="D423" s="53"/>
      <c r="E423" s="54"/>
      <c r="F423" s="54"/>
      <c r="G423" s="55"/>
      <c r="H423" s="55"/>
      <c r="I423" s="55"/>
      <c r="J423" s="55"/>
      <c r="K423" s="55"/>
      <c r="L423" s="55"/>
      <c r="M423" s="55"/>
      <c r="N423" s="55"/>
      <c r="O423" s="55"/>
      <c r="P423" s="55"/>
      <c r="Q423" s="55"/>
      <c r="R423" s="55"/>
      <c r="S423" s="55"/>
      <c r="T423" s="55"/>
      <c r="U423" s="55"/>
    </row>
    <row r="424" spans="4:21" ht="13.5" customHeight="1">
      <c r="D424" s="53"/>
      <c r="E424" s="54"/>
      <c r="F424" s="54"/>
      <c r="G424" s="55"/>
      <c r="H424" s="55"/>
      <c r="I424" s="55"/>
      <c r="J424" s="55"/>
      <c r="K424" s="55"/>
      <c r="L424" s="55"/>
      <c r="M424" s="55"/>
      <c r="N424" s="55"/>
      <c r="O424" s="55"/>
      <c r="P424" s="55"/>
      <c r="Q424" s="55"/>
      <c r="R424" s="55"/>
      <c r="S424" s="55"/>
      <c r="T424" s="55"/>
      <c r="U424" s="55"/>
    </row>
    <row r="425" spans="4:21" ht="13.5" customHeight="1">
      <c r="D425" s="53"/>
      <c r="E425" s="54"/>
      <c r="F425" s="54"/>
      <c r="G425" s="55"/>
      <c r="H425" s="55"/>
      <c r="I425" s="55"/>
      <c r="J425" s="55"/>
      <c r="K425" s="55"/>
      <c r="L425" s="55"/>
      <c r="M425" s="55"/>
      <c r="N425" s="55"/>
      <c r="O425" s="55"/>
      <c r="P425" s="55"/>
      <c r="Q425" s="55"/>
      <c r="R425" s="55"/>
      <c r="S425" s="55"/>
      <c r="T425" s="55"/>
      <c r="U425" s="55"/>
    </row>
    <row r="426" spans="4:21" ht="13.5" customHeight="1">
      <c r="D426" s="53"/>
      <c r="E426" s="54"/>
      <c r="F426" s="54"/>
      <c r="G426" s="55"/>
      <c r="H426" s="55"/>
      <c r="I426" s="55"/>
      <c r="J426" s="55"/>
      <c r="K426" s="55"/>
      <c r="L426" s="55"/>
      <c r="M426" s="55"/>
      <c r="N426" s="55"/>
      <c r="O426" s="55"/>
      <c r="P426" s="55"/>
      <c r="Q426" s="55"/>
      <c r="R426" s="55"/>
      <c r="S426" s="55"/>
      <c r="T426" s="55"/>
      <c r="U426" s="55"/>
    </row>
    <row r="427" spans="4:21" ht="13.5" customHeight="1">
      <c r="D427" s="53"/>
      <c r="E427" s="54"/>
      <c r="F427" s="54"/>
      <c r="G427" s="55"/>
      <c r="H427" s="55"/>
      <c r="I427" s="55"/>
      <c r="J427" s="55"/>
      <c r="K427" s="55"/>
      <c r="L427" s="55"/>
      <c r="M427" s="55"/>
      <c r="N427" s="55"/>
      <c r="O427" s="55"/>
      <c r="P427" s="55"/>
      <c r="Q427" s="55"/>
      <c r="R427" s="55"/>
      <c r="S427" s="55"/>
      <c r="T427" s="55"/>
      <c r="U427" s="55"/>
    </row>
    <row r="428" spans="4:21" ht="13.5" customHeight="1">
      <c r="D428" s="53"/>
      <c r="E428" s="54"/>
      <c r="F428" s="54"/>
      <c r="G428" s="55"/>
      <c r="H428" s="55"/>
      <c r="I428" s="55"/>
      <c r="J428" s="55"/>
      <c r="K428" s="55"/>
      <c r="L428" s="55"/>
      <c r="M428" s="55"/>
      <c r="N428" s="55"/>
      <c r="O428" s="55"/>
      <c r="P428" s="55"/>
      <c r="Q428" s="55"/>
      <c r="R428" s="55"/>
      <c r="S428" s="55"/>
      <c r="T428" s="55"/>
      <c r="U428" s="55"/>
    </row>
    <row r="429" spans="4:21" ht="13.5" customHeight="1">
      <c r="D429" s="53"/>
      <c r="E429" s="54"/>
      <c r="F429" s="54"/>
      <c r="G429" s="55"/>
      <c r="H429" s="55"/>
      <c r="I429" s="55"/>
      <c r="J429" s="55"/>
      <c r="K429" s="55"/>
      <c r="L429" s="55"/>
      <c r="M429" s="55"/>
      <c r="N429" s="55"/>
      <c r="O429" s="55"/>
      <c r="P429" s="55"/>
      <c r="Q429" s="55"/>
      <c r="R429" s="55"/>
      <c r="S429" s="55"/>
      <c r="T429" s="55"/>
      <c r="U429" s="55"/>
    </row>
    <row r="430" spans="4:21" ht="13.5" customHeight="1">
      <c r="D430" s="53"/>
      <c r="E430" s="54"/>
      <c r="F430" s="54"/>
      <c r="G430" s="55"/>
      <c r="H430" s="55"/>
      <c r="I430" s="55"/>
      <c r="J430" s="55"/>
      <c r="K430" s="55"/>
      <c r="L430" s="55"/>
      <c r="M430" s="55"/>
      <c r="N430" s="55"/>
      <c r="O430" s="55"/>
      <c r="P430" s="55"/>
      <c r="Q430" s="55"/>
      <c r="R430" s="55"/>
      <c r="S430" s="55"/>
      <c r="T430" s="55"/>
      <c r="U430" s="55"/>
    </row>
    <row r="431" spans="4:21" ht="13.5" customHeight="1">
      <c r="D431" s="53"/>
      <c r="E431" s="54"/>
      <c r="F431" s="54"/>
      <c r="G431" s="55"/>
      <c r="H431" s="55"/>
      <c r="I431" s="55"/>
      <c r="J431" s="55"/>
      <c r="K431" s="55"/>
      <c r="L431" s="55"/>
      <c r="M431" s="55"/>
      <c r="N431" s="55"/>
      <c r="O431" s="55"/>
      <c r="P431" s="55"/>
      <c r="Q431" s="55"/>
      <c r="R431" s="55"/>
      <c r="S431" s="55"/>
      <c r="T431" s="55"/>
      <c r="U431" s="55"/>
    </row>
    <row r="432" spans="4:21" ht="13.5" customHeight="1">
      <c r="D432" s="53"/>
      <c r="E432" s="54"/>
      <c r="F432" s="54"/>
      <c r="G432" s="55"/>
      <c r="H432" s="55"/>
      <c r="I432" s="55"/>
      <c r="J432" s="55"/>
      <c r="K432" s="55"/>
      <c r="L432" s="55"/>
      <c r="M432" s="55"/>
      <c r="N432" s="55"/>
      <c r="O432" s="55"/>
      <c r="P432" s="55"/>
      <c r="Q432" s="55"/>
      <c r="R432" s="55"/>
      <c r="S432" s="55"/>
      <c r="T432" s="55"/>
      <c r="U432" s="55"/>
    </row>
    <row r="433" spans="4:21" ht="13.5" customHeight="1">
      <c r="D433" s="53"/>
      <c r="E433" s="54"/>
      <c r="F433" s="54"/>
      <c r="G433" s="55"/>
      <c r="H433" s="55"/>
      <c r="I433" s="55"/>
      <c r="J433" s="55"/>
      <c r="K433" s="55"/>
      <c r="L433" s="55"/>
      <c r="M433" s="55"/>
      <c r="N433" s="55"/>
      <c r="O433" s="55"/>
      <c r="P433" s="55"/>
      <c r="Q433" s="55"/>
      <c r="R433" s="55"/>
      <c r="S433" s="55"/>
      <c r="T433" s="55"/>
      <c r="U433" s="55"/>
    </row>
    <row r="434" spans="4:21" ht="13.5" customHeight="1">
      <c r="D434" s="53"/>
      <c r="E434" s="54"/>
      <c r="F434" s="54"/>
      <c r="G434" s="55"/>
      <c r="H434" s="55"/>
      <c r="I434" s="55"/>
      <c r="J434" s="55"/>
      <c r="K434" s="55"/>
      <c r="L434" s="55"/>
      <c r="M434" s="55"/>
      <c r="N434" s="55"/>
      <c r="O434" s="55"/>
      <c r="P434" s="55"/>
      <c r="Q434" s="55"/>
      <c r="R434" s="55"/>
      <c r="S434" s="55"/>
      <c r="T434" s="55"/>
      <c r="U434" s="55"/>
    </row>
    <row r="435" spans="4:21" ht="13.5" customHeight="1">
      <c r="D435" s="53"/>
      <c r="E435" s="54"/>
      <c r="F435" s="54"/>
      <c r="G435" s="55"/>
      <c r="H435" s="55"/>
      <c r="I435" s="55"/>
      <c r="J435" s="55"/>
      <c r="K435" s="55"/>
      <c r="L435" s="55"/>
      <c r="M435" s="55"/>
      <c r="N435" s="55"/>
      <c r="O435" s="55"/>
      <c r="P435" s="55"/>
      <c r="Q435" s="55"/>
      <c r="R435" s="55"/>
      <c r="S435" s="55"/>
      <c r="T435" s="55"/>
      <c r="U435" s="55"/>
    </row>
    <row r="436" spans="4:21" ht="13.5" customHeight="1">
      <c r="D436" s="53"/>
      <c r="E436" s="54"/>
      <c r="F436" s="54"/>
      <c r="G436" s="55"/>
      <c r="H436" s="55"/>
      <c r="I436" s="55"/>
      <c r="J436" s="55"/>
      <c r="K436" s="55"/>
      <c r="L436" s="55"/>
      <c r="M436" s="55"/>
      <c r="N436" s="55"/>
      <c r="O436" s="55"/>
      <c r="P436" s="55"/>
      <c r="Q436" s="55"/>
      <c r="R436" s="55"/>
      <c r="S436" s="55"/>
      <c r="T436" s="55"/>
      <c r="U436" s="55"/>
    </row>
    <row r="437" spans="4:21" ht="13.5" customHeight="1">
      <c r="D437" s="53"/>
      <c r="E437" s="54"/>
      <c r="F437" s="54"/>
      <c r="G437" s="55"/>
      <c r="H437" s="55"/>
      <c r="I437" s="55"/>
      <c r="J437" s="55"/>
      <c r="K437" s="55"/>
      <c r="L437" s="55"/>
      <c r="M437" s="55"/>
      <c r="N437" s="55"/>
      <c r="O437" s="55"/>
      <c r="P437" s="55"/>
      <c r="Q437" s="55"/>
      <c r="R437" s="55"/>
      <c r="S437" s="55"/>
      <c r="T437" s="55"/>
      <c r="U437" s="55"/>
    </row>
    <row r="438" spans="4:21" ht="13.5" customHeight="1">
      <c r="D438" s="53"/>
      <c r="E438" s="54"/>
      <c r="F438" s="54"/>
      <c r="G438" s="55"/>
      <c r="H438" s="55"/>
      <c r="I438" s="55"/>
      <c r="J438" s="55"/>
      <c r="K438" s="55"/>
      <c r="L438" s="55"/>
      <c r="M438" s="55"/>
      <c r="N438" s="55"/>
      <c r="O438" s="55"/>
      <c r="P438" s="55"/>
      <c r="Q438" s="55"/>
      <c r="R438" s="55"/>
      <c r="S438" s="55"/>
      <c r="T438" s="55"/>
      <c r="U438" s="55"/>
    </row>
    <row r="439" spans="4:21" ht="13.5" customHeight="1">
      <c r="D439" s="53"/>
      <c r="E439" s="54"/>
      <c r="F439" s="54"/>
      <c r="G439" s="55"/>
      <c r="H439" s="55"/>
      <c r="I439" s="55"/>
      <c r="J439" s="55"/>
      <c r="K439" s="55"/>
      <c r="L439" s="55"/>
      <c r="M439" s="55"/>
      <c r="N439" s="55"/>
      <c r="O439" s="55"/>
      <c r="P439" s="55"/>
      <c r="Q439" s="55"/>
      <c r="R439" s="55"/>
      <c r="S439" s="55"/>
      <c r="T439" s="55"/>
      <c r="U439" s="55"/>
    </row>
    <row r="440" spans="4:21" ht="13.5" customHeight="1">
      <c r="D440" s="53"/>
      <c r="E440" s="54"/>
      <c r="F440" s="54"/>
      <c r="G440" s="55"/>
      <c r="H440" s="55"/>
      <c r="I440" s="55"/>
      <c r="J440" s="55"/>
      <c r="K440" s="55"/>
      <c r="L440" s="55"/>
      <c r="M440" s="55"/>
      <c r="N440" s="55"/>
      <c r="O440" s="55"/>
      <c r="P440" s="55"/>
      <c r="Q440" s="55"/>
      <c r="R440" s="55"/>
      <c r="S440" s="55"/>
      <c r="T440" s="55"/>
      <c r="U440" s="55"/>
    </row>
    <row r="441" spans="4:21" ht="13.5" customHeight="1">
      <c r="D441" s="53"/>
      <c r="E441" s="54"/>
      <c r="F441" s="54"/>
      <c r="G441" s="55"/>
      <c r="H441" s="55"/>
      <c r="I441" s="55"/>
      <c r="J441" s="55"/>
      <c r="K441" s="55"/>
      <c r="L441" s="55"/>
      <c r="M441" s="55"/>
      <c r="N441" s="55"/>
      <c r="O441" s="55"/>
      <c r="P441" s="55"/>
      <c r="Q441" s="55"/>
      <c r="R441" s="55"/>
      <c r="S441" s="55"/>
      <c r="T441" s="55"/>
      <c r="U441" s="55"/>
    </row>
    <row r="442" spans="4:21" ht="13.5" customHeight="1">
      <c r="D442" s="53"/>
      <c r="E442" s="54"/>
      <c r="F442" s="54"/>
      <c r="G442" s="55"/>
      <c r="H442" s="55"/>
      <c r="I442" s="55"/>
      <c r="J442" s="55"/>
      <c r="K442" s="55"/>
      <c r="L442" s="55"/>
      <c r="M442" s="55"/>
      <c r="N442" s="55"/>
      <c r="O442" s="55"/>
      <c r="P442" s="55"/>
      <c r="Q442" s="55"/>
      <c r="R442" s="55"/>
      <c r="S442" s="55"/>
      <c r="T442" s="55"/>
      <c r="U442" s="55"/>
    </row>
    <row r="443" spans="4:21" ht="13.5" customHeight="1">
      <c r="D443" s="53"/>
      <c r="E443" s="54"/>
      <c r="F443" s="54"/>
      <c r="G443" s="55"/>
      <c r="H443" s="55"/>
      <c r="I443" s="55"/>
      <c r="J443" s="55"/>
      <c r="K443" s="55"/>
      <c r="L443" s="55"/>
      <c r="M443" s="55"/>
      <c r="N443" s="55"/>
      <c r="O443" s="55"/>
      <c r="P443" s="55"/>
      <c r="Q443" s="55"/>
      <c r="R443" s="55"/>
      <c r="S443" s="55"/>
      <c r="T443" s="55"/>
      <c r="U443" s="55"/>
    </row>
    <row r="444" spans="4:21" ht="13.5" customHeight="1">
      <c r="D444" s="53"/>
      <c r="E444" s="54"/>
      <c r="F444" s="54"/>
      <c r="G444" s="55"/>
      <c r="H444" s="55"/>
      <c r="I444" s="55"/>
      <c r="J444" s="55"/>
      <c r="K444" s="55"/>
      <c r="L444" s="55"/>
      <c r="M444" s="55"/>
      <c r="N444" s="55"/>
      <c r="O444" s="55"/>
      <c r="P444" s="55"/>
      <c r="Q444" s="55"/>
      <c r="R444" s="55"/>
      <c r="S444" s="55"/>
      <c r="T444" s="55"/>
      <c r="U444" s="55"/>
    </row>
    <row r="445" spans="4:21" ht="13.5" customHeight="1">
      <c r="D445" s="53"/>
      <c r="E445" s="54"/>
      <c r="F445" s="54"/>
      <c r="G445" s="55"/>
      <c r="H445" s="55"/>
      <c r="I445" s="55"/>
      <c r="J445" s="55"/>
      <c r="K445" s="55"/>
      <c r="L445" s="55"/>
      <c r="M445" s="55"/>
      <c r="N445" s="55"/>
      <c r="O445" s="55"/>
      <c r="P445" s="55"/>
      <c r="Q445" s="55"/>
      <c r="R445" s="55"/>
      <c r="S445" s="55"/>
      <c r="T445" s="55"/>
      <c r="U445" s="55"/>
    </row>
    <row r="446" spans="4:21" ht="13.5" customHeight="1">
      <c r="D446" s="53"/>
      <c r="E446" s="54"/>
      <c r="F446" s="54"/>
      <c r="G446" s="55"/>
      <c r="H446" s="55"/>
      <c r="I446" s="55"/>
      <c r="J446" s="55"/>
      <c r="K446" s="55"/>
      <c r="L446" s="55"/>
      <c r="M446" s="55"/>
      <c r="N446" s="55"/>
      <c r="O446" s="55"/>
      <c r="P446" s="55"/>
      <c r="Q446" s="55"/>
      <c r="R446" s="55"/>
      <c r="S446" s="55"/>
      <c r="T446" s="55"/>
      <c r="U446" s="55"/>
    </row>
    <row r="447" spans="4:21" ht="13.5" customHeight="1">
      <c r="D447" s="53"/>
      <c r="E447" s="54"/>
      <c r="F447" s="54"/>
      <c r="G447" s="55"/>
      <c r="H447" s="55"/>
      <c r="I447" s="55"/>
      <c r="J447" s="55"/>
      <c r="K447" s="55"/>
      <c r="L447" s="55"/>
      <c r="M447" s="55"/>
      <c r="N447" s="55"/>
      <c r="O447" s="55"/>
      <c r="P447" s="55"/>
      <c r="Q447" s="55"/>
      <c r="R447" s="55"/>
      <c r="S447" s="55"/>
      <c r="T447" s="55"/>
      <c r="U447" s="55"/>
    </row>
    <row r="448" spans="4:21" ht="13.5" customHeight="1">
      <c r="D448" s="53"/>
      <c r="E448" s="54"/>
      <c r="F448" s="54"/>
      <c r="G448" s="55"/>
      <c r="H448" s="55"/>
      <c r="I448" s="55"/>
      <c r="J448" s="55"/>
      <c r="K448" s="55"/>
      <c r="L448" s="55"/>
      <c r="M448" s="55"/>
      <c r="N448" s="55"/>
      <c r="O448" s="55"/>
      <c r="P448" s="55"/>
      <c r="Q448" s="55"/>
      <c r="R448" s="55"/>
      <c r="S448" s="55"/>
      <c r="T448" s="55"/>
      <c r="U448" s="55"/>
    </row>
    <row r="449" spans="4:21" ht="13.5" customHeight="1">
      <c r="D449" s="53"/>
      <c r="E449" s="54"/>
      <c r="F449" s="54"/>
      <c r="G449" s="55"/>
      <c r="H449" s="55"/>
      <c r="I449" s="55"/>
      <c r="J449" s="55"/>
      <c r="K449" s="55"/>
      <c r="L449" s="55"/>
      <c r="M449" s="55"/>
      <c r="N449" s="55"/>
      <c r="O449" s="55"/>
      <c r="P449" s="55"/>
      <c r="Q449" s="55"/>
      <c r="R449" s="55"/>
      <c r="S449" s="55"/>
      <c r="T449" s="55"/>
      <c r="U449" s="55"/>
    </row>
    <row r="450" spans="4:21" ht="13.5" customHeight="1">
      <c r="D450" s="53"/>
      <c r="E450" s="54"/>
      <c r="F450" s="54"/>
      <c r="G450" s="55"/>
      <c r="H450" s="55"/>
      <c r="I450" s="55"/>
      <c r="J450" s="55"/>
      <c r="K450" s="55"/>
      <c r="L450" s="55"/>
      <c r="M450" s="55"/>
      <c r="N450" s="55"/>
      <c r="O450" s="55"/>
      <c r="P450" s="55"/>
      <c r="Q450" s="55"/>
      <c r="R450" s="55"/>
      <c r="S450" s="55"/>
      <c r="T450" s="55"/>
      <c r="U450" s="55"/>
    </row>
    <row r="451" spans="4:21" ht="13.5" customHeight="1">
      <c r="D451" s="53"/>
      <c r="E451" s="54"/>
      <c r="F451" s="54"/>
      <c r="G451" s="55"/>
      <c r="H451" s="55"/>
      <c r="I451" s="55"/>
      <c r="J451" s="55"/>
      <c r="K451" s="55"/>
      <c r="L451" s="55"/>
      <c r="M451" s="55"/>
      <c r="N451" s="55"/>
      <c r="O451" s="55"/>
      <c r="P451" s="55"/>
      <c r="Q451" s="55"/>
      <c r="R451" s="55"/>
      <c r="S451" s="55"/>
      <c r="T451" s="55"/>
      <c r="U451" s="55"/>
    </row>
    <row r="452" spans="4:21" ht="13.5" customHeight="1">
      <c r="D452" s="53"/>
      <c r="E452" s="54"/>
      <c r="F452" s="54"/>
      <c r="G452" s="55"/>
      <c r="H452" s="55"/>
      <c r="I452" s="55"/>
      <c r="J452" s="55"/>
      <c r="K452" s="55"/>
      <c r="L452" s="55"/>
      <c r="M452" s="55"/>
      <c r="N452" s="55"/>
      <c r="O452" s="55"/>
      <c r="P452" s="55"/>
      <c r="Q452" s="55"/>
      <c r="R452" s="55"/>
      <c r="S452" s="55"/>
      <c r="T452" s="55"/>
      <c r="U452" s="55"/>
    </row>
    <row r="453" spans="4:21" ht="13.5" customHeight="1">
      <c r="D453" s="53"/>
      <c r="E453" s="54"/>
      <c r="F453" s="54"/>
      <c r="G453" s="55"/>
      <c r="H453" s="55"/>
      <c r="I453" s="55"/>
      <c r="J453" s="55"/>
      <c r="K453" s="55"/>
      <c r="L453" s="55"/>
      <c r="M453" s="55"/>
      <c r="N453" s="55"/>
      <c r="O453" s="55"/>
      <c r="P453" s="55"/>
      <c r="Q453" s="55"/>
      <c r="R453" s="55"/>
      <c r="S453" s="55"/>
      <c r="T453" s="55"/>
      <c r="U453" s="55"/>
    </row>
    <row r="454" spans="4:21" ht="13.5" customHeight="1">
      <c r="D454" s="53"/>
      <c r="E454" s="54"/>
      <c r="F454" s="54"/>
      <c r="G454" s="55"/>
      <c r="H454" s="55"/>
      <c r="I454" s="55"/>
      <c r="J454" s="55"/>
      <c r="K454" s="55"/>
      <c r="L454" s="55"/>
      <c r="M454" s="55"/>
      <c r="N454" s="55"/>
      <c r="O454" s="55"/>
      <c r="P454" s="55"/>
      <c r="Q454" s="55"/>
      <c r="R454" s="55"/>
      <c r="S454" s="55"/>
      <c r="T454" s="55"/>
      <c r="U454" s="55"/>
    </row>
    <row r="455" spans="4:21" ht="13.5" customHeight="1">
      <c r="D455" s="53"/>
      <c r="E455" s="54"/>
      <c r="F455" s="54"/>
      <c r="G455" s="55"/>
      <c r="H455" s="55"/>
      <c r="I455" s="55"/>
      <c r="J455" s="55"/>
      <c r="K455" s="55"/>
      <c r="L455" s="55"/>
      <c r="M455" s="55"/>
      <c r="N455" s="55"/>
      <c r="O455" s="55"/>
      <c r="P455" s="55"/>
      <c r="Q455" s="55"/>
      <c r="R455" s="55"/>
      <c r="S455" s="55"/>
      <c r="T455" s="55"/>
      <c r="U455" s="55"/>
    </row>
    <row r="456" spans="4:21" ht="13.5" customHeight="1">
      <c r="D456" s="53"/>
      <c r="E456" s="54"/>
      <c r="F456" s="54"/>
      <c r="G456" s="55"/>
      <c r="H456" s="55"/>
      <c r="I456" s="55"/>
      <c r="J456" s="55"/>
      <c r="K456" s="55"/>
      <c r="L456" s="55"/>
      <c r="M456" s="55"/>
      <c r="N456" s="55"/>
      <c r="O456" s="55"/>
      <c r="P456" s="55"/>
      <c r="Q456" s="55"/>
      <c r="R456" s="55"/>
      <c r="S456" s="55"/>
      <c r="T456" s="55"/>
      <c r="U456" s="55"/>
    </row>
    <row r="457" spans="4:21" ht="13.5" customHeight="1">
      <c r="D457" s="53"/>
      <c r="E457" s="54"/>
      <c r="F457" s="54"/>
      <c r="G457" s="55"/>
      <c r="H457" s="55"/>
      <c r="I457" s="55"/>
      <c r="J457" s="55"/>
      <c r="K457" s="55"/>
      <c r="L457" s="55"/>
      <c r="M457" s="55"/>
      <c r="N457" s="55"/>
      <c r="O457" s="55"/>
      <c r="P457" s="55"/>
      <c r="Q457" s="55"/>
      <c r="R457" s="55"/>
      <c r="S457" s="55"/>
      <c r="T457" s="55"/>
      <c r="U457" s="55"/>
    </row>
    <row r="458" spans="4:21" ht="13.5" customHeight="1">
      <c r="D458" s="53"/>
      <c r="E458" s="54"/>
      <c r="F458" s="54"/>
      <c r="G458" s="55"/>
      <c r="H458" s="55"/>
      <c r="I458" s="55"/>
      <c r="J458" s="55"/>
      <c r="K458" s="55"/>
      <c r="L458" s="55"/>
      <c r="M458" s="55"/>
      <c r="N458" s="55"/>
      <c r="O458" s="55"/>
      <c r="P458" s="55"/>
      <c r="Q458" s="55"/>
      <c r="R458" s="55"/>
      <c r="S458" s="55"/>
      <c r="T458" s="55"/>
      <c r="U458" s="55"/>
    </row>
    <row r="459" spans="4:21" ht="13.5" customHeight="1">
      <c r="D459" s="53"/>
      <c r="E459" s="54"/>
      <c r="F459" s="54"/>
      <c r="G459" s="55"/>
      <c r="H459" s="55"/>
      <c r="I459" s="55"/>
      <c r="J459" s="55"/>
      <c r="K459" s="55"/>
      <c r="L459" s="55"/>
      <c r="M459" s="55"/>
      <c r="N459" s="55"/>
      <c r="O459" s="55"/>
      <c r="P459" s="55"/>
      <c r="Q459" s="55"/>
      <c r="R459" s="55"/>
      <c r="S459" s="55"/>
      <c r="T459" s="55"/>
      <c r="U459" s="55"/>
    </row>
    <row r="460" spans="4:21" ht="13.5" customHeight="1">
      <c r="D460" s="53"/>
      <c r="E460" s="54"/>
      <c r="F460" s="54"/>
      <c r="G460" s="55"/>
      <c r="H460" s="55"/>
      <c r="I460" s="55"/>
      <c r="J460" s="55"/>
      <c r="K460" s="55"/>
      <c r="L460" s="55"/>
      <c r="M460" s="55"/>
      <c r="N460" s="55"/>
      <c r="O460" s="55"/>
      <c r="P460" s="55"/>
      <c r="Q460" s="55"/>
      <c r="R460" s="55"/>
      <c r="S460" s="55"/>
      <c r="T460" s="55"/>
      <c r="U460" s="55"/>
    </row>
    <row r="461" spans="4:21" ht="13.5" customHeight="1">
      <c r="D461" s="53"/>
      <c r="E461" s="54"/>
      <c r="F461" s="54"/>
      <c r="G461" s="55"/>
      <c r="H461" s="55"/>
      <c r="I461" s="55"/>
      <c r="J461" s="55"/>
      <c r="K461" s="55"/>
      <c r="L461" s="55"/>
      <c r="M461" s="55"/>
      <c r="N461" s="55"/>
      <c r="O461" s="55"/>
      <c r="P461" s="55"/>
      <c r="Q461" s="55"/>
      <c r="R461" s="55"/>
      <c r="S461" s="55"/>
      <c r="T461" s="55"/>
      <c r="U461" s="55"/>
    </row>
    <row r="462" spans="4:21" ht="13.5" customHeight="1">
      <c r="D462" s="53"/>
      <c r="E462" s="54"/>
      <c r="F462" s="54"/>
      <c r="G462" s="55"/>
      <c r="H462" s="55"/>
      <c r="I462" s="55"/>
      <c r="J462" s="55"/>
      <c r="K462" s="55"/>
      <c r="L462" s="55"/>
      <c r="M462" s="55"/>
      <c r="N462" s="55"/>
      <c r="O462" s="55"/>
      <c r="P462" s="55"/>
      <c r="Q462" s="55"/>
      <c r="R462" s="55"/>
      <c r="S462" s="55"/>
      <c r="T462" s="55"/>
      <c r="U462" s="55"/>
    </row>
    <row r="463" spans="4:21" ht="13.5" customHeight="1">
      <c r="D463" s="53"/>
      <c r="E463" s="54"/>
      <c r="F463" s="54"/>
      <c r="G463" s="55"/>
      <c r="H463" s="55"/>
      <c r="I463" s="55"/>
      <c r="J463" s="55"/>
      <c r="K463" s="55"/>
      <c r="L463" s="55"/>
      <c r="M463" s="55"/>
      <c r="N463" s="55"/>
      <c r="O463" s="55"/>
      <c r="P463" s="55"/>
      <c r="Q463" s="55"/>
      <c r="R463" s="55"/>
      <c r="S463" s="55"/>
      <c r="T463" s="55"/>
      <c r="U463" s="55"/>
    </row>
    <row r="464" spans="4:21" ht="13.5" customHeight="1">
      <c r="D464" s="53"/>
      <c r="E464" s="54"/>
      <c r="F464" s="54"/>
      <c r="G464" s="55"/>
      <c r="H464" s="55"/>
      <c r="I464" s="55"/>
      <c r="J464" s="55"/>
      <c r="K464" s="55"/>
      <c r="L464" s="55"/>
      <c r="M464" s="55"/>
      <c r="N464" s="55"/>
      <c r="O464" s="55"/>
      <c r="P464" s="55"/>
      <c r="Q464" s="55"/>
      <c r="R464" s="55"/>
      <c r="S464" s="55"/>
      <c r="T464" s="55"/>
      <c r="U464" s="55"/>
    </row>
    <row r="465" spans="4:21" ht="13.5" customHeight="1">
      <c r="D465" s="53"/>
      <c r="E465" s="54"/>
      <c r="F465" s="54"/>
      <c r="G465" s="55"/>
      <c r="H465" s="55"/>
      <c r="I465" s="55"/>
      <c r="J465" s="55"/>
      <c r="K465" s="55"/>
      <c r="L465" s="55"/>
      <c r="M465" s="55"/>
      <c r="N465" s="55"/>
      <c r="O465" s="55"/>
      <c r="P465" s="55"/>
      <c r="Q465" s="55"/>
      <c r="R465" s="55"/>
      <c r="S465" s="55"/>
      <c r="T465" s="55"/>
      <c r="U465" s="55"/>
    </row>
    <row r="466" spans="4:21" ht="13.5" customHeight="1">
      <c r="D466" s="53"/>
      <c r="E466" s="54"/>
      <c r="F466" s="54"/>
      <c r="G466" s="55"/>
      <c r="H466" s="55"/>
      <c r="I466" s="55"/>
      <c r="J466" s="55"/>
      <c r="K466" s="55"/>
      <c r="L466" s="55"/>
      <c r="M466" s="55"/>
      <c r="N466" s="55"/>
      <c r="O466" s="55"/>
      <c r="P466" s="55"/>
      <c r="Q466" s="55"/>
      <c r="R466" s="55"/>
      <c r="S466" s="55"/>
      <c r="T466" s="55"/>
      <c r="U466" s="55"/>
    </row>
    <row r="467" spans="4:21" ht="13.5" customHeight="1">
      <c r="D467" s="53"/>
      <c r="E467" s="54"/>
      <c r="F467" s="54"/>
      <c r="G467" s="55"/>
      <c r="H467" s="55"/>
      <c r="I467" s="55"/>
      <c r="J467" s="55"/>
      <c r="K467" s="55"/>
      <c r="L467" s="55"/>
      <c r="M467" s="55"/>
      <c r="N467" s="55"/>
      <c r="O467" s="55"/>
      <c r="P467" s="55"/>
      <c r="Q467" s="55"/>
      <c r="R467" s="55"/>
      <c r="S467" s="55"/>
      <c r="T467" s="55"/>
      <c r="U467" s="55"/>
    </row>
    <row r="468" spans="4:21" ht="13.5" customHeight="1">
      <c r="D468" s="53"/>
      <c r="E468" s="54"/>
      <c r="F468" s="54"/>
      <c r="G468" s="55"/>
      <c r="H468" s="55"/>
      <c r="I468" s="55"/>
      <c r="J468" s="55"/>
      <c r="K468" s="55"/>
      <c r="L468" s="55"/>
      <c r="M468" s="55"/>
      <c r="N468" s="55"/>
      <c r="O468" s="55"/>
      <c r="P468" s="55"/>
      <c r="Q468" s="55"/>
      <c r="R468" s="55"/>
      <c r="S468" s="55"/>
      <c r="T468" s="55"/>
      <c r="U468" s="55"/>
    </row>
    <row r="469" spans="4:21" ht="13.5" customHeight="1">
      <c r="D469" s="53"/>
      <c r="E469" s="54"/>
      <c r="F469" s="54"/>
      <c r="G469" s="55"/>
      <c r="H469" s="55"/>
      <c r="I469" s="55"/>
      <c r="J469" s="55"/>
      <c r="K469" s="55"/>
      <c r="L469" s="55"/>
      <c r="M469" s="55"/>
      <c r="N469" s="55"/>
      <c r="O469" s="55"/>
      <c r="P469" s="55"/>
      <c r="Q469" s="55"/>
      <c r="R469" s="55"/>
      <c r="S469" s="55"/>
      <c r="T469" s="55"/>
      <c r="U469" s="55"/>
    </row>
    <row r="470" spans="4:21" ht="13.5" customHeight="1">
      <c r="D470" s="53"/>
      <c r="E470" s="54"/>
      <c r="F470" s="54"/>
      <c r="G470" s="55"/>
      <c r="H470" s="55"/>
      <c r="I470" s="55"/>
      <c r="J470" s="55"/>
      <c r="K470" s="55"/>
      <c r="L470" s="55"/>
      <c r="M470" s="55"/>
      <c r="N470" s="55"/>
      <c r="O470" s="55"/>
      <c r="P470" s="55"/>
      <c r="Q470" s="55"/>
      <c r="R470" s="55"/>
      <c r="S470" s="55"/>
      <c r="T470" s="55"/>
      <c r="U470" s="55"/>
    </row>
    <row r="471" spans="4:21" ht="13.5" customHeight="1">
      <c r="D471" s="53"/>
      <c r="E471" s="54"/>
      <c r="F471" s="54"/>
      <c r="G471" s="55"/>
      <c r="H471" s="55"/>
      <c r="I471" s="55"/>
      <c r="J471" s="55"/>
      <c r="K471" s="55"/>
      <c r="L471" s="55"/>
      <c r="M471" s="55"/>
      <c r="N471" s="55"/>
      <c r="O471" s="55"/>
      <c r="P471" s="55"/>
      <c r="Q471" s="55"/>
      <c r="R471" s="55"/>
      <c r="S471" s="55"/>
      <c r="T471" s="55"/>
      <c r="U471" s="55"/>
    </row>
    <row r="472" spans="4:21" ht="13.5" customHeight="1">
      <c r="D472" s="53"/>
      <c r="E472" s="54"/>
      <c r="F472" s="54"/>
      <c r="G472" s="55"/>
      <c r="H472" s="55"/>
      <c r="I472" s="55"/>
      <c r="J472" s="55"/>
      <c r="K472" s="55"/>
      <c r="L472" s="55"/>
      <c r="M472" s="55"/>
      <c r="N472" s="55"/>
      <c r="O472" s="55"/>
      <c r="P472" s="55"/>
      <c r="Q472" s="55"/>
      <c r="R472" s="55"/>
      <c r="S472" s="55"/>
      <c r="T472" s="55"/>
      <c r="U472" s="55"/>
    </row>
    <row r="473" spans="4:21" ht="13.5" customHeight="1">
      <c r="D473" s="53"/>
      <c r="E473" s="54"/>
      <c r="F473" s="54"/>
      <c r="G473" s="55"/>
      <c r="H473" s="55"/>
      <c r="I473" s="55"/>
      <c r="J473" s="55"/>
      <c r="K473" s="55"/>
      <c r="L473" s="55"/>
      <c r="M473" s="55"/>
      <c r="N473" s="55"/>
      <c r="O473" s="55"/>
      <c r="P473" s="55"/>
      <c r="Q473" s="55"/>
      <c r="R473" s="55"/>
      <c r="S473" s="55"/>
      <c r="T473" s="55"/>
      <c r="U473" s="55"/>
    </row>
    <row r="474" spans="4:21" ht="13.5" customHeight="1">
      <c r="D474" s="53"/>
      <c r="E474" s="54"/>
      <c r="F474" s="54"/>
      <c r="G474" s="55"/>
      <c r="H474" s="55"/>
      <c r="I474" s="55"/>
      <c r="J474" s="55"/>
      <c r="K474" s="55"/>
      <c r="L474" s="55"/>
      <c r="M474" s="55"/>
      <c r="N474" s="55"/>
      <c r="O474" s="55"/>
      <c r="P474" s="55"/>
      <c r="Q474" s="55"/>
      <c r="R474" s="55"/>
      <c r="S474" s="55"/>
      <c r="T474" s="55"/>
      <c r="U474" s="55"/>
    </row>
    <row r="475" spans="4:21" ht="13.5" customHeight="1">
      <c r="D475" s="53"/>
      <c r="E475" s="54"/>
      <c r="F475" s="54"/>
      <c r="G475" s="55"/>
      <c r="H475" s="55"/>
      <c r="I475" s="55"/>
      <c r="J475" s="55"/>
      <c r="K475" s="55"/>
      <c r="L475" s="55"/>
      <c r="M475" s="55"/>
      <c r="N475" s="55"/>
      <c r="O475" s="55"/>
      <c r="P475" s="55"/>
      <c r="Q475" s="55"/>
      <c r="R475" s="55"/>
      <c r="S475" s="55"/>
      <c r="T475" s="55"/>
      <c r="U475" s="55"/>
    </row>
    <row r="476" spans="4:21" ht="13.5" customHeight="1">
      <c r="D476" s="53"/>
      <c r="E476" s="54"/>
      <c r="F476" s="54"/>
      <c r="G476" s="55"/>
      <c r="H476" s="55"/>
      <c r="I476" s="55"/>
      <c r="J476" s="55"/>
      <c r="K476" s="55"/>
      <c r="L476" s="55"/>
      <c r="M476" s="55"/>
      <c r="N476" s="55"/>
      <c r="O476" s="55"/>
      <c r="P476" s="55"/>
      <c r="Q476" s="55"/>
      <c r="R476" s="55"/>
      <c r="S476" s="55"/>
      <c r="T476" s="55"/>
      <c r="U476" s="55"/>
    </row>
    <row r="477" spans="4:21" ht="13.5" customHeight="1">
      <c r="D477" s="53"/>
      <c r="E477" s="54"/>
      <c r="F477" s="54"/>
      <c r="G477" s="55"/>
      <c r="H477" s="55"/>
      <c r="I477" s="55"/>
      <c r="J477" s="55"/>
      <c r="K477" s="55"/>
      <c r="L477" s="55"/>
      <c r="M477" s="55"/>
      <c r="N477" s="55"/>
      <c r="O477" s="55"/>
      <c r="P477" s="55"/>
      <c r="Q477" s="55"/>
      <c r="R477" s="55"/>
      <c r="S477" s="55"/>
      <c r="T477" s="55"/>
      <c r="U477" s="55"/>
    </row>
    <row r="478" spans="4:21" ht="13.5" customHeight="1">
      <c r="D478" s="53"/>
      <c r="E478" s="54"/>
      <c r="F478" s="54"/>
      <c r="G478" s="55"/>
      <c r="H478" s="55"/>
      <c r="I478" s="55"/>
      <c r="J478" s="55"/>
      <c r="K478" s="55"/>
      <c r="L478" s="55"/>
      <c r="M478" s="55"/>
      <c r="N478" s="55"/>
      <c r="O478" s="55"/>
      <c r="P478" s="55"/>
      <c r="Q478" s="55"/>
      <c r="R478" s="55"/>
      <c r="S478" s="55"/>
      <c r="T478" s="55"/>
      <c r="U478" s="55"/>
    </row>
    <row r="479" spans="4:21" ht="13.5" customHeight="1">
      <c r="D479" s="53"/>
      <c r="E479" s="54"/>
      <c r="F479" s="54"/>
      <c r="G479" s="55"/>
      <c r="H479" s="55"/>
      <c r="I479" s="55"/>
      <c r="J479" s="55"/>
      <c r="K479" s="55"/>
      <c r="L479" s="55"/>
      <c r="M479" s="55"/>
      <c r="N479" s="55"/>
      <c r="O479" s="55"/>
      <c r="P479" s="55"/>
      <c r="Q479" s="55"/>
      <c r="R479" s="55"/>
      <c r="S479" s="55"/>
      <c r="T479" s="55"/>
      <c r="U479" s="55"/>
    </row>
    <row r="480" spans="4:21" ht="13.5" customHeight="1">
      <c r="D480" s="53"/>
      <c r="E480" s="54"/>
      <c r="F480" s="54"/>
      <c r="G480" s="55"/>
      <c r="H480" s="55"/>
      <c r="I480" s="55"/>
      <c r="J480" s="55"/>
      <c r="K480" s="55"/>
      <c r="L480" s="55"/>
      <c r="M480" s="55"/>
      <c r="N480" s="55"/>
      <c r="O480" s="55"/>
      <c r="P480" s="55"/>
      <c r="Q480" s="55"/>
      <c r="R480" s="55"/>
      <c r="S480" s="55"/>
      <c r="T480" s="55"/>
      <c r="U480" s="55"/>
    </row>
    <row r="481" spans="4:21" ht="13.5" customHeight="1">
      <c r="D481" s="53"/>
      <c r="E481" s="54"/>
      <c r="F481" s="54"/>
      <c r="G481" s="55"/>
      <c r="H481" s="55"/>
      <c r="I481" s="55"/>
      <c r="J481" s="55"/>
      <c r="K481" s="55"/>
      <c r="L481" s="55"/>
      <c r="M481" s="55"/>
      <c r="N481" s="55"/>
      <c r="O481" s="55"/>
      <c r="P481" s="55"/>
      <c r="Q481" s="55"/>
      <c r="R481" s="55"/>
      <c r="S481" s="55"/>
      <c r="T481" s="55"/>
      <c r="U481" s="55"/>
    </row>
    <row r="482" spans="4:21" ht="13.5" customHeight="1">
      <c r="D482" s="53"/>
      <c r="E482" s="54"/>
      <c r="F482" s="54"/>
      <c r="G482" s="55"/>
      <c r="H482" s="55"/>
      <c r="I482" s="55"/>
      <c r="J482" s="55"/>
      <c r="K482" s="55"/>
      <c r="L482" s="55"/>
      <c r="M482" s="55"/>
      <c r="N482" s="55"/>
      <c r="O482" s="55"/>
      <c r="P482" s="55"/>
      <c r="Q482" s="55"/>
      <c r="R482" s="55"/>
      <c r="S482" s="55"/>
      <c r="T482" s="55"/>
      <c r="U482" s="55"/>
    </row>
    <row r="483" spans="4:21" ht="13.5" customHeight="1">
      <c r="D483" s="53"/>
      <c r="E483" s="54"/>
      <c r="F483" s="54"/>
      <c r="G483" s="55"/>
      <c r="H483" s="55"/>
      <c r="I483" s="55"/>
      <c r="J483" s="55"/>
      <c r="K483" s="55"/>
      <c r="L483" s="55"/>
      <c r="M483" s="55"/>
      <c r="N483" s="55"/>
      <c r="O483" s="55"/>
      <c r="P483" s="55"/>
      <c r="Q483" s="55"/>
      <c r="R483" s="55"/>
      <c r="S483" s="55"/>
      <c r="T483" s="55"/>
      <c r="U483" s="55"/>
    </row>
    <row r="484" spans="4:21" ht="13.5" customHeight="1">
      <c r="D484" s="53"/>
      <c r="E484" s="54"/>
      <c r="F484" s="54"/>
      <c r="G484" s="55"/>
      <c r="H484" s="55"/>
      <c r="I484" s="55"/>
      <c r="J484" s="55"/>
      <c r="K484" s="55"/>
      <c r="L484" s="55"/>
      <c r="M484" s="55"/>
      <c r="N484" s="55"/>
      <c r="O484" s="55"/>
      <c r="P484" s="55"/>
      <c r="Q484" s="55"/>
      <c r="R484" s="55"/>
      <c r="S484" s="55"/>
      <c r="T484" s="55"/>
      <c r="U484" s="55"/>
    </row>
    <row r="485" spans="4:21" ht="13.5" customHeight="1">
      <c r="D485" s="53"/>
      <c r="E485" s="54"/>
      <c r="F485" s="54"/>
      <c r="G485" s="55"/>
      <c r="H485" s="55"/>
      <c r="I485" s="55"/>
      <c r="J485" s="55"/>
      <c r="K485" s="55"/>
      <c r="L485" s="55"/>
      <c r="M485" s="55"/>
      <c r="N485" s="55"/>
      <c r="O485" s="55"/>
      <c r="P485" s="55"/>
      <c r="Q485" s="55"/>
      <c r="R485" s="55"/>
      <c r="S485" s="55"/>
      <c r="T485" s="55"/>
      <c r="U485" s="55"/>
    </row>
    <row r="486" spans="4:21" ht="13.5" customHeight="1">
      <c r="D486" s="53"/>
      <c r="E486" s="54"/>
      <c r="F486" s="54"/>
      <c r="G486" s="55"/>
      <c r="H486" s="55"/>
      <c r="I486" s="55"/>
      <c r="J486" s="55"/>
      <c r="K486" s="55"/>
      <c r="L486" s="55"/>
      <c r="M486" s="55"/>
      <c r="N486" s="55"/>
      <c r="O486" s="55"/>
      <c r="P486" s="55"/>
      <c r="Q486" s="55"/>
      <c r="R486" s="55"/>
      <c r="S486" s="55"/>
      <c r="T486" s="55"/>
      <c r="U486" s="55"/>
    </row>
    <row r="487" spans="4:21" ht="13.5" customHeight="1">
      <c r="D487" s="53"/>
      <c r="E487" s="54"/>
      <c r="F487" s="54"/>
      <c r="G487" s="55"/>
      <c r="H487" s="55"/>
      <c r="I487" s="55"/>
      <c r="J487" s="55"/>
      <c r="K487" s="55"/>
      <c r="L487" s="55"/>
      <c r="M487" s="55"/>
      <c r="N487" s="55"/>
      <c r="O487" s="55"/>
      <c r="P487" s="55"/>
      <c r="Q487" s="55"/>
      <c r="R487" s="55"/>
      <c r="S487" s="55"/>
      <c r="T487" s="55"/>
      <c r="U487" s="55"/>
    </row>
    <row r="488" spans="4:21" ht="13.5" customHeight="1">
      <c r="D488" s="53"/>
      <c r="E488" s="54"/>
      <c r="F488" s="54"/>
      <c r="G488" s="55"/>
      <c r="H488" s="55"/>
      <c r="I488" s="55"/>
      <c r="J488" s="55"/>
      <c r="K488" s="55"/>
      <c r="L488" s="55"/>
      <c r="M488" s="55"/>
      <c r="N488" s="55"/>
      <c r="O488" s="55"/>
      <c r="P488" s="55"/>
      <c r="Q488" s="55"/>
      <c r="R488" s="55"/>
      <c r="S488" s="55"/>
      <c r="T488" s="55"/>
      <c r="U488" s="55"/>
    </row>
    <row r="489" spans="4:21" ht="13.5" customHeight="1">
      <c r="D489" s="53"/>
      <c r="E489" s="54"/>
      <c r="F489" s="54"/>
      <c r="G489" s="55"/>
      <c r="H489" s="55"/>
      <c r="I489" s="55"/>
      <c r="J489" s="55"/>
      <c r="K489" s="55"/>
      <c r="L489" s="55"/>
      <c r="M489" s="55"/>
      <c r="N489" s="55"/>
      <c r="O489" s="55"/>
      <c r="P489" s="55"/>
      <c r="Q489" s="55"/>
      <c r="R489" s="55"/>
      <c r="S489" s="55"/>
      <c r="T489" s="55"/>
      <c r="U489" s="55"/>
    </row>
    <row r="490" spans="4:21" ht="13.5" customHeight="1">
      <c r="D490" s="53"/>
      <c r="E490" s="54"/>
      <c r="F490" s="54"/>
      <c r="G490" s="55"/>
      <c r="H490" s="55"/>
      <c r="I490" s="55"/>
      <c r="J490" s="55"/>
      <c r="K490" s="55"/>
      <c r="L490" s="55"/>
      <c r="M490" s="55"/>
      <c r="N490" s="55"/>
      <c r="O490" s="55"/>
      <c r="P490" s="55"/>
      <c r="Q490" s="55"/>
      <c r="R490" s="55"/>
      <c r="S490" s="55"/>
      <c r="T490" s="55"/>
      <c r="U490" s="55"/>
    </row>
    <row r="491" spans="4:21" ht="13.5" customHeight="1">
      <c r="D491" s="53"/>
      <c r="E491" s="54"/>
      <c r="F491" s="54"/>
      <c r="G491" s="55"/>
      <c r="H491" s="55"/>
      <c r="I491" s="55"/>
      <c r="J491" s="55"/>
      <c r="K491" s="55"/>
      <c r="L491" s="55"/>
      <c r="M491" s="55"/>
      <c r="N491" s="55"/>
      <c r="O491" s="55"/>
      <c r="P491" s="55"/>
      <c r="Q491" s="55"/>
      <c r="R491" s="55"/>
      <c r="S491" s="55"/>
      <c r="T491" s="55"/>
      <c r="U491" s="55"/>
    </row>
    <row r="492" spans="4:21" ht="13.5" customHeight="1">
      <c r="D492" s="53"/>
      <c r="E492" s="54"/>
      <c r="F492" s="54"/>
      <c r="G492" s="55"/>
      <c r="H492" s="55"/>
      <c r="I492" s="55"/>
      <c r="J492" s="55"/>
      <c r="K492" s="55"/>
      <c r="L492" s="55"/>
      <c r="M492" s="55"/>
      <c r="N492" s="55"/>
      <c r="O492" s="55"/>
      <c r="P492" s="55"/>
      <c r="Q492" s="55"/>
      <c r="R492" s="55"/>
      <c r="S492" s="55"/>
      <c r="T492" s="55"/>
      <c r="U492" s="55"/>
    </row>
    <row r="493" spans="4:21" ht="13.5" customHeight="1">
      <c r="D493" s="53"/>
      <c r="E493" s="54"/>
      <c r="F493" s="54"/>
      <c r="G493" s="55"/>
      <c r="H493" s="55"/>
      <c r="I493" s="55"/>
      <c r="J493" s="55"/>
      <c r="K493" s="55"/>
      <c r="L493" s="55"/>
      <c r="M493" s="55"/>
      <c r="N493" s="55"/>
      <c r="O493" s="55"/>
      <c r="P493" s="55"/>
      <c r="Q493" s="55"/>
      <c r="R493" s="55"/>
      <c r="S493" s="55"/>
      <c r="T493" s="55"/>
      <c r="U493" s="55"/>
    </row>
    <row r="494" spans="4:21" ht="13.5" customHeight="1">
      <c r="D494" s="53"/>
      <c r="E494" s="54"/>
      <c r="F494" s="54"/>
      <c r="G494" s="55"/>
      <c r="H494" s="55"/>
      <c r="I494" s="55"/>
      <c r="J494" s="55"/>
      <c r="K494" s="55"/>
      <c r="L494" s="55"/>
      <c r="M494" s="55"/>
      <c r="N494" s="55"/>
      <c r="O494" s="55"/>
      <c r="P494" s="55"/>
      <c r="Q494" s="55"/>
      <c r="R494" s="55"/>
      <c r="S494" s="55"/>
      <c r="T494" s="55"/>
      <c r="U494" s="55"/>
    </row>
    <row r="495" spans="4:21" ht="13.5" customHeight="1">
      <c r="D495" s="53"/>
      <c r="E495" s="54"/>
      <c r="F495" s="54"/>
      <c r="G495" s="55"/>
      <c r="H495" s="55"/>
      <c r="I495" s="55"/>
      <c r="J495" s="55"/>
      <c r="K495" s="55"/>
      <c r="L495" s="55"/>
      <c r="M495" s="55"/>
      <c r="N495" s="55"/>
      <c r="O495" s="55"/>
      <c r="P495" s="55"/>
      <c r="Q495" s="55"/>
      <c r="R495" s="55"/>
      <c r="S495" s="55"/>
      <c r="T495" s="55"/>
      <c r="U495" s="55"/>
    </row>
    <row r="496" spans="4:21" ht="13.5" customHeight="1">
      <c r="D496" s="53"/>
      <c r="E496" s="54"/>
      <c r="F496" s="54"/>
      <c r="G496" s="55"/>
      <c r="H496" s="55"/>
      <c r="I496" s="55"/>
      <c r="J496" s="55"/>
      <c r="K496" s="55"/>
      <c r="L496" s="55"/>
      <c r="M496" s="55"/>
      <c r="N496" s="55"/>
      <c r="O496" s="55"/>
      <c r="P496" s="55"/>
      <c r="Q496" s="55"/>
      <c r="R496" s="55"/>
      <c r="S496" s="55"/>
      <c r="T496" s="55"/>
      <c r="U496" s="55"/>
    </row>
    <row r="497" spans="4:21" ht="13.5" customHeight="1">
      <c r="D497" s="53"/>
      <c r="E497" s="54"/>
      <c r="F497" s="54"/>
      <c r="G497" s="55"/>
      <c r="H497" s="55"/>
      <c r="I497" s="55"/>
      <c r="J497" s="55"/>
      <c r="K497" s="55"/>
      <c r="L497" s="55"/>
      <c r="M497" s="55"/>
      <c r="N497" s="55"/>
      <c r="O497" s="55"/>
      <c r="P497" s="55"/>
      <c r="Q497" s="55"/>
      <c r="R497" s="55"/>
      <c r="S497" s="55"/>
      <c r="T497" s="55"/>
      <c r="U497" s="55"/>
    </row>
    <row r="498" spans="4:21" ht="13.5" customHeight="1">
      <c r="D498" s="53"/>
      <c r="E498" s="54"/>
      <c r="F498" s="54"/>
      <c r="G498" s="55"/>
      <c r="H498" s="55"/>
      <c r="I498" s="55"/>
      <c r="J498" s="55"/>
      <c r="K498" s="55"/>
      <c r="L498" s="55"/>
      <c r="M498" s="55"/>
      <c r="N498" s="55"/>
      <c r="O498" s="55"/>
      <c r="P498" s="55"/>
      <c r="Q498" s="55"/>
      <c r="R498" s="55"/>
      <c r="S498" s="55"/>
      <c r="T498" s="55"/>
      <c r="U498" s="55"/>
    </row>
    <row r="499" spans="4:21" ht="13.5" customHeight="1">
      <c r="D499" s="53"/>
      <c r="E499" s="54"/>
      <c r="F499" s="54"/>
      <c r="G499" s="55"/>
      <c r="H499" s="55"/>
      <c r="I499" s="55"/>
      <c r="J499" s="55"/>
      <c r="K499" s="55"/>
      <c r="L499" s="55"/>
      <c r="M499" s="55"/>
      <c r="N499" s="55"/>
      <c r="O499" s="55"/>
      <c r="P499" s="55"/>
      <c r="Q499" s="55"/>
      <c r="R499" s="55"/>
      <c r="S499" s="55"/>
      <c r="T499" s="55"/>
      <c r="U499" s="55"/>
    </row>
    <row r="500" spans="4:21" ht="13.5" customHeight="1">
      <c r="D500" s="53"/>
      <c r="E500" s="54"/>
      <c r="F500" s="54"/>
      <c r="G500" s="55"/>
      <c r="H500" s="55"/>
      <c r="I500" s="55"/>
      <c r="J500" s="55"/>
      <c r="K500" s="55"/>
      <c r="L500" s="55"/>
      <c r="M500" s="55"/>
      <c r="N500" s="55"/>
      <c r="O500" s="55"/>
      <c r="P500" s="55"/>
      <c r="Q500" s="55"/>
      <c r="R500" s="55"/>
      <c r="S500" s="55"/>
      <c r="T500" s="55"/>
      <c r="U500" s="55"/>
    </row>
    <row r="501" spans="4:21" ht="13.5" customHeight="1">
      <c r="D501" s="53"/>
      <c r="E501" s="54"/>
      <c r="F501" s="54"/>
      <c r="G501" s="55"/>
      <c r="H501" s="55"/>
      <c r="I501" s="55"/>
      <c r="J501" s="55"/>
      <c r="K501" s="55"/>
      <c r="L501" s="55"/>
      <c r="M501" s="55"/>
      <c r="N501" s="55"/>
      <c r="O501" s="55"/>
      <c r="P501" s="55"/>
      <c r="Q501" s="55"/>
      <c r="R501" s="55"/>
      <c r="S501" s="55"/>
      <c r="T501" s="55"/>
      <c r="U501" s="55"/>
    </row>
    <row r="502" spans="4:21" ht="13.5" customHeight="1">
      <c r="D502" s="53"/>
      <c r="E502" s="54"/>
      <c r="F502" s="54"/>
      <c r="G502" s="55"/>
      <c r="H502" s="55"/>
      <c r="I502" s="55"/>
      <c r="J502" s="55"/>
      <c r="K502" s="55"/>
      <c r="L502" s="55"/>
      <c r="M502" s="55"/>
      <c r="N502" s="55"/>
      <c r="O502" s="55"/>
      <c r="P502" s="55"/>
      <c r="Q502" s="55"/>
      <c r="R502" s="55"/>
      <c r="S502" s="55"/>
      <c r="T502" s="55"/>
      <c r="U502" s="55"/>
    </row>
    <row r="503" spans="4:21" ht="13.5" customHeight="1">
      <c r="D503" s="53"/>
      <c r="E503" s="54"/>
      <c r="F503" s="54"/>
      <c r="G503" s="55"/>
      <c r="H503" s="55"/>
      <c r="I503" s="55"/>
      <c r="J503" s="55"/>
      <c r="K503" s="55"/>
      <c r="L503" s="55"/>
      <c r="M503" s="55"/>
      <c r="N503" s="55"/>
      <c r="O503" s="55"/>
      <c r="P503" s="55"/>
      <c r="Q503" s="55"/>
      <c r="R503" s="55"/>
      <c r="S503" s="55"/>
      <c r="T503" s="55"/>
      <c r="U503" s="55"/>
    </row>
    <row r="504" spans="4:21" ht="13.5" customHeight="1">
      <c r="D504" s="53"/>
      <c r="E504" s="54"/>
      <c r="F504" s="54"/>
      <c r="G504" s="55"/>
      <c r="H504" s="55"/>
      <c r="I504" s="55"/>
      <c r="J504" s="55"/>
      <c r="K504" s="55"/>
      <c r="L504" s="55"/>
      <c r="M504" s="55"/>
      <c r="N504" s="55"/>
      <c r="O504" s="55"/>
      <c r="P504" s="55"/>
      <c r="Q504" s="55"/>
      <c r="R504" s="55"/>
      <c r="S504" s="55"/>
      <c r="T504" s="55"/>
      <c r="U504" s="55"/>
    </row>
    <row r="505" spans="4:21" ht="13.5" customHeight="1">
      <c r="D505" s="53"/>
      <c r="E505" s="54"/>
      <c r="F505" s="54"/>
      <c r="G505" s="55"/>
      <c r="H505" s="55"/>
      <c r="I505" s="55"/>
      <c r="J505" s="55"/>
      <c r="K505" s="55"/>
      <c r="L505" s="55"/>
      <c r="M505" s="55"/>
      <c r="N505" s="55"/>
      <c r="O505" s="55"/>
      <c r="P505" s="55"/>
      <c r="Q505" s="55"/>
      <c r="R505" s="55"/>
      <c r="S505" s="55"/>
      <c r="T505" s="55"/>
      <c r="U505" s="55"/>
    </row>
    <row r="506" spans="4:21" ht="13.5" customHeight="1">
      <c r="D506" s="53"/>
      <c r="E506" s="54"/>
      <c r="F506" s="54"/>
      <c r="G506" s="55"/>
      <c r="H506" s="55"/>
      <c r="I506" s="55"/>
      <c r="J506" s="55"/>
      <c r="K506" s="55"/>
      <c r="L506" s="55"/>
      <c r="M506" s="55"/>
      <c r="N506" s="55"/>
      <c r="O506" s="55"/>
      <c r="P506" s="55"/>
      <c r="Q506" s="55"/>
      <c r="R506" s="55"/>
      <c r="S506" s="55"/>
      <c r="T506" s="55"/>
      <c r="U506" s="55"/>
    </row>
    <row r="507" spans="4:21" ht="13.5" customHeight="1">
      <c r="D507" s="53"/>
      <c r="E507" s="54"/>
      <c r="F507" s="54"/>
      <c r="G507" s="55"/>
      <c r="H507" s="55"/>
      <c r="I507" s="55"/>
      <c r="J507" s="55"/>
      <c r="K507" s="55"/>
      <c r="L507" s="55"/>
      <c r="M507" s="55"/>
      <c r="N507" s="55"/>
      <c r="O507" s="55"/>
      <c r="P507" s="55"/>
      <c r="Q507" s="55"/>
      <c r="R507" s="55"/>
      <c r="S507" s="55"/>
      <c r="T507" s="55"/>
      <c r="U507" s="55"/>
    </row>
    <row r="508" spans="4:21" ht="13.5" customHeight="1">
      <c r="D508" s="53"/>
      <c r="E508" s="54"/>
      <c r="F508" s="54"/>
      <c r="G508" s="55"/>
      <c r="H508" s="55"/>
      <c r="I508" s="55"/>
      <c r="J508" s="55"/>
      <c r="K508" s="55"/>
      <c r="L508" s="55"/>
      <c r="M508" s="55"/>
      <c r="N508" s="55"/>
      <c r="O508" s="55"/>
      <c r="P508" s="55"/>
      <c r="Q508" s="55"/>
      <c r="R508" s="55"/>
      <c r="S508" s="55"/>
      <c r="T508" s="55"/>
      <c r="U508" s="55"/>
    </row>
    <row r="509" spans="4:21" ht="13.5" customHeight="1">
      <c r="D509" s="53"/>
      <c r="E509" s="54"/>
      <c r="F509" s="54"/>
      <c r="G509" s="55"/>
      <c r="H509" s="55"/>
      <c r="I509" s="55"/>
      <c r="J509" s="55"/>
      <c r="K509" s="55"/>
      <c r="L509" s="55"/>
      <c r="M509" s="55"/>
      <c r="N509" s="55"/>
      <c r="O509" s="55"/>
      <c r="P509" s="55"/>
      <c r="Q509" s="55"/>
      <c r="R509" s="55"/>
      <c r="S509" s="55"/>
      <c r="T509" s="55"/>
      <c r="U509" s="55"/>
    </row>
    <row r="510" spans="4:21" ht="13.5" customHeight="1">
      <c r="D510" s="53"/>
      <c r="E510" s="54"/>
      <c r="F510" s="54"/>
      <c r="G510" s="55"/>
      <c r="H510" s="55"/>
      <c r="I510" s="55"/>
      <c r="J510" s="55"/>
      <c r="K510" s="55"/>
      <c r="L510" s="55"/>
      <c r="M510" s="55"/>
      <c r="N510" s="55"/>
      <c r="O510" s="55"/>
      <c r="P510" s="55"/>
      <c r="Q510" s="55"/>
      <c r="R510" s="55"/>
      <c r="S510" s="55"/>
      <c r="T510" s="55"/>
      <c r="U510" s="55"/>
    </row>
    <row r="511" spans="4:21" ht="13.5" customHeight="1">
      <c r="D511" s="53"/>
      <c r="E511" s="54"/>
      <c r="F511" s="54"/>
      <c r="G511" s="55"/>
      <c r="H511" s="55"/>
      <c r="I511" s="55"/>
      <c r="J511" s="55"/>
      <c r="K511" s="55"/>
      <c r="L511" s="55"/>
      <c r="M511" s="55"/>
      <c r="N511" s="55"/>
      <c r="O511" s="55"/>
      <c r="P511" s="55"/>
      <c r="Q511" s="55"/>
      <c r="R511" s="55"/>
      <c r="S511" s="55"/>
      <c r="T511" s="55"/>
      <c r="U511" s="55"/>
    </row>
    <row r="512" spans="4:21" ht="13.5" customHeight="1">
      <c r="D512" s="53"/>
      <c r="E512" s="54"/>
      <c r="F512" s="54"/>
      <c r="G512" s="55"/>
      <c r="H512" s="55"/>
      <c r="I512" s="55"/>
      <c r="J512" s="55"/>
      <c r="K512" s="55"/>
      <c r="L512" s="55"/>
      <c r="M512" s="55"/>
      <c r="N512" s="55"/>
      <c r="O512" s="55"/>
      <c r="P512" s="55"/>
      <c r="Q512" s="55"/>
      <c r="R512" s="55"/>
      <c r="S512" s="55"/>
      <c r="T512" s="55"/>
      <c r="U512" s="55"/>
    </row>
    <row r="513" spans="4:21" ht="13.5" customHeight="1">
      <c r="D513" s="53"/>
      <c r="E513" s="54"/>
      <c r="F513" s="54"/>
      <c r="G513" s="55"/>
      <c r="H513" s="55"/>
      <c r="I513" s="55"/>
      <c r="J513" s="55"/>
      <c r="K513" s="55"/>
      <c r="L513" s="55"/>
      <c r="M513" s="55"/>
      <c r="N513" s="55"/>
      <c r="O513" s="55"/>
      <c r="P513" s="55"/>
      <c r="Q513" s="55"/>
      <c r="R513" s="55"/>
      <c r="S513" s="55"/>
      <c r="T513" s="55"/>
      <c r="U513" s="55"/>
    </row>
    <row r="514" spans="4:21" ht="13.5" customHeight="1">
      <c r="D514" s="53"/>
      <c r="E514" s="54"/>
      <c r="F514" s="54"/>
      <c r="G514" s="55"/>
      <c r="H514" s="55"/>
      <c r="I514" s="55"/>
      <c r="J514" s="55"/>
      <c r="K514" s="55"/>
      <c r="L514" s="55"/>
      <c r="M514" s="55"/>
      <c r="N514" s="55"/>
      <c r="O514" s="55"/>
      <c r="P514" s="55"/>
      <c r="Q514" s="55"/>
      <c r="R514" s="55"/>
      <c r="S514" s="55"/>
      <c r="T514" s="55"/>
      <c r="U514" s="55"/>
    </row>
    <row r="515" spans="4:21" ht="13.5" customHeight="1">
      <c r="D515" s="53"/>
      <c r="E515" s="54"/>
      <c r="F515" s="54"/>
      <c r="G515" s="55"/>
      <c r="H515" s="55"/>
      <c r="I515" s="55"/>
      <c r="J515" s="55"/>
      <c r="K515" s="55"/>
      <c r="L515" s="55"/>
      <c r="M515" s="55"/>
      <c r="N515" s="55"/>
      <c r="O515" s="55"/>
      <c r="P515" s="55"/>
      <c r="Q515" s="55"/>
      <c r="R515" s="55"/>
      <c r="S515" s="55"/>
      <c r="T515" s="55"/>
      <c r="U515" s="55"/>
    </row>
    <row r="516" spans="4:21" ht="13.5" customHeight="1">
      <c r="D516" s="53"/>
      <c r="E516" s="54"/>
      <c r="F516" s="54"/>
      <c r="G516" s="55"/>
      <c r="H516" s="55"/>
      <c r="I516" s="55"/>
      <c r="J516" s="55"/>
      <c r="K516" s="55"/>
      <c r="L516" s="55"/>
      <c r="M516" s="55"/>
      <c r="N516" s="55"/>
      <c r="O516" s="55"/>
      <c r="P516" s="55"/>
      <c r="Q516" s="55"/>
      <c r="R516" s="55"/>
      <c r="S516" s="55"/>
      <c r="T516" s="55"/>
      <c r="U516" s="55"/>
    </row>
    <row r="517" spans="4:21" ht="13.5" customHeight="1">
      <c r="D517" s="53"/>
      <c r="E517" s="54"/>
      <c r="F517" s="54"/>
      <c r="G517" s="55"/>
      <c r="H517" s="55"/>
      <c r="I517" s="55"/>
      <c r="J517" s="55"/>
      <c r="K517" s="55"/>
      <c r="L517" s="55"/>
      <c r="M517" s="55"/>
      <c r="N517" s="55"/>
      <c r="O517" s="55"/>
      <c r="P517" s="55"/>
      <c r="Q517" s="55"/>
      <c r="R517" s="55"/>
      <c r="S517" s="55"/>
      <c r="T517" s="55"/>
      <c r="U517" s="55"/>
    </row>
    <row r="518" spans="4:21" ht="13.5" customHeight="1">
      <c r="D518" s="53"/>
      <c r="E518" s="54"/>
      <c r="F518" s="54"/>
      <c r="G518" s="55"/>
      <c r="H518" s="55"/>
      <c r="I518" s="55"/>
      <c r="J518" s="55"/>
      <c r="K518" s="55"/>
      <c r="L518" s="55"/>
      <c r="M518" s="55"/>
      <c r="N518" s="55"/>
      <c r="O518" s="55"/>
      <c r="P518" s="55"/>
      <c r="Q518" s="55"/>
      <c r="R518" s="55"/>
      <c r="S518" s="55"/>
      <c r="T518" s="55"/>
      <c r="U518" s="55"/>
    </row>
    <row r="519" spans="4:21" ht="13.5" customHeight="1">
      <c r="D519" s="53"/>
      <c r="E519" s="54"/>
      <c r="F519" s="54"/>
      <c r="G519" s="55"/>
      <c r="H519" s="55"/>
      <c r="I519" s="55"/>
      <c r="J519" s="55"/>
      <c r="K519" s="55"/>
      <c r="L519" s="55"/>
      <c r="M519" s="55"/>
      <c r="N519" s="55"/>
      <c r="O519" s="55"/>
      <c r="P519" s="55"/>
      <c r="Q519" s="55"/>
      <c r="R519" s="55"/>
      <c r="S519" s="55"/>
      <c r="T519" s="55"/>
      <c r="U519" s="55"/>
    </row>
    <row r="520" spans="4:21" ht="13.5" customHeight="1">
      <c r="D520" s="53"/>
      <c r="E520" s="54"/>
      <c r="F520" s="54"/>
      <c r="G520" s="55"/>
      <c r="H520" s="55"/>
      <c r="I520" s="55"/>
      <c r="J520" s="55"/>
      <c r="K520" s="55"/>
      <c r="L520" s="55"/>
      <c r="M520" s="55"/>
      <c r="N520" s="55"/>
      <c r="O520" s="55"/>
      <c r="P520" s="55"/>
      <c r="Q520" s="55"/>
      <c r="R520" s="55"/>
      <c r="S520" s="55"/>
      <c r="T520" s="55"/>
      <c r="U520" s="55"/>
    </row>
    <row r="521" spans="4:21" ht="13.5" customHeight="1">
      <c r="D521" s="53"/>
      <c r="E521" s="54"/>
      <c r="F521" s="54"/>
      <c r="G521" s="55"/>
      <c r="H521" s="55"/>
      <c r="I521" s="55"/>
      <c r="J521" s="55"/>
      <c r="K521" s="55"/>
      <c r="L521" s="55"/>
      <c r="M521" s="55"/>
      <c r="N521" s="55"/>
      <c r="O521" s="55"/>
      <c r="P521" s="55"/>
      <c r="Q521" s="55"/>
      <c r="R521" s="55"/>
      <c r="S521" s="55"/>
      <c r="T521" s="55"/>
      <c r="U521" s="55"/>
    </row>
    <row r="522" spans="4:21" ht="13.5" customHeight="1">
      <c r="D522" s="53"/>
      <c r="E522" s="54"/>
      <c r="F522" s="54"/>
      <c r="G522" s="55"/>
      <c r="H522" s="55"/>
      <c r="I522" s="55"/>
      <c r="J522" s="55"/>
      <c r="K522" s="55"/>
      <c r="L522" s="55"/>
      <c r="M522" s="55"/>
      <c r="N522" s="55"/>
      <c r="O522" s="55"/>
      <c r="P522" s="55"/>
      <c r="Q522" s="55"/>
      <c r="R522" s="55"/>
      <c r="S522" s="55"/>
      <c r="T522" s="55"/>
      <c r="U522" s="55"/>
    </row>
    <row r="523" spans="4:21" ht="13.5" customHeight="1">
      <c r="D523" s="53"/>
      <c r="E523" s="54"/>
      <c r="F523" s="54"/>
      <c r="G523" s="55"/>
      <c r="H523" s="55"/>
      <c r="I523" s="55"/>
      <c r="J523" s="55"/>
      <c r="K523" s="55"/>
      <c r="L523" s="55"/>
      <c r="M523" s="55"/>
      <c r="N523" s="55"/>
      <c r="O523" s="55"/>
      <c r="P523" s="55"/>
      <c r="Q523" s="55"/>
      <c r="R523" s="55"/>
      <c r="S523" s="55"/>
      <c r="T523" s="55"/>
      <c r="U523" s="55"/>
    </row>
    <row r="524" spans="4:21" ht="13.5" customHeight="1">
      <c r="D524" s="53"/>
      <c r="E524" s="54"/>
      <c r="F524" s="54"/>
      <c r="G524" s="55"/>
      <c r="H524" s="55"/>
      <c r="I524" s="55"/>
      <c r="J524" s="55"/>
      <c r="K524" s="55"/>
      <c r="L524" s="55"/>
      <c r="M524" s="55"/>
      <c r="N524" s="55"/>
      <c r="O524" s="55"/>
      <c r="P524" s="55"/>
      <c r="Q524" s="55"/>
      <c r="R524" s="55"/>
      <c r="S524" s="55"/>
      <c r="T524" s="55"/>
      <c r="U524" s="55"/>
    </row>
    <row r="525" spans="4:21" ht="13.5" customHeight="1">
      <c r="D525" s="53"/>
      <c r="E525" s="54"/>
      <c r="F525" s="54"/>
      <c r="G525" s="55"/>
      <c r="H525" s="55"/>
      <c r="I525" s="55"/>
      <c r="J525" s="55"/>
      <c r="K525" s="55"/>
      <c r="L525" s="55"/>
      <c r="M525" s="55"/>
      <c r="N525" s="55"/>
      <c r="O525" s="55"/>
      <c r="P525" s="55"/>
      <c r="Q525" s="55"/>
      <c r="R525" s="55"/>
      <c r="S525" s="55"/>
      <c r="T525" s="55"/>
      <c r="U525" s="55"/>
    </row>
    <row r="526" spans="4:21" ht="13.5" customHeight="1">
      <c r="D526" s="53"/>
      <c r="E526" s="54"/>
      <c r="F526" s="54"/>
      <c r="G526" s="55"/>
      <c r="H526" s="55"/>
      <c r="I526" s="55"/>
      <c r="J526" s="55"/>
      <c r="K526" s="55"/>
      <c r="L526" s="55"/>
      <c r="M526" s="55"/>
      <c r="N526" s="55"/>
      <c r="O526" s="55"/>
      <c r="P526" s="55"/>
      <c r="Q526" s="55"/>
      <c r="R526" s="55"/>
      <c r="S526" s="55"/>
      <c r="T526" s="55"/>
      <c r="U526" s="55"/>
    </row>
    <row r="527" spans="4:21" ht="13.5" customHeight="1">
      <c r="D527" s="53"/>
      <c r="E527" s="54"/>
      <c r="F527" s="54"/>
      <c r="G527" s="55"/>
      <c r="H527" s="55"/>
      <c r="I527" s="55"/>
      <c r="J527" s="55"/>
      <c r="K527" s="55"/>
      <c r="L527" s="55"/>
      <c r="M527" s="55"/>
      <c r="N527" s="55"/>
      <c r="O527" s="55"/>
      <c r="P527" s="55"/>
      <c r="Q527" s="55"/>
      <c r="R527" s="55"/>
      <c r="S527" s="55"/>
      <c r="T527" s="55"/>
      <c r="U527" s="55"/>
    </row>
    <row r="528" spans="4:21" ht="13.5" customHeight="1">
      <c r="D528" s="53"/>
      <c r="E528" s="54"/>
      <c r="F528" s="54"/>
      <c r="G528" s="55"/>
      <c r="H528" s="55"/>
      <c r="I528" s="55"/>
      <c r="J528" s="55"/>
      <c r="K528" s="55"/>
      <c r="L528" s="55"/>
      <c r="M528" s="55"/>
      <c r="N528" s="55"/>
      <c r="O528" s="55"/>
      <c r="P528" s="55"/>
      <c r="Q528" s="55"/>
      <c r="R528" s="55"/>
      <c r="S528" s="55"/>
      <c r="T528" s="55"/>
      <c r="U528" s="55"/>
    </row>
    <row r="529" spans="4:21" ht="13.5" customHeight="1">
      <c r="D529" s="53"/>
      <c r="E529" s="54"/>
      <c r="F529" s="54"/>
      <c r="G529" s="55"/>
      <c r="H529" s="55"/>
      <c r="I529" s="55"/>
      <c r="J529" s="55"/>
      <c r="K529" s="55"/>
      <c r="L529" s="55"/>
      <c r="M529" s="55"/>
      <c r="N529" s="55"/>
      <c r="O529" s="55"/>
      <c r="P529" s="55"/>
      <c r="Q529" s="55"/>
      <c r="R529" s="55"/>
      <c r="S529" s="55"/>
      <c r="T529" s="55"/>
      <c r="U529" s="55"/>
    </row>
    <row r="530" spans="4:21" ht="13.5" customHeight="1">
      <c r="D530" s="53"/>
      <c r="E530" s="54"/>
      <c r="F530" s="54"/>
      <c r="G530" s="55"/>
      <c r="H530" s="55"/>
      <c r="I530" s="55"/>
      <c r="J530" s="55"/>
      <c r="K530" s="55"/>
      <c r="L530" s="55"/>
      <c r="M530" s="55"/>
      <c r="N530" s="55"/>
      <c r="O530" s="55"/>
      <c r="P530" s="55"/>
      <c r="Q530" s="55"/>
      <c r="R530" s="55"/>
      <c r="S530" s="55"/>
      <c r="T530" s="55"/>
      <c r="U530" s="55"/>
    </row>
    <row r="531" spans="4:21" ht="13.5" customHeight="1">
      <c r="D531" s="53"/>
      <c r="E531" s="54"/>
      <c r="F531" s="54"/>
      <c r="G531" s="55"/>
      <c r="H531" s="55"/>
      <c r="I531" s="55"/>
      <c r="J531" s="55"/>
      <c r="K531" s="55"/>
      <c r="L531" s="55"/>
      <c r="M531" s="55"/>
      <c r="N531" s="55"/>
      <c r="O531" s="55"/>
      <c r="P531" s="55"/>
      <c r="Q531" s="55"/>
      <c r="R531" s="55"/>
      <c r="S531" s="55"/>
      <c r="T531" s="55"/>
      <c r="U531" s="55"/>
    </row>
    <row r="532" spans="4:21" ht="13.5" customHeight="1">
      <c r="D532" s="53"/>
      <c r="E532" s="54"/>
      <c r="F532" s="54"/>
      <c r="G532" s="55"/>
      <c r="H532" s="55"/>
      <c r="I532" s="55"/>
      <c r="J532" s="55"/>
      <c r="K532" s="55"/>
      <c r="L532" s="55"/>
      <c r="M532" s="55"/>
      <c r="N532" s="55"/>
      <c r="O532" s="55"/>
      <c r="P532" s="55"/>
      <c r="Q532" s="55"/>
      <c r="R532" s="55"/>
      <c r="S532" s="55"/>
      <c r="T532" s="55"/>
      <c r="U532" s="55"/>
    </row>
    <row r="533" spans="4:21" ht="13.5" customHeight="1">
      <c r="D533" s="53"/>
      <c r="E533" s="54"/>
      <c r="F533" s="54"/>
      <c r="G533" s="55"/>
      <c r="H533" s="55"/>
      <c r="I533" s="55"/>
      <c r="J533" s="55"/>
      <c r="K533" s="55"/>
      <c r="L533" s="55"/>
      <c r="M533" s="55"/>
      <c r="N533" s="55"/>
      <c r="O533" s="55"/>
      <c r="P533" s="55"/>
      <c r="Q533" s="55"/>
      <c r="R533" s="55"/>
      <c r="S533" s="55"/>
      <c r="T533" s="55"/>
      <c r="U533" s="55"/>
    </row>
    <row r="534" spans="4:21" ht="13.5" customHeight="1">
      <c r="D534" s="53"/>
      <c r="E534" s="54"/>
      <c r="F534" s="54"/>
      <c r="G534" s="55"/>
      <c r="H534" s="55"/>
      <c r="I534" s="55"/>
      <c r="J534" s="55"/>
      <c r="K534" s="55"/>
      <c r="L534" s="55"/>
      <c r="M534" s="55"/>
      <c r="N534" s="55"/>
      <c r="O534" s="55"/>
      <c r="P534" s="55"/>
      <c r="Q534" s="55"/>
      <c r="R534" s="55"/>
      <c r="S534" s="55"/>
      <c r="T534" s="55"/>
      <c r="U534" s="55"/>
    </row>
    <row r="535" spans="4:21" ht="13.5" customHeight="1">
      <c r="D535" s="53"/>
      <c r="E535" s="54"/>
      <c r="F535" s="54"/>
      <c r="G535" s="55"/>
      <c r="H535" s="55"/>
      <c r="I535" s="55"/>
      <c r="J535" s="55"/>
      <c r="K535" s="55"/>
      <c r="L535" s="55"/>
      <c r="M535" s="55"/>
      <c r="N535" s="55"/>
      <c r="O535" s="55"/>
      <c r="P535" s="55"/>
      <c r="Q535" s="55"/>
      <c r="R535" s="55"/>
      <c r="S535" s="55"/>
      <c r="T535" s="55"/>
      <c r="U535" s="55"/>
    </row>
    <row r="536" spans="4:21" ht="13.5" customHeight="1">
      <c r="D536" s="53"/>
      <c r="E536" s="54"/>
      <c r="F536" s="54"/>
      <c r="G536" s="55"/>
      <c r="H536" s="55"/>
      <c r="I536" s="55"/>
      <c r="J536" s="55"/>
      <c r="K536" s="55"/>
      <c r="L536" s="55"/>
      <c r="M536" s="55"/>
      <c r="N536" s="55"/>
      <c r="O536" s="55"/>
      <c r="P536" s="55"/>
      <c r="Q536" s="55"/>
      <c r="R536" s="55"/>
      <c r="S536" s="55"/>
      <c r="T536" s="55"/>
      <c r="U536" s="55"/>
    </row>
    <row r="537" spans="4:21" ht="13.5" customHeight="1">
      <c r="D537" s="53"/>
      <c r="E537" s="54"/>
      <c r="F537" s="54"/>
      <c r="G537" s="55"/>
      <c r="H537" s="55"/>
      <c r="I537" s="55"/>
      <c r="J537" s="55"/>
      <c r="K537" s="55"/>
      <c r="L537" s="55"/>
      <c r="M537" s="55"/>
      <c r="N537" s="55"/>
      <c r="O537" s="55"/>
      <c r="P537" s="55"/>
      <c r="Q537" s="55"/>
      <c r="R537" s="55"/>
      <c r="S537" s="55"/>
      <c r="T537" s="55"/>
      <c r="U537" s="55"/>
    </row>
    <row r="538" spans="4:21" ht="13.5" customHeight="1">
      <c r="D538" s="53"/>
      <c r="E538" s="54"/>
      <c r="F538" s="54"/>
      <c r="G538" s="55"/>
      <c r="H538" s="55"/>
      <c r="I538" s="55"/>
      <c r="J538" s="55"/>
      <c r="K538" s="55"/>
      <c r="L538" s="55"/>
      <c r="M538" s="55"/>
      <c r="N538" s="55"/>
      <c r="O538" s="55"/>
      <c r="P538" s="55"/>
      <c r="Q538" s="55"/>
      <c r="R538" s="55"/>
      <c r="S538" s="55"/>
      <c r="T538" s="55"/>
      <c r="U538" s="55"/>
    </row>
    <row r="539" spans="4:21" ht="13.5" customHeight="1">
      <c r="D539" s="53"/>
      <c r="E539" s="54"/>
      <c r="F539" s="54"/>
      <c r="G539" s="55"/>
      <c r="H539" s="55"/>
      <c r="I539" s="55"/>
      <c r="J539" s="55"/>
      <c r="K539" s="55"/>
      <c r="L539" s="55"/>
      <c r="M539" s="55"/>
      <c r="N539" s="55"/>
      <c r="O539" s="55"/>
      <c r="P539" s="55"/>
      <c r="Q539" s="55"/>
      <c r="R539" s="55"/>
      <c r="S539" s="55"/>
      <c r="T539" s="55"/>
      <c r="U539" s="55"/>
    </row>
    <row r="540" spans="4:21" ht="13.5" customHeight="1">
      <c r="D540" s="53"/>
      <c r="E540" s="54"/>
      <c r="F540" s="54"/>
      <c r="G540" s="55"/>
      <c r="H540" s="55"/>
      <c r="I540" s="55"/>
      <c r="J540" s="55"/>
      <c r="K540" s="55"/>
      <c r="L540" s="55"/>
      <c r="M540" s="55"/>
      <c r="N540" s="55"/>
      <c r="O540" s="55"/>
      <c r="P540" s="55"/>
      <c r="Q540" s="55"/>
      <c r="R540" s="55"/>
      <c r="S540" s="55"/>
      <c r="T540" s="55"/>
      <c r="U540" s="55"/>
    </row>
    <row r="541" spans="4:21" ht="13.5" customHeight="1">
      <c r="D541" s="53"/>
      <c r="E541" s="54"/>
      <c r="F541" s="54"/>
      <c r="G541" s="55"/>
      <c r="H541" s="55"/>
      <c r="I541" s="55"/>
      <c r="J541" s="55"/>
      <c r="K541" s="55"/>
      <c r="L541" s="55"/>
      <c r="M541" s="55"/>
      <c r="N541" s="55"/>
      <c r="O541" s="55"/>
      <c r="P541" s="55"/>
      <c r="Q541" s="55"/>
      <c r="R541" s="55"/>
      <c r="S541" s="55"/>
      <c r="T541" s="55"/>
      <c r="U541" s="55"/>
    </row>
    <row r="542" spans="4:21" ht="13.5" customHeight="1">
      <c r="D542" s="53"/>
      <c r="E542" s="54"/>
      <c r="F542" s="54"/>
      <c r="G542" s="55"/>
      <c r="H542" s="55"/>
      <c r="I542" s="55"/>
      <c r="J542" s="55"/>
      <c r="K542" s="55"/>
      <c r="L542" s="55"/>
      <c r="M542" s="55"/>
      <c r="N542" s="55"/>
      <c r="O542" s="55"/>
      <c r="P542" s="55"/>
      <c r="Q542" s="55"/>
      <c r="R542" s="55"/>
      <c r="S542" s="55"/>
      <c r="T542" s="55"/>
      <c r="U542" s="55"/>
    </row>
    <row r="543" spans="4:21" ht="13.5" customHeight="1">
      <c r="D543" s="53"/>
      <c r="E543" s="54"/>
      <c r="F543" s="54"/>
      <c r="G543" s="55"/>
      <c r="H543" s="55"/>
      <c r="I543" s="55"/>
      <c r="J543" s="55"/>
      <c r="K543" s="55"/>
      <c r="L543" s="55"/>
      <c r="M543" s="55"/>
      <c r="N543" s="55"/>
      <c r="O543" s="55"/>
      <c r="P543" s="55"/>
      <c r="Q543" s="55"/>
      <c r="R543" s="55"/>
      <c r="S543" s="55"/>
      <c r="T543" s="55"/>
      <c r="U543" s="55"/>
    </row>
    <row r="544" spans="4:21" ht="13.5" customHeight="1">
      <c r="D544" s="53"/>
      <c r="E544" s="54"/>
      <c r="F544" s="54"/>
      <c r="G544" s="55"/>
      <c r="H544" s="55"/>
      <c r="I544" s="55"/>
      <c r="J544" s="55"/>
      <c r="K544" s="55"/>
      <c r="L544" s="55"/>
      <c r="M544" s="55"/>
      <c r="N544" s="55"/>
      <c r="O544" s="55"/>
      <c r="P544" s="55"/>
      <c r="Q544" s="55"/>
      <c r="R544" s="55"/>
      <c r="S544" s="55"/>
      <c r="T544" s="55"/>
      <c r="U544" s="55"/>
    </row>
    <row r="545" spans="4:21" ht="13.5" customHeight="1">
      <c r="D545" s="53"/>
      <c r="E545" s="54"/>
      <c r="F545" s="54"/>
      <c r="G545" s="55"/>
      <c r="H545" s="55"/>
      <c r="I545" s="55"/>
      <c r="J545" s="55"/>
      <c r="K545" s="55"/>
      <c r="L545" s="55"/>
      <c r="M545" s="55"/>
      <c r="N545" s="55"/>
      <c r="O545" s="55"/>
      <c r="P545" s="55"/>
      <c r="Q545" s="55"/>
      <c r="R545" s="55"/>
      <c r="S545" s="55"/>
      <c r="T545" s="55"/>
      <c r="U545" s="55"/>
    </row>
    <row r="546" spans="4:21" ht="13.5" customHeight="1">
      <c r="D546" s="53"/>
      <c r="E546" s="54"/>
      <c r="F546" s="54"/>
      <c r="G546" s="55"/>
      <c r="H546" s="55"/>
      <c r="I546" s="55"/>
      <c r="J546" s="55"/>
      <c r="K546" s="55"/>
      <c r="L546" s="55"/>
      <c r="M546" s="55"/>
      <c r="N546" s="55"/>
      <c r="O546" s="55"/>
      <c r="P546" s="55"/>
      <c r="Q546" s="55"/>
      <c r="R546" s="55"/>
      <c r="S546" s="55"/>
      <c r="T546" s="55"/>
      <c r="U546" s="55"/>
    </row>
    <row r="547" spans="4:21" ht="13.5" customHeight="1">
      <c r="D547" s="53"/>
      <c r="E547" s="54"/>
      <c r="F547" s="54"/>
      <c r="G547" s="55"/>
      <c r="H547" s="55"/>
      <c r="I547" s="55"/>
      <c r="J547" s="55"/>
      <c r="K547" s="55"/>
      <c r="L547" s="55"/>
      <c r="M547" s="55"/>
      <c r="N547" s="55"/>
      <c r="O547" s="55"/>
      <c r="P547" s="55"/>
      <c r="Q547" s="55"/>
      <c r="R547" s="55"/>
      <c r="S547" s="55"/>
      <c r="T547" s="55"/>
      <c r="U547" s="55"/>
    </row>
    <row r="548" spans="4:21" ht="13.5" customHeight="1">
      <c r="D548" s="53"/>
      <c r="E548" s="54"/>
      <c r="F548" s="54"/>
      <c r="G548" s="55"/>
      <c r="H548" s="55"/>
      <c r="I548" s="55"/>
      <c r="J548" s="55"/>
      <c r="K548" s="55"/>
      <c r="L548" s="55"/>
      <c r="M548" s="55"/>
      <c r="N548" s="55"/>
      <c r="O548" s="55"/>
      <c r="P548" s="55"/>
      <c r="Q548" s="55"/>
      <c r="R548" s="55"/>
      <c r="S548" s="55"/>
      <c r="T548" s="55"/>
      <c r="U548" s="55"/>
    </row>
    <row r="549" spans="4:21" ht="13.5" customHeight="1">
      <c r="D549" s="53"/>
      <c r="E549" s="54"/>
      <c r="F549" s="54"/>
      <c r="G549" s="55"/>
      <c r="H549" s="55"/>
      <c r="I549" s="55"/>
      <c r="J549" s="55"/>
      <c r="K549" s="55"/>
      <c r="L549" s="55"/>
      <c r="M549" s="55"/>
      <c r="N549" s="55"/>
      <c r="O549" s="55"/>
      <c r="P549" s="55"/>
      <c r="Q549" s="55"/>
      <c r="R549" s="55"/>
      <c r="S549" s="55"/>
      <c r="T549" s="55"/>
      <c r="U549" s="55"/>
    </row>
    <row r="550" spans="4:21" ht="13.5" customHeight="1">
      <c r="D550" s="53"/>
      <c r="E550" s="54"/>
      <c r="F550" s="54"/>
      <c r="G550" s="55"/>
      <c r="H550" s="55"/>
      <c r="I550" s="55"/>
      <c r="J550" s="55"/>
      <c r="K550" s="55"/>
      <c r="L550" s="55"/>
      <c r="M550" s="55"/>
      <c r="N550" s="55"/>
      <c r="O550" s="55"/>
      <c r="P550" s="55"/>
      <c r="Q550" s="55"/>
      <c r="R550" s="55"/>
      <c r="S550" s="55"/>
      <c r="T550" s="55"/>
      <c r="U550" s="55"/>
    </row>
    <row r="551" spans="4:21" ht="13.5" customHeight="1">
      <c r="D551" s="53"/>
      <c r="E551" s="54"/>
      <c r="F551" s="54"/>
      <c r="G551" s="55"/>
      <c r="H551" s="55"/>
      <c r="I551" s="55"/>
      <c r="J551" s="55"/>
      <c r="K551" s="55"/>
      <c r="L551" s="55"/>
      <c r="M551" s="55"/>
      <c r="N551" s="55"/>
      <c r="O551" s="55"/>
      <c r="P551" s="55"/>
      <c r="Q551" s="55"/>
      <c r="R551" s="55"/>
      <c r="S551" s="55"/>
      <c r="T551" s="55"/>
      <c r="U551" s="55"/>
    </row>
    <row r="552" spans="4:21" ht="13.5" customHeight="1">
      <c r="D552" s="53"/>
      <c r="E552" s="54"/>
      <c r="F552" s="54"/>
      <c r="G552" s="55"/>
      <c r="H552" s="55"/>
      <c r="I552" s="55"/>
      <c r="J552" s="55"/>
      <c r="K552" s="55"/>
      <c r="L552" s="55"/>
      <c r="M552" s="55"/>
      <c r="N552" s="55"/>
      <c r="O552" s="55"/>
      <c r="P552" s="55"/>
      <c r="Q552" s="55"/>
      <c r="R552" s="55"/>
      <c r="S552" s="55"/>
      <c r="T552" s="55"/>
      <c r="U552" s="55"/>
    </row>
    <row r="553" spans="4:21" ht="13.5" customHeight="1">
      <c r="D553" s="53"/>
      <c r="E553" s="54"/>
      <c r="F553" s="54"/>
      <c r="G553" s="55"/>
      <c r="H553" s="55"/>
      <c r="I553" s="55"/>
      <c r="J553" s="55"/>
      <c r="K553" s="55"/>
      <c r="L553" s="55"/>
      <c r="M553" s="55"/>
      <c r="N553" s="55"/>
      <c r="O553" s="55"/>
      <c r="P553" s="55"/>
      <c r="Q553" s="55"/>
      <c r="R553" s="55"/>
      <c r="S553" s="55"/>
      <c r="T553" s="55"/>
      <c r="U553" s="55"/>
    </row>
    <row r="554" spans="4:21" ht="13.5" customHeight="1">
      <c r="D554" s="53"/>
      <c r="E554" s="54"/>
      <c r="F554" s="54"/>
      <c r="G554" s="55"/>
      <c r="H554" s="55"/>
      <c r="I554" s="55"/>
      <c r="J554" s="55"/>
      <c r="K554" s="55"/>
      <c r="L554" s="55"/>
      <c r="M554" s="55"/>
      <c r="N554" s="55"/>
      <c r="O554" s="55"/>
      <c r="P554" s="55"/>
      <c r="Q554" s="55"/>
      <c r="R554" s="55"/>
      <c r="S554" s="55"/>
      <c r="T554" s="55"/>
      <c r="U554" s="55"/>
    </row>
    <row r="555" spans="4:21" ht="13.5" customHeight="1">
      <c r="D555" s="53"/>
      <c r="E555" s="54"/>
      <c r="F555" s="54"/>
      <c r="G555" s="55"/>
      <c r="H555" s="55"/>
      <c r="I555" s="55"/>
      <c r="J555" s="55"/>
      <c r="K555" s="55"/>
      <c r="L555" s="55"/>
      <c r="M555" s="55"/>
      <c r="N555" s="55"/>
      <c r="O555" s="55"/>
      <c r="P555" s="55"/>
      <c r="Q555" s="55"/>
      <c r="R555" s="55"/>
      <c r="S555" s="55"/>
      <c r="T555" s="55"/>
      <c r="U555" s="55"/>
    </row>
    <row r="556" spans="4:21" ht="13.5" customHeight="1">
      <c r="D556" s="53"/>
      <c r="E556" s="54"/>
      <c r="F556" s="54"/>
      <c r="G556" s="55"/>
      <c r="H556" s="55"/>
      <c r="I556" s="55"/>
      <c r="J556" s="55"/>
      <c r="K556" s="55"/>
      <c r="L556" s="55"/>
      <c r="M556" s="55"/>
      <c r="N556" s="55"/>
      <c r="O556" s="55"/>
      <c r="P556" s="55"/>
      <c r="Q556" s="55"/>
      <c r="R556" s="55"/>
      <c r="S556" s="55"/>
      <c r="T556" s="55"/>
      <c r="U556" s="55"/>
    </row>
    <row r="557" spans="4:21" ht="13.5" customHeight="1">
      <c r="D557" s="53"/>
      <c r="E557" s="54"/>
      <c r="F557" s="54"/>
      <c r="G557" s="55"/>
      <c r="H557" s="55"/>
      <c r="I557" s="55"/>
      <c r="J557" s="55"/>
      <c r="K557" s="55"/>
      <c r="L557" s="55"/>
      <c r="M557" s="55"/>
      <c r="N557" s="55"/>
      <c r="O557" s="55"/>
      <c r="P557" s="55"/>
      <c r="Q557" s="55"/>
      <c r="R557" s="55"/>
      <c r="S557" s="55"/>
      <c r="T557" s="55"/>
      <c r="U557" s="55"/>
    </row>
    <row r="558" spans="4:21" ht="13.5" customHeight="1">
      <c r="D558" s="53"/>
      <c r="E558" s="54"/>
      <c r="F558" s="54"/>
      <c r="G558" s="55"/>
      <c r="H558" s="55"/>
      <c r="I558" s="55"/>
      <c r="J558" s="55"/>
      <c r="K558" s="55"/>
      <c r="L558" s="55"/>
      <c r="M558" s="55"/>
      <c r="N558" s="55"/>
      <c r="O558" s="55"/>
      <c r="P558" s="55"/>
      <c r="Q558" s="55"/>
      <c r="R558" s="55"/>
      <c r="S558" s="55"/>
      <c r="T558" s="55"/>
      <c r="U558" s="55"/>
    </row>
    <row r="559" spans="4:21" ht="13.5" customHeight="1">
      <c r="D559" s="53"/>
      <c r="E559" s="54"/>
      <c r="F559" s="54"/>
      <c r="G559" s="55"/>
      <c r="H559" s="55"/>
      <c r="I559" s="55"/>
      <c r="J559" s="55"/>
      <c r="K559" s="55"/>
      <c r="L559" s="55"/>
      <c r="M559" s="55"/>
      <c r="N559" s="55"/>
      <c r="O559" s="55"/>
      <c r="P559" s="55"/>
      <c r="Q559" s="55"/>
      <c r="R559" s="55"/>
      <c r="S559" s="55"/>
      <c r="T559" s="55"/>
      <c r="U559" s="55"/>
    </row>
    <row r="560" spans="4:21" ht="13.5" customHeight="1">
      <c r="D560" s="53"/>
      <c r="E560" s="54"/>
      <c r="F560" s="54"/>
      <c r="G560" s="55"/>
      <c r="H560" s="55"/>
      <c r="I560" s="55"/>
      <c r="J560" s="55"/>
      <c r="K560" s="55"/>
      <c r="L560" s="55"/>
      <c r="M560" s="55"/>
      <c r="N560" s="55"/>
      <c r="O560" s="55"/>
      <c r="P560" s="55"/>
      <c r="Q560" s="55"/>
      <c r="R560" s="55"/>
      <c r="S560" s="55"/>
      <c r="T560" s="55"/>
      <c r="U560" s="55"/>
    </row>
    <row r="561" spans="4:21" ht="13.5" customHeight="1">
      <c r="D561" s="53"/>
      <c r="E561" s="54"/>
      <c r="F561" s="54"/>
      <c r="G561" s="55"/>
      <c r="H561" s="55"/>
      <c r="I561" s="55"/>
      <c r="J561" s="55"/>
      <c r="K561" s="55"/>
      <c r="L561" s="55"/>
      <c r="M561" s="55"/>
      <c r="N561" s="55"/>
      <c r="O561" s="55"/>
      <c r="P561" s="55"/>
      <c r="Q561" s="55"/>
      <c r="R561" s="55"/>
      <c r="S561" s="55"/>
      <c r="T561" s="55"/>
      <c r="U561" s="55"/>
    </row>
    <row r="562" spans="4:21" ht="13.5" customHeight="1">
      <c r="D562" s="53"/>
      <c r="E562" s="54"/>
      <c r="F562" s="54"/>
      <c r="G562" s="55"/>
      <c r="H562" s="55"/>
      <c r="I562" s="55"/>
      <c r="J562" s="55"/>
      <c r="K562" s="55"/>
      <c r="L562" s="55"/>
      <c r="M562" s="55"/>
      <c r="N562" s="55"/>
      <c r="O562" s="55"/>
      <c r="P562" s="55"/>
      <c r="Q562" s="55"/>
      <c r="R562" s="55"/>
      <c r="S562" s="55"/>
      <c r="T562" s="55"/>
      <c r="U562" s="55"/>
    </row>
    <row r="563" spans="4:21" ht="13.5" customHeight="1">
      <c r="D563" s="53"/>
      <c r="E563" s="54"/>
      <c r="F563" s="54"/>
      <c r="G563" s="55"/>
      <c r="H563" s="55"/>
      <c r="I563" s="55"/>
      <c r="J563" s="55"/>
      <c r="K563" s="55"/>
      <c r="L563" s="55"/>
      <c r="M563" s="55"/>
      <c r="N563" s="55"/>
      <c r="O563" s="55"/>
      <c r="P563" s="55"/>
      <c r="Q563" s="55"/>
      <c r="R563" s="55"/>
      <c r="S563" s="55"/>
      <c r="T563" s="55"/>
      <c r="U563" s="55"/>
    </row>
    <row r="564" spans="4:21" ht="13.5" customHeight="1">
      <c r="D564" s="53"/>
      <c r="E564" s="54"/>
      <c r="F564" s="54"/>
      <c r="G564" s="55"/>
      <c r="H564" s="55"/>
      <c r="I564" s="55"/>
      <c r="J564" s="55"/>
      <c r="K564" s="55"/>
      <c r="L564" s="55"/>
      <c r="M564" s="55"/>
      <c r="N564" s="55"/>
      <c r="O564" s="55"/>
      <c r="P564" s="55"/>
      <c r="Q564" s="55"/>
      <c r="R564" s="55"/>
      <c r="S564" s="55"/>
      <c r="T564" s="55"/>
      <c r="U564" s="55"/>
    </row>
    <row r="565" spans="4:21" ht="13.5" customHeight="1">
      <c r="D565" s="53"/>
      <c r="E565" s="54"/>
      <c r="F565" s="54"/>
      <c r="G565" s="55"/>
      <c r="H565" s="55"/>
      <c r="I565" s="55"/>
      <c r="J565" s="55"/>
      <c r="K565" s="55"/>
      <c r="L565" s="55"/>
      <c r="M565" s="55"/>
      <c r="N565" s="55"/>
      <c r="O565" s="55"/>
      <c r="P565" s="55"/>
      <c r="Q565" s="55"/>
      <c r="R565" s="55"/>
      <c r="S565" s="55"/>
      <c r="T565" s="55"/>
      <c r="U565" s="55"/>
    </row>
    <row r="566" spans="4:21" ht="13.5" customHeight="1">
      <c r="D566" s="53"/>
      <c r="E566" s="54"/>
      <c r="F566" s="54"/>
      <c r="G566" s="55"/>
      <c r="H566" s="55"/>
      <c r="I566" s="55"/>
      <c r="J566" s="55"/>
      <c r="K566" s="55"/>
      <c r="L566" s="55"/>
      <c r="M566" s="55"/>
      <c r="N566" s="55"/>
      <c r="O566" s="55"/>
      <c r="P566" s="55"/>
      <c r="Q566" s="55"/>
      <c r="R566" s="55"/>
      <c r="S566" s="55"/>
      <c r="T566" s="55"/>
      <c r="U566" s="55"/>
    </row>
    <row r="567" spans="4:21" ht="13.5" customHeight="1">
      <c r="D567" s="53"/>
      <c r="E567" s="54"/>
      <c r="F567" s="54"/>
      <c r="G567" s="55"/>
      <c r="H567" s="55"/>
      <c r="I567" s="55"/>
      <c r="J567" s="55"/>
      <c r="K567" s="55"/>
      <c r="L567" s="55"/>
      <c r="M567" s="55"/>
      <c r="N567" s="55"/>
      <c r="O567" s="55"/>
      <c r="P567" s="55"/>
      <c r="Q567" s="55"/>
      <c r="R567" s="55"/>
      <c r="S567" s="55"/>
      <c r="T567" s="55"/>
      <c r="U567" s="55"/>
    </row>
    <row r="568" spans="4:21" ht="13.5" customHeight="1">
      <c r="D568" s="53"/>
      <c r="E568" s="54"/>
      <c r="F568" s="54"/>
      <c r="G568" s="55"/>
      <c r="H568" s="55"/>
      <c r="I568" s="55"/>
      <c r="J568" s="55"/>
      <c r="K568" s="55"/>
      <c r="L568" s="55"/>
      <c r="M568" s="55"/>
      <c r="N568" s="55"/>
      <c r="O568" s="55"/>
      <c r="P568" s="55"/>
      <c r="Q568" s="55"/>
      <c r="R568" s="55"/>
      <c r="S568" s="55"/>
      <c r="T568" s="55"/>
      <c r="U568" s="55"/>
    </row>
    <row r="569" spans="4:21" ht="13.5" customHeight="1">
      <c r="D569" s="53"/>
      <c r="E569" s="54"/>
      <c r="F569" s="54"/>
      <c r="G569" s="55"/>
      <c r="H569" s="55"/>
      <c r="I569" s="55"/>
      <c r="J569" s="55"/>
      <c r="K569" s="55"/>
      <c r="L569" s="55"/>
      <c r="M569" s="55"/>
      <c r="N569" s="55"/>
      <c r="O569" s="55"/>
      <c r="P569" s="55"/>
      <c r="Q569" s="55"/>
      <c r="R569" s="55"/>
      <c r="S569" s="55"/>
      <c r="T569" s="55"/>
      <c r="U569" s="55"/>
    </row>
    <row r="570" spans="4:21" ht="13.5" customHeight="1">
      <c r="D570" s="53"/>
      <c r="E570" s="54"/>
      <c r="F570" s="54"/>
      <c r="G570" s="55"/>
      <c r="H570" s="55"/>
      <c r="I570" s="55"/>
      <c r="J570" s="55"/>
      <c r="K570" s="55"/>
      <c r="L570" s="55"/>
      <c r="M570" s="55"/>
      <c r="N570" s="55"/>
      <c r="O570" s="55"/>
      <c r="P570" s="55"/>
      <c r="Q570" s="55"/>
      <c r="R570" s="55"/>
      <c r="S570" s="55"/>
      <c r="T570" s="55"/>
      <c r="U570" s="55"/>
    </row>
    <row r="571" spans="4:21" ht="13.5" customHeight="1">
      <c r="D571" s="53"/>
      <c r="E571" s="54"/>
      <c r="F571" s="54"/>
      <c r="G571" s="55"/>
      <c r="H571" s="55"/>
      <c r="I571" s="55"/>
      <c r="J571" s="55"/>
      <c r="K571" s="55"/>
      <c r="L571" s="55"/>
      <c r="M571" s="55"/>
      <c r="N571" s="55"/>
      <c r="O571" s="55"/>
      <c r="P571" s="55"/>
      <c r="Q571" s="55"/>
      <c r="R571" s="55"/>
      <c r="S571" s="55"/>
      <c r="T571" s="55"/>
      <c r="U571" s="55"/>
    </row>
    <row r="572" spans="4:21" ht="13.5" customHeight="1">
      <c r="D572" s="53"/>
      <c r="E572" s="54"/>
      <c r="F572" s="54"/>
      <c r="G572" s="55"/>
      <c r="H572" s="55"/>
      <c r="I572" s="55"/>
      <c r="J572" s="55"/>
      <c r="K572" s="55"/>
      <c r="L572" s="55"/>
      <c r="M572" s="55"/>
      <c r="N572" s="55"/>
      <c r="O572" s="55"/>
      <c r="P572" s="55"/>
      <c r="Q572" s="55"/>
      <c r="R572" s="55"/>
      <c r="S572" s="55"/>
      <c r="T572" s="55"/>
      <c r="U572" s="55"/>
    </row>
    <row r="573" spans="4:21" ht="13.5" customHeight="1">
      <c r="D573" s="53"/>
      <c r="E573" s="54"/>
      <c r="F573" s="54"/>
      <c r="G573" s="55"/>
      <c r="H573" s="55"/>
      <c r="I573" s="55"/>
      <c r="J573" s="55"/>
      <c r="K573" s="55"/>
      <c r="L573" s="55"/>
      <c r="M573" s="55"/>
      <c r="N573" s="55"/>
      <c r="O573" s="55"/>
      <c r="P573" s="55"/>
      <c r="Q573" s="55"/>
      <c r="R573" s="55"/>
      <c r="S573" s="55"/>
      <c r="T573" s="55"/>
      <c r="U573" s="55"/>
    </row>
    <row r="574" spans="4:21" ht="13.5" customHeight="1">
      <c r="D574" s="53"/>
      <c r="E574" s="54"/>
      <c r="F574" s="54"/>
      <c r="G574" s="55"/>
      <c r="H574" s="55"/>
      <c r="I574" s="55"/>
      <c r="J574" s="55"/>
      <c r="K574" s="55"/>
      <c r="L574" s="55"/>
      <c r="M574" s="55"/>
      <c r="N574" s="55"/>
      <c r="O574" s="55"/>
      <c r="P574" s="55"/>
      <c r="Q574" s="55"/>
      <c r="R574" s="55"/>
      <c r="S574" s="55"/>
      <c r="T574" s="55"/>
      <c r="U574" s="55"/>
    </row>
    <row r="575" spans="4:21" ht="13.5" customHeight="1">
      <c r="D575" s="53"/>
      <c r="E575" s="54"/>
      <c r="F575" s="54"/>
      <c r="G575" s="55"/>
      <c r="H575" s="55"/>
      <c r="I575" s="55"/>
      <c r="J575" s="55"/>
      <c r="K575" s="55"/>
      <c r="L575" s="55"/>
      <c r="M575" s="55"/>
      <c r="N575" s="55"/>
      <c r="O575" s="55"/>
      <c r="P575" s="55"/>
      <c r="Q575" s="55"/>
      <c r="R575" s="55"/>
      <c r="S575" s="55"/>
      <c r="T575" s="55"/>
      <c r="U575" s="55"/>
    </row>
    <row r="576" spans="4:21" ht="13.5" customHeight="1">
      <c r="D576" s="53"/>
      <c r="E576" s="54"/>
      <c r="F576" s="54"/>
      <c r="G576" s="55"/>
      <c r="H576" s="55"/>
      <c r="I576" s="55"/>
      <c r="J576" s="55"/>
      <c r="K576" s="55"/>
      <c r="L576" s="55"/>
      <c r="M576" s="55"/>
      <c r="N576" s="55"/>
      <c r="O576" s="55"/>
      <c r="P576" s="55"/>
      <c r="Q576" s="55"/>
      <c r="R576" s="55"/>
      <c r="S576" s="55"/>
      <c r="T576" s="55"/>
      <c r="U576" s="55"/>
    </row>
    <row r="577" spans="4:21" ht="13.5" customHeight="1">
      <c r="D577" s="53"/>
      <c r="E577" s="54"/>
      <c r="F577" s="54"/>
      <c r="G577" s="55"/>
      <c r="H577" s="55"/>
      <c r="I577" s="55"/>
      <c r="J577" s="55"/>
      <c r="K577" s="55"/>
      <c r="L577" s="55"/>
      <c r="M577" s="55"/>
      <c r="N577" s="55"/>
      <c r="O577" s="55"/>
      <c r="P577" s="55"/>
      <c r="Q577" s="55"/>
      <c r="R577" s="55"/>
      <c r="S577" s="55"/>
      <c r="T577" s="55"/>
      <c r="U577" s="55"/>
    </row>
    <row r="578" spans="4:21" ht="13.5" customHeight="1">
      <c r="D578" s="53"/>
      <c r="E578" s="54"/>
      <c r="F578" s="54"/>
      <c r="G578" s="55"/>
      <c r="H578" s="55"/>
      <c r="I578" s="55"/>
      <c r="J578" s="55"/>
      <c r="K578" s="55"/>
      <c r="L578" s="55"/>
      <c r="M578" s="55"/>
      <c r="N578" s="55"/>
      <c r="O578" s="55"/>
      <c r="P578" s="55"/>
      <c r="Q578" s="55"/>
      <c r="R578" s="55"/>
      <c r="S578" s="55"/>
      <c r="T578" s="55"/>
      <c r="U578" s="55"/>
    </row>
    <row r="579" spans="4:21" ht="13.5" customHeight="1">
      <c r="D579" s="53"/>
      <c r="E579" s="54"/>
      <c r="F579" s="54"/>
      <c r="G579" s="55"/>
      <c r="H579" s="55"/>
      <c r="I579" s="55"/>
      <c r="J579" s="55"/>
      <c r="K579" s="55"/>
      <c r="L579" s="55"/>
      <c r="M579" s="55"/>
      <c r="N579" s="55"/>
      <c r="O579" s="55"/>
      <c r="P579" s="55"/>
      <c r="Q579" s="55"/>
      <c r="R579" s="55"/>
      <c r="S579" s="55"/>
      <c r="T579" s="55"/>
      <c r="U579" s="55"/>
    </row>
    <row r="580" spans="4:21" ht="13.5" customHeight="1">
      <c r="D580" s="53"/>
      <c r="E580" s="54"/>
      <c r="F580" s="54"/>
      <c r="G580" s="55"/>
      <c r="H580" s="55"/>
      <c r="I580" s="55"/>
      <c r="J580" s="55"/>
      <c r="K580" s="55"/>
      <c r="L580" s="55"/>
      <c r="M580" s="55"/>
      <c r="N580" s="55"/>
      <c r="O580" s="55"/>
      <c r="P580" s="55"/>
      <c r="Q580" s="55"/>
      <c r="R580" s="55"/>
      <c r="S580" s="55"/>
      <c r="T580" s="55"/>
      <c r="U580" s="55"/>
    </row>
    <row r="581" spans="4:21" ht="13.5" customHeight="1">
      <c r="D581" s="53"/>
      <c r="E581" s="54"/>
      <c r="F581" s="54"/>
      <c r="G581" s="55"/>
      <c r="H581" s="55"/>
      <c r="I581" s="55"/>
      <c r="J581" s="55"/>
      <c r="K581" s="55"/>
      <c r="L581" s="55"/>
      <c r="M581" s="55"/>
      <c r="N581" s="55"/>
      <c r="O581" s="55"/>
      <c r="P581" s="55"/>
      <c r="Q581" s="55"/>
      <c r="R581" s="55"/>
      <c r="S581" s="55"/>
      <c r="T581" s="55"/>
      <c r="U581" s="55"/>
    </row>
    <row r="582" spans="4:21" ht="13.5" customHeight="1">
      <c r="D582" s="53"/>
      <c r="E582" s="54"/>
      <c r="F582" s="54"/>
      <c r="G582" s="55"/>
      <c r="H582" s="55"/>
      <c r="I582" s="55"/>
      <c r="J582" s="55"/>
      <c r="K582" s="55"/>
      <c r="L582" s="55"/>
      <c r="M582" s="55"/>
      <c r="N582" s="55"/>
      <c r="O582" s="55"/>
      <c r="P582" s="55"/>
      <c r="Q582" s="55"/>
      <c r="R582" s="55"/>
      <c r="S582" s="55"/>
      <c r="T582" s="55"/>
      <c r="U582" s="55"/>
    </row>
    <row r="583" spans="4:21" ht="13.5" customHeight="1">
      <c r="D583" s="53"/>
      <c r="E583" s="54"/>
      <c r="F583" s="54"/>
      <c r="G583" s="55"/>
      <c r="H583" s="55"/>
      <c r="I583" s="55"/>
      <c r="J583" s="55"/>
      <c r="K583" s="55"/>
      <c r="L583" s="55"/>
      <c r="M583" s="55"/>
      <c r="N583" s="55"/>
      <c r="O583" s="55"/>
      <c r="P583" s="55"/>
      <c r="Q583" s="55"/>
      <c r="R583" s="55"/>
      <c r="S583" s="55"/>
      <c r="T583" s="55"/>
      <c r="U583" s="55"/>
    </row>
    <row r="584" spans="4:21" ht="13.5" customHeight="1">
      <c r="D584" s="53"/>
      <c r="E584" s="54"/>
      <c r="F584" s="54"/>
      <c r="G584" s="55"/>
      <c r="H584" s="55"/>
      <c r="I584" s="55"/>
      <c r="J584" s="55"/>
      <c r="K584" s="55"/>
      <c r="L584" s="55"/>
      <c r="M584" s="55"/>
      <c r="N584" s="55"/>
      <c r="O584" s="55"/>
      <c r="P584" s="55"/>
      <c r="Q584" s="55"/>
      <c r="R584" s="55"/>
      <c r="S584" s="55"/>
      <c r="T584" s="55"/>
      <c r="U584" s="55"/>
    </row>
    <row r="585" spans="4:21" ht="13.5" customHeight="1">
      <c r="D585" s="53"/>
      <c r="E585" s="54"/>
      <c r="F585" s="54"/>
      <c r="G585" s="55"/>
      <c r="H585" s="55"/>
      <c r="I585" s="55"/>
      <c r="J585" s="55"/>
      <c r="K585" s="55"/>
      <c r="L585" s="55"/>
      <c r="M585" s="55"/>
      <c r="N585" s="55"/>
      <c r="O585" s="55"/>
      <c r="P585" s="55"/>
      <c r="Q585" s="55"/>
      <c r="R585" s="55"/>
      <c r="S585" s="55"/>
      <c r="T585" s="55"/>
      <c r="U585" s="55"/>
    </row>
    <row r="586" spans="4:21" ht="13.5" customHeight="1">
      <c r="D586" s="53"/>
      <c r="E586" s="54"/>
      <c r="F586" s="54"/>
      <c r="G586" s="55"/>
      <c r="H586" s="55"/>
      <c r="I586" s="55"/>
      <c r="J586" s="55"/>
      <c r="K586" s="55"/>
      <c r="L586" s="55"/>
      <c r="M586" s="55"/>
      <c r="N586" s="55"/>
      <c r="O586" s="55"/>
      <c r="P586" s="55"/>
      <c r="Q586" s="55"/>
      <c r="R586" s="55"/>
      <c r="S586" s="55"/>
      <c r="T586" s="55"/>
      <c r="U586" s="55"/>
    </row>
    <row r="587" spans="4:21" ht="13.5" customHeight="1">
      <c r="D587" s="53"/>
      <c r="E587" s="54"/>
      <c r="F587" s="54"/>
      <c r="G587" s="55"/>
      <c r="H587" s="55"/>
      <c r="I587" s="55"/>
      <c r="J587" s="55"/>
      <c r="K587" s="55"/>
      <c r="L587" s="55"/>
      <c r="M587" s="55"/>
      <c r="N587" s="55"/>
      <c r="O587" s="55"/>
      <c r="P587" s="55"/>
      <c r="Q587" s="55"/>
      <c r="R587" s="55"/>
      <c r="S587" s="55"/>
      <c r="T587" s="55"/>
      <c r="U587" s="55"/>
    </row>
    <row r="588" spans="4:21" ht="13.5" customHeight="1">
      <c r="D588" s="53"/>
      <c r="E588" s="54"/>
      <c r="F588" s="54"/>
      <c r="G588" s="55"/>
      <c r="H588" s="55"/>
      <c r="I588" s="55"/>
      <c r="J588" s="55"/>
      <c r="K588" s="55"/>
      <c r="L588" s="55"/>
      <c r="M588" s="55"/>
      <c r="N588" s="55"/>
      <c r="O588" s="55"/>
      <c r="P588" s="55"/>
      <c r="Q588" s="55"/>
      <c r="R588" s="55"/>
      <c r="S588" s="55"/>
      <c r="T588" s="55"/>
      <c r="U588" s="55"/>
    </row>
    <row r="589" spans="4:21" ht="13.5" customHeight="1">
      <c r="D589" s="53"/>
      <c r="E589" s="54"/>
      <c r="F589" s="54"/>
      <c r="G589" s="55"/>
      <c r="H589" s="55"/>
      <c r="I589" s="55"/>
      <c r="J589" s="55"/>
      <c r="K589" s="55"/>
      <c r="L589" s="55"/>
      <c r="M589" s="55"/>
      <c r="N589" s="55"/>
      <c r="O589" s="55"/>
      <c r="P589" s="55"/>
      <c r="Q589" s="55"/>
      <c r="R589" s="55"/>
      <c r="S589" s="55"/>
      <c r="T589" s="55"/>
      <c r="U589" s="55"/>
    </row>
    <row r="590" spans="4:21" ht="13.5" customHeight="1">
      <c r="D590" s="53"/>
      <c r="E590" s="54"/>
      <c r="F590" s="54"/>
      <c r="G590" s="55"/>
      <c r="H590" s="55"/>
      <c r="I590" s="55"/>
      <c r="J590" s="55"/>
      <c r="K590" s="55"/>
      <c r="L590" s="55"/>
      <c r="M590" s="55"/>
      <c r="N590" s="55"/>
      <c r="O590" s="55"/>
      <c r="P590" s="55"/>
      <c r="Q590" s="55"/>
      <c r="R590" s="55"/>
      <c r="S590" s="55"/>
      <c r="T590" s="55"/>
      <c r="U590" s="55"/>
    </row>
    <row r="591" spans="4:21" ht="13.5" customHeight="1">
      <c r="D591" s="53"/>
      <c r="E591" s="54"/>
      <c r="F591" s="54"/>
      <c r="G591" s="55"/>
      <c r="H591" s="55"/>
      <c r="I591" s="55"/>
      <c r="J591" s="55"/>
      <c r="K591" s="55"/>
      <c r="L591" s="55"/>
      <c r="M591" s="55"/>
      <c r="N591" s="55"/>
      <c r="O591" s="55"/>
      <c r="P591" s="55"/>
      <c r="Q591" s="55"/>
      <c r="R591" s="55"/>
      <c r="S591" s="55"/>
      <c r="T591" s="55"/>
      <c r="U591" s="55"/>
    </row>
    <row r="592" spans="4:21" ht="13.5" customHeight="1">
      <c r="D592" s="53"/>
      <c r="E592" s="54"/>
      <c r="F592" s="54"/>
      <c r="G592" s="55"/>
      <c r="H592" s="55"/>
      <c r="I592" s="55"/>
      <c r="J592" s="55"/>
      <c r="K592" s="55"/>
      <c r="L592" s="55"/>
      <c r="M592" s="55"/>
      <c r="N592" s="55"/>
      <c r="O592" s="55"/>
      <c r="P592" s="55"/>
      <c r="Q592" s="55"/>
      <c r="R592" s="55"/>
      <c r="S592" s="55"/>
      <c r="T592" s="55"/>
      <c r="U592" s="55"/>
    </row>
    <row r="593" spans="4:21" ht="13.5" customHeight="1">
      <c r="D593" s="53"/>
      <c r="E593" s="54"/>
      <c r="F593" s="54"/>
      <c r="G593" s="55"/>
      <c r="H593" s="55"/>
      <c r="I593" s="55"/>
      <c r="J593" s="55"/>
      <c r="K593" s="55"/>
      <c r="L593" s="55"/>
      <c r="M593" s="55"/>
      <c r="N593" s="55"/>
      <c r="O593" s="55"/>
      <c r="P593" s="55"/>
      <c r="Q593" s="55"/>
      <c r="R593" s="55"/>
      <c r="S593" s="55"/>
      <c r="T593" s="55"/>
      <c r="U593" s="55"/>
    </row>
    <row r="594" spans="4:21" ht="13.5" customHeight="1">
      <c r="D594" s="53"/>
      <c r="E594" s="54"/>
      <c r="F594" s="54"/>
      <c r="G594" s="55"/>
      <c r="H594" s="55"/>
      <c r="I594" s="55"/>
      <c r="J594" s="55"/>
      <c r="K594" s="55"/>
      <c r="L594" s="55"/>
      <c r="M594" s="55"/>
      <c r="N594" s="55"/>
      <c r="O594" s="55"/>
      <c r="P594" s="55"/>
      <c r="Q594" s="55"/>
      <c r="R594" s="55"/>
      <c r="S594" s="55"/>
      <c r="T594" s="55"/>
      <c r="U594" s="55"/>
    </row>
    <row r="595" spans="4:21" ht="13.5" customHeight="1">
      <c r="D595" s="53"/>
      <c r="E595" s="54"/>
      <c r="F595" s="54"/>
      <c r="G595" s="55"/>
      <c r="H595" s="55"/>
      <c r="I595" s="55"/>
      <c r="J595" s="55"/>
      <c r="K595" s="55"/>
      <c r="L595" s="55"/>
      <c r="M595" s="55"/>
      <c r="N595" s="55"/>
      <c r="O595" s="55"/>
      <c r="P595" s="55"/>
      <c r="Q595" s="55"/>
      <c r="R595" s="55"/>
      <c r="S595" s="55"/>
      <c r="T595" s="55"/>
      <c r="U595" s="55"/>
    </row>
    <row r="596" spans="4:21" ht="13.5" customHeight="1">
      <c r="D596" s="53"/>
      <c r="E596" s="54"/>
      <c r="F596" s="54"/>
      <c r="G596" s="55"/>
      <c r="H596" s="55"/>
      <c r="I596" s="55"/>
      <c r="J596" s="55"/>
      <c r="K596" s="55"/>
      <c r="L596" s="55"/>
      <c r="M596" s="55"/>
      <c r="N596" s="55"/>
      <c r="O596" s="55"/>
      <c r="P596" s="55"/>
      <c r="Q596" s="55"/>
      <c r="R596" s="55"/>
      <c r="S596" s="55"/>
      <c r="T596" s="55"/>
      <c r="U596" s="55"/>
    </row>
    <row r="597" spans="4:21" ht="13.5" customHeight="1">
      <c r="D597" s="53"/>
      <c r="E597" s="54"/>
      <c r="F597" s="54"/>
      <c r="G597" s="55"/>
      <c r="H597" s="55"/>
      <c r="I597" s="55"/>
      <c r="J597" s="55"/>
      <c r="K597" s="55"/>
      <c r="L597" s="55"/>
      <c r="M597" s="55"/>
      <c r="N597" s="55"/>
      <c r="O597" s="55"/>
      <c r="P597" s="55"/>
      <c r="Q597" s="55"/>
      <c r="R597" s="55"/>
      <c r="S597" s="55"/>
      <c r="T597" s="55"/>
      <c r="U597" s="55"/>
    </row>
    <row r="598" spans="4:21" ht="13.5" customHeight="1">
      <c r="D598" s="53"/>
      <c r="E598" s="54"/>
      <c r="F598" s="54"/>
      <c r="G598" s="55"/>
      <c r="H598" s="55"/>
      <c r="I598" s="55"/>
      <c r="J598" s="55"/>
      <c r="K598" s="55"/>
      <c r="L598" s="55"/>
      <c r="M598" s="55"/>
      <c r="N598" s="55"/>
      <c r="O598" s="55"/>
      <c r="P598" s="55"/>
      <c r="Q598" s="55"/>
      <c r="R598" s="55"/>
      <c r="S598" s="55"/>
      <c r="T598" s="55"/>
      <c r="U598" s="55"/>
    </row>
    <row r="599" spans="4:21" ht="13.5" customHeight="1">
      <c r="D599" s="53"/>
      <c r="E599" s="54"/>
      <c r="F599" s="54"/>
      <c r="G599" s="55"/>
      <c r="H599" s="55"/>
      <c r="I599" s="55"/>
      <c r="J599" s="55"/>
      <c r="K599" s="55"/>
      <c r="L599" s="55"/>
      <c r="M599" s="55"/>
      <c r="N599" s="55"/>
      <c r="O599" s="55"/>
      <c r="P599" s="55"/>
      <c r="Q599" s="55"/>
      <c r="R599" s="55"/>
      <c r="S599" s="55"/>
      <c r="T599" s="55"/>
      <c r="U599" s="55"/>
    </row>
    <row r="600" spans="4:21" ht="13.5" customHeight="1">
      <c r="D600" s="53"/>
      <c r="E600" s="54"/>
      <c r="F600" s="54"/>
      <c r="G600" s="55"/>
      <c r="H600" s="55"/>
      <c r="I600" s="55"/>
      <c r="J600" s="55"/>
      <c r="K600" s="55"/>
      <c r="L600" s="55"/>
      <c r="M600" s="55"/>
      <c r="N600" s="55"/>
      <c r="O600" s="55"/>
      <c r="P600" s="55"/>
      <c r="Q600" s="55"/>
      <c r="R600" s="55"/>
      <c r="S600" s="55"/>
      <c r="T600" s="55"/>
      <c r="U600" s="55"/>
    </row>
    <row r="601" spans="4:21" ht="13.5" customHeight="1">
      <c r="D601" s="53"/>
      <c r="E601" s="54"/>
      <c r="F601" s="54"/>
      <c r="G601" s="55"/>
      <c r="H601" s="55"/>
      <c r="I601" s="55"/>
      <c r="J601" s="55"/>
      <c r="K601" s="55"/>
      <c r="L601" s="55"/>
      <c r="M601" s="55"/>
      <c r="N601" s="55"/>
      <c r="O601" s="55"/>
      <c r="P601" s="55"/>
      <c r="Q601" s="55"/>
      <c r="R601" s="55"/>
      <c r="S601" s="55"/>
      <c r="T601" s="55"/>
      <c r="U601" s="55"/>
    </row>
    <row r="602" spans="4:21" ht="13.5" customHeight="1">
      <c r="D602" s="53"/>
      <c r="E602" s="54"/>
      <c r="F602" s="54"/>
      <c r="G602" s="55"/>
      <c r="H602" s="55"/>
      <c r="I602" s="55"/>
      <c r="J602" s="55"/>
      <c r="K602" s="55"/>
      <c r="L602" s="55"/>
      <c r="M602" s="55"/>
      <c r="N602" s="55"/>
      <c r="O602" s="55"/>
      <c r="P602" s="55"/>
      <c r="Q602" s="55"/>
      <c r="R602" s="55"/>
      <c r="S602" s="55"/>
      <c r="T602" s="55"/>
      <c r="U602" s="55"/>
    </row>
    <row r="603" spans="4:21" ht="13.5" customHeight="1">
      <c r="D603" s="53"/>
      <c r="E603" s="54"/>
      <c r="F603" s="54"/>
      <c r="G603" s="55"/>
      <c r="H603" s="55"/>
      <c r="I603" s="55"/>
      <c r="J603" s="55"/>
      <c r="K603" s="55"/>
      <c r="L603" s="55"/>
      <c r="M603" s="55"/>
      <c r="N603" s="55"/>
      <c r="O603" s="55"/>
      <c r="P603" s="55"/>
      <c r="Q603" s="55"/>
      <c r="R603" s="55"/>
      <c r="S603" s="55"/>
      <c r="T603" s="55"/>
      <c r="U603" s="55"/>
    </row>
    <row r="604" spans="4:21" ht="13.5" customHeight="1">
      <c r="D604" s="53"/>
      <c r="E604" s="54"/>
      <c r="F604" s="54"/>
      <c r="G604" s="55"/>
      <c r="H604" s="55"/>
      <c r="I604" s="55"/>
      <c r="J604" s="55"/>
      <c r="K604" s="55"/>
      <c r="L604" s="55"/>
      <c r="M604" s="55"/>
      <c r="N604" s="55"/>
      <c r="O604" s="55"/>
      <c r="P604" s="55"/>
      <c r="Q604" s="55"/>
      <c r="R604" s="55"/>
      <c r="S604" s="55"/>
      <c r="T604" s="55"/>
      <c r="U604" s="55"/>
    </row>
    <row r="605" spans="4:21" ht="13.5" customHeight="1">
      <c r="D605" s="53"/>
      <c r="E605" s="54"/>
      <c r="F605" s="54"/>
      <c r="G605" s="55"/>
      <c r="H605" s="55"/>
      <c r="I605" s="55"/>
      <c r="J605" s="55"/>
      <c r="K605" s="55"/>
      <c r="L605" s="55"/>
      <c r="M605" s="55"/>
      <c r="N605" s="55"/>
      <c r="O605" s="55"/>
      <c r="P605" s="55"/>
      <c r="Q605" s="55"/>
      <c r="R605" s="55"/>
      <c r="S605" s="55"/>
      <c r="T605" s="55"/>
      <c r="U605" s="55"/>
    </row>
    <row r="606" spans="4:21" ht="13.5" customHeight="1">
      <c r="D606" s="53"/>
      <c r="E606" s="54"/>
      <c r="F606" s="54"/>
      <c r="G606" s="55"/>
      <c r="H606" s="55"/>
      <c r="I606" s="55"/>
      <c r="J606" s="55"/>
      <c r="K606" s="55"/>
      <c r="L606" s="55"/>
      <c r="M606" s="55"/>
      <c r="N606" s="55"/>
      <c r="O606" s="55"/>
      <c r="P606" s="55"/>
      <c r="Q606" s="55"/>
      <c r="R606" s="55"/>
      <c r="S606" s="55"/>
      <c r="T606" s="55"/>
      <c r="U606" s="55"/>
    </row>
    <row r="607" spans="4:21" ht="13.5" customHeight="1">
      <c r="D607" s="53"/>
      <c r="E607" s="54"/>
      <c r="F607" s="54"/>
      <c r="G607" s="55"/>
      <c r="H607" s="55"/>
      <c r="I607" s="55"/>
      <c r="J607" s="55"/>
      <c r="K607" s="55"/>
      <c r="L607" s="55"/>
      <c r="M607" s="55"/>
      <c r="N607" s="55"/>
      <c r="O607" s="55"/>
      <c r="P607" s="55"/>
      <c r="Q607" s="55"/>
      <c r="R607" s="55"/>
      <c r="S607" s="55"/>
      <c r="T607" s="55"/>
      <c r="U607" s="55"/>
    </row>
    <row r="608" spans="4:21" ht="13.5" customHeight="1">
      <c r="D608" s="53"/>
      <c r="E608" s="54"/>
      <c r="F608" s="54"/>
      <c r="G608" s="55"/>
      <c r="H608" s="55"/>
      <c r="I608" s="55"/>
      <c r="J608" s="55"/>
      <c r="K608" s="55"/>
      <c r="L608" s="55"/>
      <c r="M608" s="55"/>
      <c r="N608" s="55"/>
      <c r="O608" s="55"/>
      <c r="P608" s="55"/>
      <c r="Q608" s="55"/>
      <c r="R608" s="55"/>
      <c r="S608" s="55"/>
      <c r="T608" s="55"/>
      <c r="U608" s="55"/>
    </row>
    <row r="609" spans="4:21" ht="13.5" customHeight="1">
      <c r="D609" s="53"/>
      <c r="E609" s="54"/>
      <c r="F609" s="54"/>
      <c r="G609" s="55"/>
      <c r="H609" s="55"/>
      <c r="I609" s="55"/>
      <c r="J609" s="55"/>
      <c r="K609" s="55"/>
      <c r="L609" s="55"/>
      <c r="M609" s="55"/>
      <c r="N609" s="55"/>
      <c r="O609" s="55"/>
      <c r="P609" s="55"/>
      <c r="Q609" s="55"/>
      <c r="R609" s="55"/>
      <c r="S609" s="55"/>
      <c r="T609" s="55"/>
      <c r="U609" s="55"/>
    </row>
    <row r="610" spans="4:21" ht="13.5" customHeight="1">
      <c r="D610" s="53"/>
      <c r="E610" s="54"/>
      <c r="F610" s="54"/>
      <c r="G610" s="55"/>
      <c r="H610" s="55"/>
      <c r="I610" s="55"/>
      <c r="J610" s="55"/>
      <c r="K610" s="55"/>
      <c r="L610" s="55"/>
      <c r="M610" s="55"/>
      <c r="N610" s="55"/>
      <c r="O610" s="55"/>
      <c r="P610" s="55"/>
      <c r="Q610" s="55"/>
      <c r="R610" s="55"/>
      <c r="S610" s="55"/>
      <c r="T610" s="55"/>
      <c r="U610" s="55"/>
    </row>
    <row r="611" spans="4:21" ht="13.5" customHeight="1">
      <c r="D611" s="53"/>
      <c r="E611" s="54"/>
      <c r="F611" s="54"/>
      <c r="G611" s="55"/>
      <c r="H611" s="55"/>
      <c r="I611" s="55"/>
      <c r="J611" s="55"/>
      <c r="K611" s="55"/>
      <c r="L611" s="55"/>
      <c r="M611" s="55"/>
      <c r="N611" s="55"/>
      <c r="O611" s="55"/>
      <c r="P611" s="55"/>
      <c r="Q611" s="55"/>
      <c r="R611" s="55"/>
      <c r="S611" s="55"/>
      <c r="T611" s="55"/>
      <c r="U611" s="55"/>
    </row>
    <row r="612" spans="4:21" ht="13.5" customHeight="1">
      <c r="D612" s="53"/>
      <c r="E612" s="54"/>
      <c r="F612" s="54"/>
      <c r="G612" s="55"/>
      <c r="H612" s="55"/>
      <c r="I612" s="55"/>
      <c r="J612" s="55"/>
      <c r="K612" s="55"/>
      <c r="L612" s="55"/>
      <c r="M612" s="55"/>
      <c r="N612" s="55"/>
      <c r="O612" s="55"/>
      <c r="P612" s="55"/>
      <c r="Q612" s="55"/>
      <c r="R612" s="55"/>
      <c r="S612" s="55"/>
      <c r="T612" s="55"/>
      <c r="U612" s="55"/>
    </row>
    <row r="613" spans="4:21" ht="13.5" customHeight="1">
      <c r="D613" s="53"/>
      <c r="E613" s="54"/>
      <c r="F613" s="54"/>
      <c r="G613" s="55"/>
      <c r="H613" s="55"/>
      <c r="I613" s="55"/>
      <c r="J613" s="55"/>
      <c r="K613" s="55"/>
      <c r="L613" s="55"/>
      <c r="M613" s="55"/>
      <c r="N613" s="55"/>
      <c r="O613" s="55"/>
      <c r="P613" s="55"/>
      <c r="Q613" s="55"/>
      <c r="R613" s="55"/>
      <c r="S613" s="55"/>
      <c r="T613" s="55"/>
      <c r="U613" s="55"/>
    </row>
    <row r="614" spans="4:21" ht="13.5" customHeight="1">
      <c r="D614" s="53"/>
      <c r="E614" s="54"/>
      <c r="F614" s="54"/>
      <c r="G614" s="55"/>
      <c r="H614" s="55"/>
      <c r="I614" s="55"/>
      <c r="J614" s="55"/>
      <c r="K614" s="55"/>
      <c r="L614" s="55"/>
      <c r="M614" s="55"/>
      <c r="N614" s="55"/>
      <c r="O614" s="55"/>
      <c r="P614" s="55"/>
      <c r="Q614" s="55"/>
      <c r="R614" s="55"/>
      <c r="S614" s="55"/>
      <c r="T614" s="55"/>
      <c r="U614" s="55"/>
    </row>
    <row r="615" spans="4:21" ht="13.5" customHeight="1">
      <c r="D615" s="53"/>
      <c r="E615" s="54"/>
      <c r="F615" s="54"/>
      <c r="G615" s="55"/>
      <c r="H615" s="55"/>
      <c r="I615" s="55"/>
      <c r="J615" s="55"/>
      <c r="K615" s="55"/>
      <c r="L615" s="55"/>
      <c r="M615" s="55"/>
      <c r="N615" s="55"/>
      <c r="O615" s="55"/>
      <c r="P615" s="55"/>
      <c r="Q615" s="55"/>
      <c r="R615" s="55"/>
      <c r="S615" s="55"/>
      <c r="T615" s="55"/>
      <c r="U615" s="55"/>
    </row>
    <row r="616" spans="4:21" ht="13.5" customHeight="1">
      <c r="D616" s="53"/>
      <c r="E616" s="54"/>
      <c r="F616" s="54"/>
      <c r="G616" s="55"/>
      <c r="H616" s="55"/>
      <c r="I616" s="55"/>
      <c r="J616" s="55"/>
      <c r="K616" s="55"/>
      <c r="L616" s="55"/>
      <c r="M616" s="55"/>
      <c r="N616" s="55"/>
      <c r="O616" s="55"/>
      <c r="P616" s="55"/>
      <c r="Q616" s="55"/>
      <c r="R616" s="55"/>
      <c r="S616" s="55"/>
      <c r="T616" s="55"/>
      <c r="U616" s="55"/>
    </row>
    <row r="617" spans="4:21" ht="13.5" customHeight="1">
      <c r="D617" s="53"/>
      <c r="E617" s="54"/>
      <c r="F617" s="54"/>
      <c r="G617" s="55"/>
      <c r="H617" s="55"/>
      <c r="I617" s="55"/>
      <c r="J617" s="55"/>
      <c r="K617" s="55"/>
      <c r="L617" s="55"/>
      <c r="M617" s="55"/>
      <c r="N617" s="55"/>
      <c r="O617" s="55"/>
      <c r="P617" s="55"/>
      <c r="Q617" s="55"/>
      <c r="R617" s="55"/>
      <c r="S617" s="55"/>
      <c r="T617" s="55"/>
      <c r="U617" s="55"/>
    </row>
    <row r="618" spans="4:21" ht="13.5" customHeight="1">
      <c r="D618" s="53"/>
      <c r="E618" s="54"/>
      <c r="F618" s="54"/>
      <c r="G618" s="55"/>
      <c r="H618" s="55"/>
      <c r="I618" s="55"/>
      <c r="J618" s="55"/>
      <c r="K618" s="55"/>
      <c r="L618" s="55"/>
      <c r="M618" s="55"/>
      <c r="N618" s="55"/>
      <c r="O618" s="55"/>
      <c r="P618" s="55"/>
      <c r="Q618" s="55"/>
      <c r="R618" s="55"/>
      <c r="S618" s="55"/>
      <c r="T618" s="55"/>
      <c r="U618" s="55"/>
    </row>
    <row r="619" spans="4:21" ht="13.5" customHeight="1">
      <c r="D619" s="53"/>
      <c r="E619" s="54"/>
      <c r="F619" s="54"/>
      <c r="G619" s="55"/>
      <c r="H619" s="55"/>
      <c r="I619" s="55"/>
      <c r="J619" s="55"/>
      <c r="K619" s="55"/>
      <c r="L619" s="55"/>
      <c r="M619" s="55"/>
      <c r="N619" s="55"/>
      <c r="O619" s="55"/>
      <c r="P619" s="55"/>
      <c r="Q619" s="55"/>
      <c r="R619" s="55"/>
      <c r="S619" s="55"/>
      <c r="T619" s="55"/>
      <c r="U619" s="55"/>
    </row>
    <row r="620" spans="4:21" ht="13.5" customHeight="1">
      <c r="D620" s="53"/>
      <c r="E620" s="54"/>
      <c r="F620" s="54"/>
      <c r="G620" s="55"/>
      <c r="H620" s="55"/>
      <c r="I620" s="55"/>
      <c r="J620" s="55"/>
      <c r="K620" s="55"/>
      <c r="L620" s="55"/>
      <c r="M620" s="55"/>
      <c r="N620" s="55"/>
      <c r="O620" s="55"/>
      <c r="P620" s="55"/>
      <c r="Q620" s="55"/>
      <c r="R620" s="55"/>
      <c r="S620" s="55"/>
      <c r="T620" s="55"/>
      <c r="U620" s="55"/>
    </row>
    <row r="621" spans="4:21" ht="13.5" customHeight="1">
      <c r="D621" s="53"/>
      <c r="E621" s="54"/>
      <c r="F621" s="54"/>
      <c r="G621" s="55"/>
      <c r="H621" s="55"/>
      <c r="I621" s="55"/>
      <c r="J621" s="55"/>
      <c r="K621" s="55"/>
      <c r="L621" s="55"/>
      <c r="M621" s="55"/>
      <c r="N621" s="55"/>
      <c r="O621" s="55"/>
      <c r="P621" s="55"/>
      <c r="Q621" s="55"/>
      <c r="R621" s="55"/>
      <c r="S621" s="55"/>
      <c r="T621" s="55"/>
      <c r="U621" s="55"/>
    </row>
    <row r="622" spans="4:21" ht="13.5" customHeight="1">
      <c r="D622" s="53"/>
      <c r="E622" s="54"/>
      <c r="F622" s="54"/>
      <c r="G622" s="55"/>
      <c r="H622" s="55"/>
      <c r="I622" s="55"/>
      <c r="J622" s="55"/>
      <c r="K622" s="55"/>
      <c r="L622" s="55"/>
      <c r="M622" s="55"/>
      <c r="N622" s="55"/>
      <c r="O622" s="55"/>
      <c r="P622" s="55"/>
      <c r="Q622" s="55"/>
      <c r="R622" s="55"/>
      <c r="S622" s="55"/>
      <c r="T622" s="55"/>
      <c r="U622" s="55"/>
    </row>
    <row r="623" spans="4:21" ht="13.5" customHeight="1">
      <c r="D623" s="53"/>
      <c r="E623" s="54"/>
      <c r="F623" s="54"/>
      <c r="G623" s="55"/>
      <c r="H623" s="55"/>
      <c r="I623" s="55"/>
      <c r="J623" s="55"/>
      <c r="K623" s="55"/>
      <c r="L623" s="55"/>
      <c r="M623" s="55"/>
      <c r="N623" s="55"/>
      <c r="O623" s="55"/>
      <c r="P623" s="55"/>
      <c r="Q623" s="55"/>
      <c r="R623" s="55"/>
      <c r="S623" s="55"/>
      <c r="T623" s="55"/>
      <c r="U623" s="55"/>
    </row>
    <row r="624" spans="4:21" ht="13.5" customHeight="1">
      <c r="D624" s="53"/>
      <c r="E624" s="54"/>
      <c r="F624" s="54"/>
      <c r="G624" s="55"/>
      <c r="H624" s="55"/>
      <c r="I624" s="55"/>
      <c r="J624" s="55"/>
      <c r="K624" s="55"/>
      <c r="L624" s="55"/>
      <c r="M624" s="55"/>
      <c r="N624" s="55"/>
      <c r="O624" s="55"/>
      <c r="P624" s="55"/>
      <c r="Q624" s="55"/>
      <c r="R624" s="55"/>
      <c r="S624" s="55"/>
      <c r="T624" s="55"/>
      <c r="U624" s="55"/>
    </row>
    <row r="625" spans="4:21" ht="13.5" customHeight="1">
      <c r="D625" s="53"/>
      <c r="E625" s="54"/>
      <c r="F625" s="54"/>
      <c r="G625" s="55"/>
      <c r="H625" s="55"/>
      <c r="I625" s="55"/>
      <c r="J625" s="55"/>
      <c r="K625" s="55"/>
      <c r="L625" s="55"/>
      <c r="M625" s="55"/>
      <c r="N625" s="55"/>
      <c r="O625" s="55"/>
      <c r="P625" s="55"/>
      <c r="Q625" s="55"/>
      <c r="R625" s="55"/>
      <c r="S625" s="55"/>
      <c r="T625" s="55"/>
      <c r="U625" s="55"/>
    </row>
    <row r="626" spans="4:21" ht="13.5" customHeight="1">
      <c r="D626" s="53"/>
      <c r="E626" s="54"/>
      <c r="F626" s="54"/>
      <c r="G626" s="55"/>
      <c r="H626" s="55"/>
      <c r="I626" s="55"/>
      <c r="J626" s="55"/>
      <c r="K626" s="55"/>
      <c r="L626" s="55"/>
      <c r="M626" s="55"/>
      <c r="N626" s="55"/>
      <c r="O626" s="55"/>
      <c r="P626" s="55"/>
      <c r="Q626" s="55"/>
      <c r="R626" s="55"/>
      <c r="S626" s="55"/>
      <c r="T626" s="55"/>
      <c r="U626" s="55"/>
    </row>
    <row r="627" spans="4:21" ht="13.5" customHeight="1">
      <c r="D627" s="53"/>
      <c r="E627" s="54"/>
      <c r="F627" s="54"/>
      <c r="G627" s="55"/>
      <c r="H627" s="55"/>
      <c r="I627" s="55"/>
      <c r="J627" s="55"/>
      <c r="K627" s="55"/>
      <c r="L627" s="55"/>
      <c r="M627" s="55"/>
      <c r="N627" s="55"/>
      <c r="O627" s="55"/>
      <c r="P627" s="55"/>
      <c r="Q627" s="55"/>
      <c r="R627" s="55"/>
      <c r="S627" s="55"/>
      <c r="T627" s="55"/>
      <c r="U627" s="55"/>
    </row>
    <row r="628" spans="4:21" ht="13.5" customHeight="1">
      <c r="D628" s="53"/>
      <c r="E628" s="54"/>
      <c r="F628" s="54"/>
      <c r="G628" s="55"/>
      <c r="H628" s="55"/>
      <c r="I628" s="55"/>
      <c r="J628" s="55"/>
      <c r="K628" s="55"/>
      <c r="L628" s="55"/>
      <c r="M628" s="55"/>
      <c r="N628" s="55"/>
      <c r="O628" s="55"/>
      <c r="P628" s="55"/>
      <c r="Q628" s="55"/>
      <c r="R628" s="55"/>
      <c r="S628" s="55"/>
      <c r="T628" s="55"/>
      <c r="U628" s="55"/>
    </row>
    <row r="629" spans="4:21" ht="13.5" customHeight="1">
      <c r="D629" s="53"/>
      <c r="E629" s="54"/>
      <c r="F629" s="54"/>
      <c r="G629" s="55"/>
      <c r="H629" s="55"/>
      <c r="I629" s="55"/>
      <c r="J629" s="55"/>
      <c r="K629" s="55"/>
      <c r="L629" s="55"/>
      <c r="M629" s="55"/>
      <c r="N629" s="55"/>
      <c r="O629" s="55"/>
      <c r="P629" s="55"/>
      <c r="Q629" s="55"/>
      <c r="R629" s="55"/>
      <c r="S629" s="55"/>
      <c r="T629" s="55"/>
      <c r="U629" s="55"/>
    </row>
    <row r="630" spans="4:21" ht="13.5" customHeight="1">
      <c r="D630" s="53"/>
      <c r="E630" s="54"/>
      <c r="F630" s="54"/>
      <c r="G630" s="55"/>
      <c r="H630" s="55"/>
      <c r="I630" s="55"/>
      <c r="J630" s="55"/>
      <c r="K630" s="55"/>
      <c r="L630" s="55"/>
      <c r="M630" s="55"/>
      <c r="N630" s="55"/>
      <c r="O630" s="55"/>
      <c r="P630" s="55"/>
      <c r="Q630" s="55"/>
      <c r="R630" s="55"/>
      <c r="S630" s="55"/>
      <c r="T630" s="55"/>
      <c r="U630" s="55"/>
    </row>
    <row r="631" spans="4:21" ht="13.5" customHeight="1">
      <c r="D631" s="53"/>
      <c r="E631" s="54"/>
      <c r="F631" s="54"/>
      <c r="G631" s="55"/>
      <c r="H631" s="55"/>
      <c r="I631" s="55"/>
      <c r="J631" s="55"/>
      <c r="K631" s="55"/>
      <c r="L631" s="55"/>
      <c r="M631" s="55"/>
      <c r="N631" s="55"/>
      <c r="O631" s="55"/>
      <c r="P631" s="55"/>
      <c r="Q631" s="55"/>
      <c r="R631" s="55"/>
      <c r="S631" s="55"/>
      <c r="T631" s="55"/>
      <c r="U631" s="55"/>
    </row>
    <row r="632" spans="4:21" ht="13.5" customHeight="1">
      <c r="D632" s="53"/>
      <c r="E632" s="54"/>
      <c r="F632" s="54"/>
      <c r="G632" s="55"/>
      <c r="H632" s="55"/>
      <c r="I632" s="55"/>
      <c r="J632" s="55"/>
      <c r="K632" s="55"/>
      <c r="L632" s="55"/>
      <c r="M632" s="55"/>
      <c r="N632" s="55"/>
      <c r="O632" s="55"/>
      <c r="P632" s="55"/>
      <c r="Q632" s="55"/>
      <c r="R632" s="55"/>
      <c r="S632" s="55"/>
      <c r="T632" s="55"/>
      <c r="U632" s="55"/>
    </row>
    <row r="633" spans="4:21" ht="13.5" customHeight="1">
      <c r="D633" s="53"/>
      <c r="E633" s="54"/>
      <c r="F633" s="54"/>
      <c r="G633" s="55"/>
      <c r="H633" s="55"/>
      <c r="I633" s="55"/>
      <c r="J633" s="55"/>
      <c r="K633" s="55"/>
      <c r="L633" s="55"/>
      <c r="M633" s="55"/>
      <c r="N633" s="55"/>
      <c r="O633" s="55"/>
      <c r="P633" s="55"/>
      <c r="Q633" s="55"/>
      <c r="R633" s="55"/>
      <c r="S633" s="55"/>
      <c r="T633" s="55"/>
      <c r="U633" s="55"/>
    </row>
    <row r="634" spans="4:21" ht="13.5" customHeight="1">
      <c r="D634" s="53"/>
      <c r="E634" s="54"/>
      <c r="F634" s="54"/>
      <c r="G634" s="55"/>
      <c r="H634" s="55"/>
      <c r="I634" s="55"/>
      <c r="J634" s="55"/>
      <c r="K634" s="55"/>
      <c r="L634" s="55"/>
      <c r="M634" s="55"/>
      <c r="N634" s="55"/>
      <c r="O634" s="55"/>
      <c r="P634" s="55"/>
      <c r="Q634" s="55"/>
      <c r="R634" s="55"/>
      <c r="S634" s="55"/>
      <c r="T634" s="55"/>
      <c r="U634" s="55"/>
    </row>
    <row r="635" spans="4:21" ht="13.5" customHeight="1">
      <c r="D635" s="53"/>
      <c r="E635" s="54"/>
      <c r="F635" s="54"/>
      <c r="G635" s="55"/>
      <c r="H635" s="55"/>
      <c r="I635" s="55"/>
      <c r="J635" s="55"/>
      <c r="K635" s="55"/>
      <c r="L635" s="55"/>
      <c r="M635" s="55"/>
      <c r="N635" s="55"/>
      <c r="O635" s="55"/>
      <c r="P635" s="55"/>
      <c r="Q635" s="55"/>
      <c r="R635" s="55"/>
      <c r="S635" s="55"/>
      <c r="T635" s="55"/>
      <c r="U635" s="55"/>
    </row>
    <row r="636" spans="4:21" ht="13.5" customHeight="1">
      <c r="D636" s="53"/>
      <c r="E636" s="54"/>
      <c r="F636" s="54"/>
      <c r="G636" s="55"/>
      <c r="H636" s="55"/>
      <c r="I636" s="55"/>
      <c r="J636" s="55"/>
      <c r="K636" s="55"/>
      <c r="L636" s="55"/>
      <c r="M636" s="55"/>
      <c r="N636" s="55"/>
      <c r="O636" s="55"/>
      <c r="P636" s="55"/>
      <c r="Q636" s="55"/>
      <c r="R636" s="55"/>
      <c r="S636" s="55"/>
      <c r="T636" s="55"/>
      <c r="U636" s="55"/>
    </row>
    <row r="637" spans="4:21" ht="13.5" customHeight="1">
      <c r="D637" s="53"/>
      <c r="E637" s="54"/>
      <c r="F637" s="54"/>
      <c r="G637" s="55"/>
      <c r="H637" s="55"/>
      <c r="I637" s="55"/>
      <c r="J637" s="55"/>
      <c r="K637" s="55"/>
      <c r="L637" s="55"/>
      <c r="M637" s="55"/>
      <c r="N637" s="55"/>
      <c r="O637" s="55"/>
      <c r="P637" s="55"/>
      <c r="Q637" s="55"/>
      <c r="R637" s="55"/>
      <c r="S637" s="55"/>
      <c r="T637" s="55"/>
      <c r="U637" s="55"/>
    </row>
    <row r="638" spans="4:21" ht="13.5" customHeight="1">
      <c r="D638" s="53"/>
      <c r="E638" s="54"/>
      <c r="F638" s="54"/>
      <c r="G638" s="55"/>
      <c r="H638" s="55"/>
      <c r="I638" s="55"/>
      <c r="J638" s="55"/>
      <c r="K638" s="55"/>
      <c r="L638" s="55"/>
      <c r="M638" s="55"/>
      <c r="N638" s="55"/>
      <c r="O638" s="55"/>
      <c r="P638" s="55"/>
      <c r="Q638" s="55"/>
      <c r="R638" s="55"/>
      <c r="S638" s="55"/>
      <c r="T638" s="55"/>
      <c r="U638" s="55"/>
    </row>
    <row r="639" spans="4:21" ht="13.5" customHeight="1">
      <c r="D639" s="53"/>
      <c r="E639" s="54"/>
      <c r="F639" s="54"/>
      <c r="G639" s="55"/>
      <c r="H639" s="55"/>
      <c r="I639" s="55"/>
      <c r="J639" s="55"/>
      <c r="K639" s="55"/>
      <c r="L639" s="55"/>
      <c r="M639" s="55"/>
      <c r="N639" s="55"/>
      <c r="O639" s="55"/>
      <c r="P639" s="55"/>
      <c r="Q639" s="55"/>
      <c r="R639" s="55"/>
      <c r="S639" s="55"/>
      <c r="T639" s="55"/>
      <c r="U639" s="55"/>
    </row>
    <row r="640" spans="4:21" ht="13.5" customHeight="1">
      <c r="D640" s="53"/>
      <c r="E640" s="54"/>
      <c r="F640" s="54"/>
      <c r="G640" s="55"/>
      <c r="H640" s="55"/>
      <c r="I640" s="55"/>
      <c r="J640" s="55"/>
      <c r="K640" s="55"/>
      <c r="L640" s="55"/>
      <c r="M640" s="55"/>
      <c r="N640" s="55"/>
      <c r="O640" s="55"/>
      <c r="P640" s="55"/>
      <c r="Q640" s="55"/>
      <c r="R640" s="55"/>
      <c r="S640" s="55"/>
      <c r="T640" s="55"/>
      <c r="U640" s="55"/>
    </row>
    <row r="641" spans="4:21" ht="13.5" customHeight="1">
      <c r="D641" s="53"/>
      <c r="E641" s="54"/>
      <c r="F641" s="54"/>
      <c r="G641" s="55"/>
      <c r="H641" s="55"/>
      <c r="I641" s="55"/>
      <c r="J641" s="55"/>
      <c r="K641" s="55"/>
      <c r="L641" s="55"/>
      <c r="M641" s="55"/>
      <c r="N641" s="55"/>
      <c r="O641" s="55"/>
      <c r="P641" s="55"/>
      <c r="Q641" s="55"/>
      <c r="R641" s="55"/>
      <c r="S641" s="55"/>
      <c r="T641" s="55"/>
      <c r="U641" s="55"/>
    </row>
    <row r="642" spans="4:21" ht="13.5" customHeight="1">
      <c r="D642" s="53"/>
      <c r="E642" s="54"/>
      <c r="F642" s="54"/>
      <c r="G642" s="55"/>
      <c r="H642" s="55"/>
      <c r="I642" s="55"/>
      <c r="J642" s="55"/>
      <c r="K642" s="55"/>
      <c r="L642" s="55"/>
      <c r="M642" s="55"/>
      <c r="N642" s="55"/>
      <c r="O642" s="55"/>
      <c r="P642" s="55"/>
      <c r="Q642" s="55"/>
      <c r="R642" s="55"/>
      <c r="S642" s="55"/>
      <c r="T642" s="55"/>
      <c r="U642" s="55"/>
    </row>
    <row r="643" spans="4:21" ht="13.5" customHeight="1">
      <c r="D643" s="53"/>
      <c r="E643" s="54"/>
      <c r="F643" s="54"/>
      <c r="G643" s="55"/>
      <c r="H643" s="55"/>
      <c r="I643" s="55"/>
      <c r="J643" s="55"/>
      <c r="K643" s="55"/>
      <c r="L643" s="55"/>
      <c r="M643" s="55"/>
      <c r="N643" s="55"/>
      <c r="O643" s="55"/>
      <c r="P643" s="55"/>
      <c r="Q643" s="55"/>
      <c r="R643" s="55"/>
      <c r="S643" s="55"/>
      <c r="T643" s="55"/>
      <c r="U643" s="55"/>
    </row>
    <row r="644" spans="4:21" ht="13.5" customHeight="1">
      <c r="D644" s="53"/>
      <c r="E644" s="54"/>
      <c r="F644" s="54"/>
      <c r="G644" s="55"/>
      <c r="H644" s="55"/>
      <c r="I644" s="55"/>
      <c r="J644" s="55"/>
      <c r="K644" s="55"/>
      <c r="L644" s="55"/>
      <c r="M644" s="55"/>
      <c r="N644" s="55"/>
      <c r="O644" s="55"/>
      <c r="P644" s="55"/>
      <c r="Q644" s="55"/>
      <c r="R644" s="55"/>
      <c r="S644" s="55"/>
      <c r="T644" s="55"/>
      <c r="U644" s="55"/>
    </row>
    <row r="645" spans="4:21" ht="13.5" customHeight="1">
      <c r="D645" s="53"/>
      <c r="E645" s="54"/>
      <c r="F645" s="54"/>
      <c r="G645" s="55"/>
      <c r="H645" s="55"/>
      <c r="I645" s="55"/>
      <c r="J645" s="55"/>
      <c r="K645" s="55"/>
      <c r="L645" s="55"/>
      <c r="M645" s="55"/>
      <c r="N645" s="55"/>
      <c r="O645" s="55"/>
      <c r="P645" s="55"/>
      <c r="Q645" s="55"/>
      <c r="R645" s="55"/>
      <c r="S645" s="55"/>
      <c r="T645" s="55"/>
      <c r="U645" s="55"/>
    </row>
    <row r="646" spans="4:21" ht="13.5" customHeight="1">
      <c r="D646" s="53"/>
      <c r="E646" s="54"/>
      <c r="F646" s="54"/>
      <c r="G646" s="55"/>
      <c r="H646" s="55"/>
      <c r="I646" s="55"/>
      <c r="J646" s="55"/>
      <c r="K646" s="55"/>
      <c r="L646" s="55"/>
      <c r="M646" s="55"/>
      <c r="N646" s="55"/>
      <c r="O646" s="55"/>
      <c r="P646" s="55"/>
      <c r="Q646" s="55"/>
      <c r="R646" s="55"/>
      <c r="S646" s="55"/>
      <c r="T646" s="55"/>
      <c r="U646" s="55"/>
    </row>
    <row r="647" spans="4:21" ht="13.5" customHeight="1">
      <c r="D647" s="53"/>
      <c r="E647" s="54"/>
      <c r="F647" s="54"/>
      <c r="G647" s="55"/>
      <c r="H647" s="55"/>
      <c r="I647" s="55"/>
      <c r="J647" s="55"/>
      <c r="K647" s="55"/>
      <c r="L647" s="55"/>
      <c r="M647" s="55"/>
      <c r="N647" s="55"/>
      <c r="O647" s="55"/>
      <c r="P647" s="55"/>
      <c r="Q647" s="55"/>
      <c r="R647" s="55"/>
      <c r="S647" s="55"/>
      <c r="T647" s="55"/>
      <c r="U647" s="55"/>
    </row>
    <row r="648" spans="4:21" ht="13.5" customHeight="1">
      <c r="D648" s="53"/>
      <c r="E648" s="54"/>
      <c r="F648" s="54"/>
      <c r="G648" s="55"/>
      <c r="H648" s="55"/>
      <c r="I648" s="55"/>
      <c r="J648" s="55"/>
      <c r="K648" s="55"/>
      <c r="L648" s="55"/>
      <c r="M648" s="55"/>
      <c r="N648" s="55"/>
      <c r="O648" s="55"/>
      <c r="P648" s="55"/>
      <c r="Q648" s="55"/>
      <c r="R648" s="55"/>
      <c r="S648" s="55"/>
      <c r="T648" s="55"/>
      <c r="U648" s="55"/>
    </row>
    <row r="649" spans="4:21" ht="13.5" customHeight="1">
      <c r="D649" s="53"/>
      <c r="E649" s="54"/>
      <c r="F649" s="54"/>
      <c r="G649" s="55"/>
      <c r="H649" s="55"/>
      <c r="I649" s="55"/>
      <c r="J649" s="55"/>
      <c r="K649" s="55"/>
      <c r="L649" s="55"/>
      <c r="M649" s="55"/>
      <c r="N649" s="55"/>
      <c r="O649" s="55"/>
      <c r="P649" s="55"/>
      <c r="Q649" s="55"/>
      <c r="R649" s="55"/>
      <c r="S649" s="55"/>
      <c r="T649" s="55"/>
      <c r="U649" s="55"/>
    </row>
    <row r="650" spans="4:21" ht="13.5" customHeight="1">
      <c r="D650" s="53"/>
      <c r="E650" s="54"/>
      <c r="F650" s="54"/>
      <c r="G650" s="55"/>
      <c r="H650" s="55"/>
      <c r="I650" s="55"/>
      <c r="J650" s="55"/>
      <c r="K650" s="55"/>
      <c r="L650" s="55"/>
      <c r="M650" s="55"/>
      <c r="N650" s="55"/>
      <c r="O650" s="55"/>
      <c r="P650" s="55"/>
      <c r="Q650" s="55"/>
      <c r="R650" s="55"/>
      <c r="S650" s="55"/>
      <c r="T650" s="55"/>
      <c r="U650" s="55"/>
    </row>
    <row r="651" spans="4:21" ht="13.5" customHeight="1">
      <c r="D651" s="53"/>
      <c r="E651" s="54"/>
      <c r="F651" s="54"/>
      <c r="G651" s="55"/>
      <c r="H651" s="55"/>
      <c r="I651" s="55"/>
      <c r="J651" s="55"/>
      <c r="K651" s="55"/>
      <c r="L651" s="55"/>
      <c r="M651" s="55"/>
      <c r="N651" s="55"/>
      <c r="O651" s="55"/>
      <c r="P651" s="55"/>
      <c r="Q651" s="55"/>
      <c r="R651" s="55"/>
      <c r="S651" s="55"/>
      <c r="T651" s="55"/>
      <c r="U651" s="55"/>
    </row>
    <row r="652" spans="4:21" ht="13.5" customHeight="1">
      <c r="D652" s="53"/>
      <c r="E652" s="54"/>
      <c r="F652" s="54"/>
      <c r="G652" s="55"/>
      <c r="H652" s="55"/>
      <c r="I652" s="55"/>
      <c r="J652" s="55"/>
      <c r="K652" s="55"/>
      <c r="L652" s="55"/>
      <c r="M652" s="55"/>
      <c r="N652" s="55"/>
      <c r="O652" s="55"/>
      <c r="P652" s="55"/>
      <c r="Q652" s="55"/>
      <c r="R652" s="55"/>
      <c r="S652" s="55"/>
      <c r="T652" s="55"/>
      <c r="U652" s="55"/>
    </row>
    <row r="653" spans="4:21" ht="13.5" customHeight="1">
      <c r="D653" s="53"/>
      <c r="E653" s="54"/>
      <c r="F653" s="54"/>
      <c r="G653" s="55"/>
      <c r="H653" s="55"/>
      <c r="I653" s="55"/>
      <c r="J653" s="55"/>
      <c r="K653" s="55"/>
      <c r="L653" s="55"/>
      <c r="M653" s="55"/>
      <c r="N653" s="55"/>
      <c r="O653" s="55"/>
      <c r="P653" s="55"/>
      <c r="Q653" s="55"/>
      <c r="R653" s="55"/>
      <c r="S653" s="55"/>
      <c r="T653" s="55"/>
      <c r="U653" s="55"/>
    </row>
    <row r="654" spans="4:21" ht="13.5" customHeight="1">
      <c r="D654" s="53"/>
      <c r="E654" s="54"/>
      <c r="F654" s="54"/>
      <c r="G654" s="55"/>
      <c r="H654" s="55"/>
      <c r="I654" s="55"/>
      <c r="J654" s="55"/>
      <c r="K654" s="55"/>
      <c r="L654" s="55"/>
      <c r="M654" s="55"/>
      <c r="N654" s="55"/>
      <c r="O654" s="55"/>
      <c r="P654" s="55"/>
      <c r="Q654" s="55"/>
      <c r="R654" s="55"/>
      <c r="S654" s="55"/>
      <c r="T654" s="55"/>
      <c r="U654" s="55"/>
    </row>
    <row r="655" spans="4:21" ht="13.5" customHeight="1">
      <c r="D655" s="53"/>
      <c r="E655" s="54"/>
      <c r="F655" s="54"/>
      <c r="G655" s="55"/>
      <c r="H655" s="55"/>
      <c r="I655" s="55"/>
      <c r="J655" s="55"/>
      <c r="K655" s="55"/>
      <c r="L655" s="55"/>
      <c r="M655" s="55"/>
      <c r="N655" s="55"/>
      <c r="O655" s="55"/>
      <c r="P655" s="55"/>
      <c r="Q655" s="55"/>
      <c r="R655" s="55"/>
      <c r="S655" s="55"/>
      <c r="T655" s="55"/>
      <c r="U655" s="55"/>
    </row>
    <row r="656" spans="4:21" ht="13.5" customHeight="1">
      <c r="D656" s="53"/>
      <c r="E656" s="54"/>
      <c r="F656" s="54"/>
      <c r="G656" s="55"/>
      <c r="H656" s="55"/>
      <c r="I656" s="55"/>
      <c r="J656" s="55"/>
      <c r="K656" s="55"/>
      <c r="L656" s="55"/>
      <c r="M656" s="55"/>
      <c r="N656" s="55"/>
      <c r="O656" s="55"/>
      <c r="P656" s="55"/>
      <c r="Q656" s="55"/>
      <c r="R656" s="55"/>
      <c r="S656" s="55"/>
      <c r="T656" s="55"/>
      <c r="U656" s="55"/>
    </row>
    <row r="657" spans="4:21" ht="13.5" customHeight="1">
      <c r="D657" s="53"/>
      <c r="E657" s="54"/>
      <c r="F657" s="54"/>
      <c r="G657" s="55"/>
      <c r="H657" s="55"/>
      <c r="I657" s="55"/>
      <c r="J657" s="55"/>
      <c r="K657" s="55"/>
      <c r="L657" s="55"/>
      <c r="M657" s="55"/>
      <c r="N657" s="55"/>
      <c r="O657" s="55"/>
      <c r="P657" s="55"/>
      <c r="Q657" s="55"/>
      <c r="R657" s="55"/>
      <c r="S657" s="55"/>
      <c r="T657" s="55"/>
      <c r="U657" s="55"/>
    </row>
    <row r="658" spans="4:21" ht="13.5" customHeight="1">
      <c r="D658" s="53"/>
      <c r="E658" s="54"/>
      <c r="F658" s="54"/>
      <c r="G658" s="55"/>
      <c r="H658" s="55"/>
      <c r="I658" s="55"/>
      <c r="J658" s="55"/>
      <c r="K658" s="55"/>
      <c r="L658" s="55"/>
      <c r="M658" s="55"/>
      <c r="N658" s="55"/>
      <c r="O658" s="55"/>
      <c r="P658" s="55"/>
      <c r="Q658" s="55"/>
      <c r="R658" s="55"/>
      <c r="S658" s="55"/>
      <c r="T658" s="55"/>
      <c r="U658" s="55"/>
    </row>
    <row r="659" spans="4:21" ht="13.5" customHeight="1">
      <c r="D659" s="53"/>
      <c r="E659" s="54"/>
      <c r="F659" s="54"/>
      <c r="G659" s="55"/>
      <c r="H659" s="55"/>
      <c r="I659" s="55"/>
      <c r="J659" s="55"/>
      <c r="K659" s="55"/>
      <c r="L659" s="55"/>
      <c r="M659" s="55"/>
      <c r="N659" s="55"/>
      <c r="O659" s="55"/>
      <c r="P659" s="55"/>
      <c r="Q659" s="55"/>
      <c r="R659" s="55"/>
      <c r="S659" s="55"/>
      <c r="T659" s="55"/>
      <c r="U659" s="55"/>
    </row>
    <row r="660" spans="4:21" ht="13.5" customHeight="1">
      <c r="D660" s="53"/>
      <c r="E660" s="54"/>
      <c r="F660" s="54"/>
      <c r="G660" s="55"/>
      <c r="H660" s="55"/>
      <c r="I660" s="55"/>
      <c r="J660" s="55"/>
      <c r="K660" s="55"/>
      <c r="L660" s="55"/>
      <c r="M660" s="55"/>
      <c r="N660" s="55"/>
      <c r="O660" s="55"/>
      <c r="P660" s="55"/>
      <c r="Q660" s="55"/>
      <c r="R660" s="55"/>
      <c r="S660" s="55"/>
      <c r="T660" s="55"/>
      <c r="U660" s="55"/>
    </row>
    <row r="661" spans="4:21" ht="13.5" customHeight="1">
      <c r="D661" s="53"/>
      <c r="E661" s="54"/>
      <c r="F661" s="54"/>
      <c r="G661" s="55"/>
      <c r="H661" s="55"/>
      <c r="I661" s="55"/>
      <c r="J661" s="55"/>
      <c r="K661" s="55"/>
      <c r="L661" s="55"/>
      <c r="M661" s="55"/>
      <c r="N661" s="55"/>
      <c r="O661" s="55"/>
      <c r="P661" s="55"/>
      <c r="Q661" s="55"/>
      <c r="R661" s="55"/>
      <c r="S661" s="55"/>
      <c r="T661" s="55"/>
      <c r="U661" s="55"/>
    </row>
    <row r="662" spans="4:21" ht="13.5" customHeight="1">
      <c r="D662" s="53"/>
      <c r="E662" s="54"/>
      <c r="F662" s="54"/>
      <c r="G662" s="55"/>
      <c r="H662" s="55"/>
      <c r="I662" s="55"/>
      <c r="J662" s="55"/>
      <c r="K662" s="55"/>
      <c r="L662" s="55"/>
      <c r="M662" s="55"/>
      <c r="N662" s="55"/>
      <c r="O662" s="55"/>
      <c r="P662" s="55"/>
      <c r="Q662" s="55"/>
      <c r="R662" s="55"/>
      <c r="S662" s="55"/>
      <c r="T662" s="55"/>
      <c r="U662" s="55"/>
    </row>
    <row r="663" spans="4:21" ht="13.5" customHeight="1">
      <c r="D663" s="53"/>
      <c r="E663" s="54"/>
      <c r="F663" s="54"/>
      <c r="G663" s="55"/>
      <c r="H663" s="55"/>
      <c r="I663" s="55"/>
      <c r="J663" s="55"/>
      <c r="K663" s="55"/>
      <c r="L663" s="55"/>
      <c r="M663" s="55"/>
      <c r="N663" s="55"/>
      <c r="O663" s="55"/>
      <c r="P663" s="55"/>
      <c r="Q663" s="55"/>
      <c r="R663" s="55"/>
      <c r="S663" s="55"/>
      <c r="T663" s="55"/>
      <c r="U663" s="55"/>
    </row>
    <row r="664" spans="4:21" ht="13.5" customHeight="1">
      <c r="D664" s="53"/>
      <c r="E664" s="54"/>
      <c r="F664" s="54"/>
      <c r="G664" s="55"/>
      <c r="H664" s="55"/>
      <c r="I664" s="55"/>
      <c r="J664" s="55"/>
      <c r="K664" s="55"/>
      <c r="L664" s="55"/>
      <c r="M664" s="55"/>
      <c r="N664" s="55"/>
      <c r="O664" s="55"/>
      <c r="P664" s="55"/>
      <c r="Q664" s="55"/>
      <c r="R664" s="55"/>
      <c r="S664" s="55"/>
      <c r="T664" s="55"/>
      <c r="U664" s="55"/>
    </row>
    <row r="665" spans="4:21" ht="13.5" customHeight="1">
      <c r="D665" s="53"/>
      <c r="E665" s="54"/>
      <c r="F665" s="54"/>
      <c r="G665" s="55"/>
      <c r="H665" s="55"/>
      <c r="I665" s="55"/>
      <c r="J665" s="55"/>
      <c r="K665" s="55"/>
      <c r="L665" s="55"/>
      <c r="M665" s="55"/>
      <c r="N665" s="55"/>
      <c r="O665" s="55"/>
      <c r="P665" s="55"/>
      <c r="Q665" s="55"/>
      <c r="R665" s="55"/>
      <c r="S665" s="55"/>
      <c r="T665" s="55"/>
      <c r="U665" s="55"/>
    </row>
    <row r="666" spans="4:21" ht="13.5" customHeight="1">
      <c r="D666" s="53"/>
      <c r="E666" s="54"/>
      <c r="F666" s="54"/>
      <c r="G666" s="55"/>
      <c r="H666" s="55"/>
      <c r="I666" s="55"/>
      <c r="J666" s="55"/>
      <c r="K666" s="55"/>
      <c r="L666" s="55"/>
      <c r="M666" s="55"/>
      <c r="N666" s="55"/>
      <c r="O666" s="55"/>
      <c r="P666" s="55"/>
      <c r="Q666" s="55"/>
      <c r="R666" s="55"/>
      <c r="S666" s="55"/>
      <c r="T666" s="55"/>
      <c r="U666" s="55"/>
    </row>
    <row r="667" spans="4:21" ht="13.5" customHeight="1">
      <c r="D667" s="53"/>
      <c r="E667" s="54"/>
      <c r="F667" s="54"/>
      <c r="G667" s="55"/>
      <c r="H667" s="55"/>
      <c r="I667" s="55"/>
      <c r="J667" s="55"/>
      <c r="K667" s="55"/>
      <c r="L667" s="55"/>
      <c r="M667" s="55"/>
      <c r="N667" s="55"/>
      <c r="O667" s="55"/>
      <c r="P667" s="55"/>
      <c r="Q667" s="55"/>
      <c r="R667" s="55"/>
      <c r="S667" s="55"/>
      <c r="T667" s="55"/>
      <c r="U667" s="55"/>
    </row>
    <row r="668" spans="4:21" ht="13.5" customHeight="1">
      <c r="D668" s="53"/>
      <c r="E668" s="54"/>
      <c r="F668" s="54"/>
      <c r="G668" s="55"/>
      <c r="H668" s="55"/>
      <c r="I668" s="55"/>
      <c r="J668" s="55"/>
      <c r="K668" s="55"/>
      <c r="L668" s="55"/>
      <c r="M668" s="55"/>
      <c r="N668" s="55"/>
      <c r="O668" s="55"/>
      <c r="P668" s="55"/>
      <c r="Q668" s="55"/>
      <c r="R668" s="55"/>
      <c r="S668" s="55"/>
      <c r="T668" s="55"/>
      <c r="U668" s="55"/>
    </row>
    <row r="669" spans="4:21" ht="13.5" customHeight="1">
      <c r="D669" s="53"/>
      <c r="E669" s="54"/>
      <c r="F669" s="54"/>
      <c r="G669" s="55"/>
      <c r="H669" s="55"/>
      <c r="I669" s="55"/>
      <c r="J669" s="55"/>
      <c r="K669" s="55"/>
      <c r="L669" s="55"/>
      <c r="M669" s="55"/>
      <c r="N669" s="55"/>
      <c r="O669" s="55"/>
      <c r="P669" s="55"/>
      <c r="Q669" s="55"/>
      <c r="R669" s="55"/>
      <c r="S669" s="55"/>
      <c r="T669" s="55"/>
      <c r="U669" s="55"/>
    </row>
    <row r="670" spans="4:21" ht="13.5" customHeight="1">
      <c r="D670" s="53"/>
      <c r="E670" s="54"/>
      <c r="F670" s="54"/>
      <c r="G670" s="55"/>
      <c r="H670" s="55"/>
      <c r="I670" s="55"/>
      <c r="J670" s="55"/>
      <c r="K670" s="55"/>
      <c r="L670" s="55"/>
      <c r="M670" s="55"/>
      <c r="N670" s="55"/>
      <c r="O670" s="55"/>
      <c r="P670" s="55"/>
      <c r="Q670" s="55"/>
      <c r="R670" s="55"/>
      <c r="S670" s="55"/>
      <c r="T670" s="55"/>
      <c r="U670" s="55"/>
    </row>
    <row r="671" spans="4:21" ht="13.5" customHeight="1">
      <c r="D671" s="53"/>
      <c r="E671" s="54"/>
      <c r="F671" s="54"/>
      <c r="G671" s="55"/>
      <c r="H671" s="55"/>
      <c r="I671" s="55"/>
      <c r="J671" s="55"/>
      <c r="K671" s="55"/>
      <c r="L671" s="55"/>
      <c r="M671" s="55"/>
      <c r="N671" s="55"/>
      <c r="O671" s="55"/>
      <c r="P671" s="55"/>
      <c r="Q671" s="55"/>
      <c r="R671" s="55"/>
      <c r="S671" s="55"/>
      <c r="T671" s="55"/>
      <c r="U671" s="55"/>
    </row>
    <row r="672" spans="4:21" ht="13.5" customHeight="1">
      <c r="D672" s="53"/>
      <c r="E672" s="54"/>
      <c r="F672" s="54"/>
      <c r="G672" s="55"/>
      <c r="H672" s="55"/>
      <c r="I672" s="55"/>
      <c r="J672" s="55"/>
      <c r="K672" s="55"/>
      <c r="L672" s="55"/>
      <c r="M672" s="55"/>
      <c r="N672" s="55"/>
      <c r="O672" s="55"/>
      <c r="P672" s="55"/>
      <c r="Q672" s="55"/>
      <c r="R672" s="55"/>
      <c r="S672" s="55"/>
      <c r="T672" s="55"/>
      <c r="U672" s="55"/>
    </row>
    <row r="673" spans="4:21" ht="13.5" customHeight="1">
      <c r="D673" s="53"/>
      <c r="E673" s="54"/>
      <c r="F673" s="54"/>
      <c r="G673" s="55"/>
      <c r="H673" s="55"/>
      <c r="I673" s="55"/>
      <c r="J673" s="55"/>
      <c r="K673" s="55"/>
      <c r="L673" s="55"/>
      <c r="M673" s="55"/>
      <c r="N673" s="55"/>
      <c r="O673" s="55"/>
      <c r="P673" s="55"/>
      <c r="Q673" s="55"/>
      <c r="R673" s="55"/>
      <c r="S673" s="55"/>
      <c r="T673" s="55"/>
      <c r="U673" s="55"/>
    </row>
    <row r="674" spans="4:21" ht="13.5" customHeight="1">
      <c r="D674" s="53"/>
      <c r="E674" s="54"/>
      <c r="F674" s="54"/>
      <c r="G674" s="55"/>
      <c r="H674" s="55"/>
      <c r="I674" s="55"/>
      <c r="J674" s="55"/>
      <c r="K674" s="55"/>
      <c r="L674" s="55"/>
      <c r="M674" s="55"/>
      <c r="N674" s="55"/>
      <c r="O674" s="55"/>
      <c r="P674" s="55"/>
      <c r="Q674" s="55"/>
      <c r="R674" s="55"/>
      <c r="S674" s="55"/>
      <c r="T674" s="55"/>
      <c r="U674" s="55"/>
    </row>
    <row r="675" spans="4:21" ht="13.5" customHeight="1">
      <c r="D675" s="53"/>
      <c r="E675" s="54"/>
      <c r="F675" s="54"/>
      <c r="G675" s="55"/>
      <c r="H675" s="55"/>
      <c r="I675" s="55"/>
      <c r="J675" s="55"/>
      <c r="K675" s="55"/>
      <c r="L675" s="55"/>
      <c r="M675" s="55"/>
      <c r="N675" s="55"/>
      <c r="O675" s="55"/>
      <c r="P675" s="55"/>
      <c r="Q675" s="55"/>
      <c r="R675" s="55"/>
      <c r="S675" s="55"/>
      <c r="T675" s="55"/>
      <c r="U675" s="55"/>
    </row>
    <row r="676" spans="4:21" ht="13.5" customHeight="1">
      <c r="D676" s="53"/>
      <c r="E676" s="54"/>
      <c r="F676" s="54"/>
      <c r="G676" s="55"/>
      <c r="H676" s="55"/>
      <c r="I676" s="55"/>
      <c r="J676" s="55"/>
      <c r="K676" s="55"/>
      <c r="L676" s="55"/>
      <c r="M676" s="55"/>
      <c r="N676" s="55"/>
      <c r="O676" s="55"/>
      <c r="P676" s="55"/>
      <c r="Q676" s="55"/>
      <c r="R676" s="55"/>
      <c r="S676" s="55"/>
      <c r="T676" s="55"/>
      <c r="U676" s="55"/>
    </row>
    <row r="677" spans="4:21" ht="13.5" customHeight="1">
      <c r="D677" s="53"/>
      <c r="E677" s="54"/>
      <c r="F677" s="54"/>
      <c r="G677" s="55"/>
      <c r="H677" s="55"/>
      <c r="I677" s="55"/>
      <c r="J677" s="55"/>
      <c r="K677" s="55"/>
      <c r="L677" s="55"/>
      <c r="M677" s="55"/>
      <c r="N677" s="55"/>
      <c r="O677" s="55"/>
      <c r="P677" s="55"/>
      <c r="Q677" s="55"/>
      <c r="R677" s="55"/>
      <c r="S677" s="55"/>
      <c r="T677" s="55"/>
      <c r="U677" s="55"/>
    </row>
    <row r="678" spans="4:21" ht="13.5" customHeight="1">
      <c r="D678" s="53"/>
      <c r="E678" s="54"/>
      <c r="F678" s="54"/>
      <c r="G678" s="55"/>
      <c r="H678" s="55"/>
      <c r="I678" s="55"/>
      <c r="J678" s="55"/>
      <c r="K678" s="55"/>
      <c r="L678" s="55"/>
      <c r="M678" s="55"/>
      <c r="N678" s="55"/>
      <c r="O678" s="55"/>
      <c r="P678" s="55"/>
      <c r="Q678" s="55"/>
      <c r="R678" s="55"/>
      <c r="S678" s="55"/>
      <c r="T678" s="55"/>
      <c r="U678" s="55"/>
    </row>
    <row r="679" spans="4:21" ht="13.5" customHeight="1">
      <c r="D679" s="53"/>
      <c r="E679" s="54"/>
      <c r="F679" s="54"/>
      <c r="G679" s="55"/>
      <c r="H679" s="55"/>
      <c r="I679" s="55"/>
      <c r="J679" s="55"/>
      <c r="K679" s="55"/>
      <c r="L679" s="55"/>
      <c r="M679" s="55"/>
      <c r="N679" s="55"/>
      <c r="O679" s="55"/>
      <c r="P679" s="55"/>
      <c r="Q679" s="55"/>
      <c r="R679" s="55"/>
      <c r="S679" s="55"/>
      <c r="T679" s="55"/>
      <c r="U679" s="55"/>
    </row>
    <row r="680" spans="4:21" ht="13.5" customHeight="1">
      <c r="D680" s="53"/>
      <c r="E680" s="54"/>
      <c r="F680" s="54"/>
      <c r="G680" s="55"/>
      <c r="H680" s="55"/>
      <c r="I680" s="55"/>
      <c r="J680" s="55"/>
      <c r="K680" s="55"/>
      <c r="L680" s="55"/>
      <c r="M680" s="55"/>
      <c r="N680" s="55"/>
      <c r="O680" s="55"/>
      <c r="P680" s="55"/>
      <c r="Q680" s="55"/>
      <c r="R680" s="55"/>
      <c r="S680" s="55"/>
      <c r="T680" s="55"/>
      <c r="U680" s="55"/>
    </row>
    <row r="681" spans="4:21" ht="13.5" customHeight="1">
      <c r="D681" s="53"/>
      <c r="E681" s="54"/>
      <c r="F681" s="54"/>
      <c r="G681" s="55"/>
      <c r="H681" s="55"/>
      <c r="I681" s="55"/>
      <c r="J681" s="55"/>
      <c r="K681" s="55"/>
      <c r="L681" s="55"/>
      <c r="M681" s="55"/>
      <c r="N681" s="55"/>
      <c r="O681" s="55"/>
      <c r="P681" s="55"/>
      <c r="Q681" s="55"/>
      <c r="R681" s="55"/>
      <c r="S681" s="55"/>
      <c r="T681" s="55"/>
      <c r="U681" s="55"/>
    </row>
    <row r="682" spans="4:21" ht="13.5" customHeight="1">
      <c r="D682" s="53"/>
      <c r="E682" s="54"/>
      <c r="F682" s="54"/>
      <c r="G682" s="55"/>
      <c r="H682" s="55"/>
      <c r="I682" s="55"/>
      <c r="J682" s="55"/>
      <c r="K682" s="55"/>
      <c r="L682" s="55"/>
      <c r="M682" s="55"/>
      <c r="N682" s="55"/>
      <c r="O682" s="55"/>
      <c r="P682" s="55"/>
      <c r="Q682" s="55"/>
      <c r="R682" s="55"/>
      <c r="S682" s="55"/>
      <c r="T682" s="55"/>
      <c r="U682" s="55"/>
    </row>
    <row r="683" spans="4:21" ht="13.5" customHeight="1">
      <c r="D683" s="53"/>
      <c r="E683" s="54"/>
      <c r="F683" s="54"/>
      <c r="G683" s="55"/>
      <c r="H683" s="55"/>
      <c r="I683" s="55"/>
      <c r="J683" s="55"/>
      <c r="K683" s="55"/>
      <c r="L683" s="55"/>
      <c r="M683" s="55"/>
      <c r="N683" s="55"/>
      <c r="O683" s="55"/>
      <c r="P683" s="55"/>
      <c r="Q683" s="55"/>
      <c r="R683" s="55"/>
      <c r="S683" s="55"/>
      <c r="T683" s="55"/>
      <c r="U683" s="55"/>
    </row>
    <row r="684" spans="4:21" ht="13.5" customHeight="1">
      <c r="D684" s="53"/>
      <c r="E684" s="54"/>
      <c r="F684" s="54"/>
      <c r="G684" s="55"/>
      <c r="H684" s="55"/>
      <c r="I684" s="55"/>
      <c r="J684" s="55"/>
      <c r="K684" s="55"/>
      <c r="L684" s="55"/>
      <c r="M684" s="55"/>
      <c r="N684" s="55"/>
      <c r="O684" s="55"/>
      <c r="P684" s="55"/>
      <c r="Q684" s="55"/>
      <c r="R684" s="55"/>
      <c r="S684" s="55"/>
      <c r="T684" s="55"/>
      <c r="U684" s="55"/>
    </row>
    <row r="685" spans="4:21" ht="13.5" customHeight="1">
      <c r="D685" s="53"/>
      <c r="E685" s="54"/>
      <c r="F685" s="54"/>
      <c r="G685" s="55"/>
      <c r="H685" s="55"/>
      <c r="I685" s="55"/>
      <c r="J685" s="55"/>
      <c r="K685" s="55"/>
      <c r="L685" s="55"/>
      <c r="M685" s="55"/>
      <c r="N685" s="55"/>
      <c r="O685" s="55"/>
      <c r="P685" s="55"/>
      <c r="Q685" s="55"/>
      <c r="R685" s="55"/>
      <c r="S685" s="55"/>
      <c r="T685" s="55"/>
      <c r="U685" s="55"/>
    </row>
    <row r="686" spans="4:21" ht="13.5" customHeight="1">
      <c r="D686" s="53"/>
      <c r="E686" s="54"/>
      <c r="F686" s="54"/>
      <c r="G686" s="55"/>
      <c r="H686" s="55"/>
      <c r="I686" s="55"/>
      <c r="J686" s="55"/>
      <c r="K686" s="55"/>
      <c r="L686" s="55"/>
      <c r="M686" s="55"/>
      <c r="N686" s="55"/>
      <c r="O686" s="55"/>
      <c r="P686" s="55"/>
      <c r="Q686" s="55"/>
      <c r="R686" s="55"/>
      <c r="S686" s="55"/>
      <c r="T686" s="55"/>
      <c r="U686" s="55"/>
    </row>
    <row r="687" spans="4:21" ht="13.5" customHeight="1">
      <c r="D687" s="53"/>
      <c r="E687" s="54"/>
      <c r="F687" s="54"/>
      <c r="G687" s="55"/>
      <c r="H687" s="55"/>
      <c r="I687" s="55"/>
      <c r="J687" s="55"/>
      <c r="K687" s="55"/>
      <c r="L687" s="55"/>
      <c r="M687" s="55"/>
      <c r="N687" s="55"/>
      <c r="O687" s="55"/>
      <c r="P687" s="55"/>
      <c r="Q687" s="55"/>
      <c r="R687" s="55"/>
      <c r="S687" s="55"/>
      <c r="T687" s="55"/>
      <c r="U687" s="55"/>
    </row>
    <row r="688" spans="4:21" ht="13.5" customHeight="1">
      <c r="D688" s="53"/>
      <c r="E688" s="54"/>
      <c r="F688" s="54"/>
      <c r="G688" s="55"/>
      <c r="H688" s="55"/>
      <c r="I688" s="55"/>
      <c r="J688" s="55"/>
      <c r="K688" s="55"/>
      <c r="L688" s="55"/>
      <c r="M688" s="55"/>
      <c r="N688" s="55"/>
      <c r="O688" s="55"/>
      <c r="P688" s="55"/>
      <c r="Q688" s="55"/>
      <c r="R688" s="55"/>
      <c r="S688" s="55"/>
      <c r="T688" s="55"/>
      <c r="U688" s="55"/>
    </row>
    <row r="689" spans="4:21" ht="13.5" customHeight="1">
      <c r="D689" s="53"/>
      <c r="E689" s="54"/>
      <c r="F689" s="54"/>
      <c r="G689" s="55"/>
      <c r="H689" s="55"/>
      <c r="I689" s="55"/>
      <c r="J689" s="55"/>
      <c r="K689" s="55"/>
      <c r="L689" s="55"/>
      <c r="M689" s="55"/>
      <c r="N689" s="55"/>
      <c r="O689" s="55"/>
      <c r="P689" s="55"/>
      <c r="Q689" s="55"/>
      <c r="R689" s="55"/>
      <c r="S689" s="55"/>
      <c r="T689" s="55"/>
      <c r="U689" s="55"/>
    </row>
    <row r="690" spans="4:21" ht="13.5" customHeight="1">
      <c r="D690" s="53"/>
      <c r="E690" s="54"/>
      <c r="F690" s="54"/>
      <c r="G690" s="55"/>
      <c r="H690" s="55"/>
      <c r="I690" s="55"/>
      <c r="J690" s="55"/>
      <c r="K690" s="55"/>
      <c r="L690" s="55"/>
      <c r="M690" s="55"/>
      <c r="N690" s="55"/>
      <c r="O690" s="55"/>
      <c r="P690" s="55"/>
      <c r="Q690" s="55"/>
      <c r="R690" s="55"/>
      <c r="S690" s="55"/>
      <c r="T690" s="55"/>
      <c r="U690" s="55"/>
    </row>
    <row r="691" spans="4:21" ht="13.5" customHeight="1">
      <c r="D691" s="53"/>
      <c r="E691" s="54"/>
      <c r="F691" s="54"/>
      <c r="G691" s="55"/>
      <c r="H691" s="55"/>
      <c r="I691" s="55"/>
      <c r="J691" s="55"/>
      <c r="K691" s="55"/>
      <c r="L691" s="55"/>
      <c r="M691" s="55"/>
      <c r="N691" s="55"/>
      <c r="O691" s="55"/>
      <c r="P691" s="55"/>
      <c r="Q691" s="55"/>
      <c r="R691" s="55"/>
      <c r="S691" s="55"/>
      <c r="T691" s="55"/>
      <c r="U691" s="55"/>
    </row>
    <row r="692" spans="4:21" ht="13.5" customHeight="1">
      <c r="D692" s="53"/>
      <c r="E692" s="54"/>
      <c r="F692" s="54"/>
      <c r="G692" s="55"/>
      <c r="H692" s="55"/>
      <c r="I692" s="55"/>
      <c r="J692" s="55"/>
      <c r="K692" s="55"/>
      <c r="L692" s="55"/>
      <c r="M692" s="55"/>
      <c r="N692" s="55"/>
      <c r="O692" s="55"/>
      <c r="P692" s="55"/>
      <c r="Q692" s="55"/>
      <c r="R692" s="55"/>
      <c r="S692" s="55"/>
      <c r="T692" s="55"/>
      <c r="U692" s="55"/>
    </row>
    <row r="693" spans="4:21" ht="13.5" customHeight="1">
      <c r="D693" s="53"/>
      <c r="E693" s="54"/>
      <c r="F693" s="54"/>
      <c r="G693" s="55"/>
      <c r="H693" s="55"/>
      <c r="I693" s="55"/>
      <c r="J693" s="55"/>
      <c r="K693" s="55"/>
      <c r="L693" s="55"/>
      <c r="M693" s="55"/>
      <c r="N693" s="55"/>
      <c r="O693" s="55"/>
      <c r="P693" s="55"/>
      <c r="Q693" s="55"/>
      <c r="R693" s="55"/>
      <c r="S693" s="55"/>
      <c r="T693" s="55"/>
      <c r="U693" s="55"/>
    </row>
    <row r="694" spans="4:21" ht="13.5" customHeight="1">
      <c r="D694" s="53"/>
      <c r="E694" s="54"/>
      <c r="F694" s="54"/>
      <c r="G694" s="55"/>
      <c r="H694" s="55"/>
      <c r="I694" s="55"/>
      <c r="J694" s="55"/>
      <c r="K694" s="55"/>
      <c r="L694" s="55"/>
      <c r="M694" s="55"/>
      <c r="N694" s="55"/>
      <c r="O694" s="55"/>
      <c r="P694" s="55"/>
      <c r="Q694" s="55"/>
      <c r="R694" s="55"/>
      <c r="S694" s="55"/>
      <c r="T694" s="55"/>
      <c r="U694" s="55"/>
    </row>
    <row r="695" spans="4:21" ht="13.5" customHeight="1">
      <c r="D695" s="53"/>
      <c r="E695" s="54"/>
      <c r="F695" s="54"/>
      <c r="G695" s="55"/>
      <c r="H695" s="55"/>
      <c r="I695" s="55"/>
      <c r="J695" s="55"/>
      <c r="K695" s="55"/>
      <c r="L695" s="55"/>
      <c r="M695" s="55"/>
      <c r="N695" s="55"/>
      <c r="O695" s="55"/>
      <c r="P695" s="55"/>
      <c r="Q695" s="55"/>
      <c r="R695" s="55"/>
      <c r="S695" s="55"/>
      <c r="T695" s="55"/>
      <c r="U695" s="55"/>
    </row>
    <row r="696" spans="4:21" ht="13.5" customHeight="1">
      <c r="D696" s="53"/>
      <c r="E696" s="54"/>
      <c r="F696" s="54"/>
      <c r="G696" s="55"/>
      <c r="H696" s="55"/>
      <c r="I696" s="55"/>
      <c r="J696" s="55"/>
      <c r="K696" s="55"/>
      <c r="L696" s="55"/>
      <c r="M696" s="55"/>
      <c r="N696" s="55"/>
      <c r="O696" s="55"/>
      <c r="P696" s="55"/>
      <c r="Q696" s="55"/>
      <c r="R696" s="55"/>
      <c r="S696" s="55"/>
      <c r="T696" s="55"/>
      <c r="U696" s="55"/>
    </row>
    <row r="697" spans="4:21" ht="13.5" customHeight="1">
      <c r="D697" s="53"/>
      <c r="E697" s="54"/>
      <c r="F697" s="54"/>
      <c r="G697" s="55"/>
      <c r="H697" s="55"/>
      <c r="I697" s="55"/>
      <c r="J697" s="55"/>
      <c r="K697" s="55"/>
      <c r="L697" s="55"/>
      <c r="M697" s="55"/>
      <c r="N697" s="55"/>
      <c r="O697" s="55"/>
      <c r="P697" s="55"/>
      <c r="Q697" s="55"/>
      <c r="R697" s="55"/>
      <c r="S697" s="55"/>
      <c r="T697" s="55"/>
      <c r="U697" s="55"/>
    </row>
    <row r="698" spans="4:21" ht="13.5" customHeight="1">
      <c r="D698" s="53"/>
      <c r="E698" s="54"/>
      <c r="F698" s="54"/>
      <c r="G698" s="55"/>
      <c r="H698" s="55"/>
      <c r="I698" s="55"/>
      <c r="J698" s="55"/>
      <c r="K698" s="55"/>
      <c r="L698" s="55"/>
      <c r="M698" s="55"/>
      <c r="N698" s="55"/>
      <c r="O698" s="55"/>
      <c r="P698" s="55"/>
      <c r="Q698" s="55"/>
      <c r="R698" s="55"/>
      <c r="S698" s="55"/>
      <c r="T698" s="55"/>
      <c r="U698" s="55"/>
    </row>
    <row r="699" spans="4:21" ht="13.5" customHeight="1">
      <c r="D699" s="53"/>
      <c r="E699" s="54"/>
      <c r="F699" s="54"/>
      <c r="G699" s="55"/>
      <c r="H699" s="55"/>
      <c r="I699" s="55"/>
      <c r="J699" s="55"/>
      <c r="K699" s="55"/>
      <c r="L699" s="55"/>
      <c r="M699" s="55"/>
      <c r="N699" s="55"/>
      <c r="O699" s="55"/>
      <c r="P699" s="55"/>
      <c r="Q699" s="55"/>
      <c r="R699" s="55"/>
      <c r="S699" s="55"/>
      <c r="T699" s="55"/>
      <c r="U699" s="55"/>
    </row>
    <row r="700" spans="4:21" ht="13.5" customHeight="1">
      <c r="D700" s="53"/>
      <c r="E700" s="54"/>
      <c r="F700" s="54"/>
      <c r="G700" s="55"/>
      <c r="H700" s="55"/>
      <c r="I700" s="55"/>
      <c r="J700" s="55"/>
      <c r="K700" s="55"/>
      <c r="L700" s="55"/>
      <c r="M700" s="55"/>
      <c r="N700" s="55"/>
      <c r="O700" s="55"/>
      <c r="P700" s="55"/>
      <c r="Q700" s="55"/>
      <c r="R700" s="55"/>
      <c r="S700" s="55"/>
      <c r="T700" s="55"/>
      <c r="U700" s="55"/>
    </row>
    <row r="701" spans="4:21" ht="13.5" customHeight="1">
      <c r="D701" s="53"/>
      <c r="E701" s="54"/>
      <c r="F701" s="54"/>
      <c r="G701" s="55"/>
      <c r="H701" s="55"/>
      <c r="I701" s="55"/>
      <c r="J701" s="55"/>
      <c r="K701" s="55"/>
      <c r="L701" s="55"/>
      <c r="M701" s="55"/>
      <c r="N701" s="55"/>
      <c r="O701" s="55"/>
      <c r="P701" s="55"/>
      <c r="Q701" s="55"/>
      <c r="R701" s="55"/>
      <c r="S701" s="55"/>
      <c r="T701" s="55"/>
      <c r="U701" s="55"/>
    </row>
    <row r="702" spans="4:21" ht="13.5" customHeight="1">
      <c r="D702" s="53"/>
      <c r="E702" s="54"/>
      <c r="F702" s="54"/>
      <c r="G702" s="55"/>
      <c r="H702" s="55"/>
      <c r="I702" s="55"/>
      <c r="J702" s="55"/>
      <c r="K702" s="55"/>
      <c r="L702" s="55"/>
      <c r="M702" s="55"/>
      <c r="N702" s="55"/>
      <c r="O702" s="55"/>
      <c r="P702" s="55"/>
      <c r="Q702" s="55"/>
      <c r="R702" s="55"/>
      <c r="S702" s="55"/>
      <c r="T702" s="55"/>
      <c r="U702" s="55"/>
    </row>
    <row r="703" spans="4:21" ht="13.5" customHeight="1">
      <c r="D703" s="53"/>
      <c r="E703" s="54"/>
      <c r="F703" s="54"/>
      <c r="G703" s="55"/>
      <c r="H703" s="55"/>
      <c r="I703" s="55"/>
      <c r="J703" s="55"/>
      <c r="K703" s="55"/>
      <c r="L703" s="55"/>
      <c r="M703" s="55"/>
      <c r="N703" s="55"/>
      <c r="O703" s="55"/>
      <c r="P703" s="55"/>
      <c r="Q703" s="55"/>
      <c r="R703" s="55"/>
      <c r="S703" s="55"/>
      <c r="T703" s="55"/>
      <c r="U703" s="55"/>
    </row>
    <row r="704" spans="4:21" ht="13.5" customHeight="1">
      <c r="D704" s="53"/>
      <c r="E704" s="54"/>
      <c r="F704" s="54"/>
      <c r="G704" s="55"/>
      <c r="H704" s="55"/>
      <c r="I704" s="55"/>
      <c r="J704" s="55"/>
      <c r="K704" s="55"/>
      <c r="L704" s="55"/>
      <c r="M704" s="55"/>
      <c r="N704" s="55"/>
      <c r="O704" s="55"/>
      <c r="P704" s="55"/>
      <c r="Q704" s="55"/>
      <c r="R704" s="55"/>
      <c r="S704" s="55"/>
      <c r="T704" s="55"/>
      <c r="U704" s="55"/>
    </row>
    <row r="705" spans="4:21" ht="13.5" customHeight="1">
      <c r="D705" s="53"/>
      <c r="E705" s="54"/>
      <c r="F705" s="54"/>
      <c r="G705" s="55"/>
      <c r="H705" s="55"/>
      <c r="I705" s="55"/>
      <c r="J705" s="55"/>
      <c r="K705" s="55"/>
      <c r="L705" s="55"/>
      <c r="M705" s="55"/>
      <c r="N705" s="55"/>
      <c r="O705" s="55"/>
      <c r="P705" s="55"/>
      <c r="Q705" s="55"/>
      <c r="R705" s="55"/>
      <c r="S705" s="55"/>
      <c r="T705" s="55"/>
      <c r="U705" s="55"/>
    </row>
    <row r="706" spans="4:21" ht="13.5" customHeight="1">
      <c r="D706" s="53"/>
      <c r="E706" s="54"/>
      <c r="F706" s="54"/>
      <c r="G706" s="55"/>
      <c r="H706" s="55"/>
      <c r="I706" s="55"/>
      <c r="J706" s="55"/>
      <c r="K706" s="55"/>
      <c r="L706" s="55"/>
      <c r="M706" s="55"/>
      <c r="N706" s="55"/>
      <c r="O706" s="55"/>
      <c r="P706" s="55"/>
      <c r="Q706" s="55"/>
      <c r="R706" s="55"/>
      <c r="S706" s="55"/>
      <c r="T706" s="55"/>
      <c r="U706" s="55"/>
    </row>
    <row r="707" spans="4:21" ht="13.5" customHeight="1">
      <c r="D707" s="53"/>
      <c r="E707" s="54"/>
      <c r="F707" s="54"/>
      <c r="G707" s="55"/>
      <c r="H707" s="55"/>
      <c r="I707" s="55"/>
      <c r="J707" s="55"/>
      <c r="K707" s="55"/>
      <c r="L707" s="55"/>
      <c r="M707" s="55"/>
      <c r="N707" s="55"/>
      <c r="O707" s="55"/>
      <c r="P707" s="55"/>
      <c r="Q707" s="55"/>
      <c r="R707" s="55"/>
      <c r="S707" s="55"/>
      <c r="T707" s="55"/>
      <c r="U707" s="55"/>
    </row>
    <row r="708" spans="4:21" ht="13.5" customHeight="1">
      <c r="D708" s="53"/>
      <c r="E708" s="54"/>
      <c r="F708" s="54"/>
      <c r="G708" s="55"/>
      <c r="H708" s="55"/>
      <c r="I708" s="55"/>
      <c r="J708" s="55"/>
      <c r="K708" s="55"/>
      <c r="L708" s="55"/>
      <c r="M708" s="55"/>
      <c r="N708" s="55"/>
      <c r="O708" s="55"/>
      <c r="P708" s="55"/>
      <c r="Q708" s="55"/>
      <c r="R708" s="55"/>
      <c r="S708" s="55"/>
      <c r="T708" s="55"/>
      <c r="U708" s="55"/>
    </row>
    <row r="709" spans="4:21" ht="13.5" customHeight="1">
      <c r="D709" s="53"/>
      <c r="E709" s="54"/>
      <c r="F709" s="54"/>
      <c r="G709" s="55"/>
      <c r="H709" s="55"/>
      <c r="I709" s="55"/>
      <c r="J709" s="55"/>
      <c r="K709" s="55"/>
      <c r="L709" s="55"/>
      <c r="M709" s="55"/>
      <c r="N709" s="55"/>
      <c r="O709" s="55"/>
      <c r="P709" s="55"/>
      <c r="Q709" s="55"/>
      <c r="R709" s="55"/>
      <c r="S709" s="55"/>
      <c r="T709" s="55"/>
      <c r="U709" s="55"/>
    </row>
    <row r="710" spans="4:21" ht="13.5" customHeight="1">
      <c r="D710" s="53"/>
      <c r="E710" s="54"/>
      <c r="F710" s="54"/>
      <c r="G710" s="55"/>
      <c r="H710" s="55"/>
      <c r="I710" s="55"/>
      <c r="J710" s="55"/>
      <c r="K710" s="55"/>
      <c r="L710" s="55"/>
      <c r="M710" s="55"/>
      <c r="N710" s="55"/>
      <c r="O710" s="55"/>
      <c r="P710" s="55"/>
      <c r="Q710" s="55"/>
      <c r="R710" s="55"/>
      <c r="S710" s="55"/>
      <c r="T710" s="55"/>
      <c r="U710" s="55"/>
    </row>
    <row r="711" spans="4:21" ht="13.5" customHeight="1">
      <c r="D711" s="53"/>
      <c r="E711" s="54"/>
      <c r="F711" s="54"/>
      <c r="G711" s="55"/>
      <c r="H711" s="55"/>
      <c r="I711" s="55"/>
      <c r="J711" s="55"/>
      <c r="K711" s="55"/>
      <c r="L711" s="55"/>
      <c r="M711" s="55"/>
      <c r="N711" s="55"/>
      <c r="O711" s="55"/>
      <c r="P711" s="55"/>
      <c r="Q711" s="55"/>
      <c r="R711" s="55"/>
      <c r="S711" s="55"/>
      <c r="T711" s="55"/>
      <c r="U711" s="55"/>
    </row>
    <row r="712" spans="4:21" ht="13.5" customHeight="1">
      <c r="D712" s="53"/>
      <c r="E712" s="54"/>
      <c r="F712" s="54"/>
      <c r="G712" s="55"/>
      <c r="H712" s="55"/>
      <c r="I712" s="55"/>
      <c r="J712" s="55"/>
      <c r="K712" s="55"/>
      <c r="L712" s="55"/>
      <c r="M712" s="55"/>
      <c r="N712" s="55"/>
      <c r="O712" s="55"/>
      <c r="P712" s="55"/>
      <c r="Q712" s="55"/>
      <c r="R712" s="55"/>
      <c r="S712" s="55"/>
      <c r="T712" s="55"/>
      <c r="U712" s="55"/>
    </row>
    <row r="713" spans="4:21" ht="13.5" customHeight="1">
      <c r="D713" s="53"/>
      <c r="E713" s="54"/>
      <c r="F713" s="54"/>
      <c r="G713" s="55"/>
      <c r="H713" s="55"/>
      <c r="I713" s="55"/>
      <c r="J713" s="55"/>
      <c r="K713" s="55"/>
      <c r="L713" s="55"/>
      <c r="M713" s="55"/>
      <c r="N713" s="55"/>
      <c r="O713" s="55"/>
      <c r="P713" s="55"/>
      <c r="Q713" s="55"/>
      <c r="R713" s="55"/>
      <c r="S713" s="55"/>
      <c r="T713" s="55"/>
      <c r="U713" s="55"/>
    </row>
    <row r="714" spans="4:21" ht="13.5" customHeight="1">
      <c r="D714" s="53"/>
      <c r="E714" s="54"/>
      <c r="F714" s="54"/>
      <c r="G714" s="55"/>
      <c r="H714" s="55"/>
      <c r="I714" s="55"/>
      <c r="J714" s="55"/>
      <c r="K714" s="55"/>
      <c r="L714" s="55"/>
      <c r="M714" s="55"/>
      <c r="N714" s="55"/>
      <c r="O714" s="55"/>
      <c r="P714" s="55"/>
      <c r="Q714" s="55"/>
      <c r="R714" s="55"/>
      <c r="S714" s="55"/>
      <c r="T714" s="55"/>
      <c r="U714" s="55"/>
    </row>
    <row r="715" spans="4:21" ht="13.5" customHeight="1">
      <c r="D715" s="53"/>
      <c r="E715" s="54"/>
      <c r="F715" s="54"/>
      <c r="G715" s="55"/>
      <c r="H715" s="55"/>
      <c r="I715" s="55"/>
      <c r="J715" s="55"/>
      <c r="K715" s="55"/>
      <c r="L715" s="55"/>
      <c r="M715" s="55"/>
      <c r="N715" s="55"/>
      <c r="O715" s="55"/>
      <c r="P715" s="55"/>
      <c r="Q715" s="55"/>
      <c r="R715" s="55"/>
      <c r="S715" s="55"/>
      <c r="T715" s="55"/>
      <c r="U715" s="55"/>
    </row>
    <row r="716" spans="4:21" ht="13.5" customHeight="1">
      <c r="D716" s="53"/>
      <c r="E716" s="54"/>
      <c r="F716" s="54"/>
      <c r="G716" s="55"/>
      <c r="H716" s="55"/>
      <c r="I716" s="55"/>
      <c r="J716" s="55"/>
      <c r="K716" s="55"/>
      <c r="L716" s="55"/>
      <c r="M716" s="55"/>
      <c r="N716" s="55"/>
      <c r="O716" s="55"/>
      <c r="P716" s="55"/>
      <c r="Q716" s="55"/>
      <c r="R716" s="55"/>
      <c r="S716" s="55"/>
      <c r="T716" s="55"/>
      <c r="U716" s="55"/>
    </row>
    <row r="717" spans="4:21" ht="13.5" customHeight="1">
      <c r="D717" s="53"/>
      <c r="E717" s="54"/>
      <c r="F717" s="54"/>
      <c r="G717" s="55"/>
      <c r="H717" s="55"/>
      <c r="I717" s="55"/>
      <c r="J717" s="55"/>
      <c r="K717" s="55"/>
      <c r="L717" s="55"/>
      <c r="M717" s="55"/>
      <c r="N717" s="55"/>
      <c r="O717" s="55"/>
      <c r="P717" s="55"/>
      <c r="Q717" s="55"/>
      <c r="R717" s="55"/>
      <c r="S717" s="55"/>
      <c r="T717" s="55"/>
      <c r="U717" s="55"/>
    </row>
    <row r="718" spans="4:21" ht="13.5" customHeight="1">
      <c r="D718" s="53"/>
      <c r="E718" s="54"/>
      <c r="F718" s="54"/>
      <c r="G718" s="55"/>
      <c r="H718" s="55"/>
      <c r="I718" s="55"/>
      <c r="J718" s="55"/>
      <c r="K718" s="55"/>
      <c r="L718" s="55"/>
      <c r="M718" s="55"/>
      <c r="N718" s="55"/>
      <c r="O718" s="55"/>
      <c r="P718" s="55"/>
      <c r="Q718" s="55"/>
      <c r="R718" s="55"/>
      <c r="S718" s="55"/>
      <c r="T718" s="55"/>
      <c r="U718" s="55"/>
    </row>
    <row r="719" spans="4:21" ht="13.5" customHeight="1">
      <c r="D719" s="53"/>
      <c r="E719" s="54"/>
      <c r="F719" s="54"/>
      <c r="G719" s="55"/>
      <c r="H719" s="55"/>
      <c r="I719" s="55"/>
      <c r="J719" s="55"/>
      <c r="K719" s="55"/>
      <c r="L719" s="55"/>
      <c r="M719" s="55"/>
      <c r="N719" s="55"/>
      <c r="O719" s="55"/>
      <c r="P719" s="55"/>
      <c r="Q719" s="55"/>
      <c r="R719" s="55"/>
      <c r="S719" s="55"/>
      <c r="T719" s="55"/>
      <c r="U719" s="55"/>
    </row>
    <row r="720" spans="4:21" ht="13.5" customHeight="1">
      <c r="D720" s="53"/>
      <c r="E720" s="54"/>
      <c r="F720" s="54"/>
      <c r="G720" s="55"/>
      <c r="H720" s="55"/>
      <c r="I720" s="55"/>
      <c r="J720" s="55"/>
      <c r="K720" s="55"/>
      <c r="L720" s="55"/>
      <c r="M720" s="55"/>
      <c r="N720" s="55"/>
      <c r="O720" s="55"/>
      <c r="P720" s="55"/>
      <c r="Q720" s="55"/>
      <c r="R720" s="55"/>
      <c r="S720" s="55"/>
      <c r="T720" s="55"/>
      <c r="U720" s="55"/>
    </row>
    <row r="721" spans="4:21" ht="13.5" customHeight="1">
      <c r="D721" s="53"/>
      <c r="E721" s="54"/>
      <c r="F721" s="54"/>
      <c r="G721" s="55"/>
      <c r="H721" s="55"/>
      <c r="I721" s="55"/>
      <c r="J721" s="55"/>
      <c r="K721" s="55"/>
      <c r="L721" s="55"/>
      <c r="M721" s="55"/>
      <c r="N721" s="55"/>
      <c r="O721" s="55"/>
      <c r="P721" s="55"/>
      <c r="Q721" s="55"/>
      <c r="R721" s="55"/>
      <c r="S721" s="55"/>
      <c r="T721" s="55"/>
      <c r="U721" s="55"/>
    </row>
    <row r="722" spans="4:21" ht="13.5" customHeight="1">
      <c r="D722" s="53"/>
      <c r="E722" s="54"/>
      <c r="F722" s="54"/>
      <c r="G722" s="55"/>
      <c r="H722" s="55"/>
      <c r="I722" s="55"/>
      <c r="J722" s="55"/>
      <c r="K722" s="55"/>
      <c r="L722" s="55"/>
      <c r="M722" s="55"/>
      <c r="N722" s="55"/>
      <c r="O722" s="55"/>
      <c r="P722" s="55"/>
      <c r="Q722" s="55"/>
      <c r="R722" s="55"/>
      <c r="S722" s="55"/>
      <c r="T722" s="55"/>
      <c r="U722" s="55"/>
    </row>
    <row r="723" spans="4:21" ht="13.5" customHeight="1">
      <c r="D723" s="53"/>
      <c r="E723" s="54"/>
      <c r="F723" s="54"/>
      <c r="G723" s="55"/>
      <c r="H723" s="55"/>
      <c r="I723" s="55"/>
      <c r="J723" s="55"/>
      <c r="K723" s="55"/>
      <c r="L723" s="55"/>
      <c r="M723" s="55"/>
      <c r="N723" s="55"/>
      <c r="O723" s="55"/>
      <c r="P723" s="55"/>
      <c r="Q723" s="55"/>
      <c r="R723" s="55"/>
      <c r="S723" s="55"/>
      <c r="T723" s="55"/>
      <c r="U723" s="55"/>
    </row>
    <row r="724" spans="4:21" ht="13.5" customHeight="1">
      <c r="D724" s="53"/>
      <c r="E724" s="54"/>
      <c r="F724" s="54"/>
      <c r="G724" s="55"/>
      <c r="H724" s="55"/>
      <c r="I724" s="55"/>
      <c r="J724" s="55"/>
      <c r="K724" s="55"/>
      <c r="L724" s="55"/>
      <c r="M724" s="55"/>
      <c r="N724" s="55"/>
      <c r="O724" s="55"/>
      <c r="P724" s="55"/>
      <c r="Q724" s="55"/>
      <c r="R724" s="55"/>
      <c r="S724" s="55"/>
      <c r="T724" s="55"/>
      <c r="U724" s="55"/>
    </row>
    <row r="725" spans="4:21" ht="13.5" customHeight="1">
      <c r="D725" s="53"/>
      <c r="E725" s="54"/>
      <c r="F725" s="54"/>
      <c r="G725" s="55"/>
      <c r="H725" s="55"/>
      <c r="I725" s="55"/>
      <c r="J725" s="55"/>
      <c r="K725" s="55"/>
      <c r="L725" s="55"/>
      <c r="M725" s="55"/>
      <c r="N725" s="55"/>
      <c r="O725" s="55"/>
      <c r="P725" s="55"/>
      <c r="Q725" s="55"/>
      <c r="R725" s="55"/>
      <c r="S725" s="55"/>
      <c r="T725" s="55"/>
      <c r="U725" s="55"/>
    </row>
    <row r="726" spans="4:21" ht="13.5" customHeight="1">
      <c r="D726" s="53"/>
      <c r="E726" s="54"/>
      <c r="F726" s="54"/>
      <c r="G726" s="55"/>
      <c r="H726" s="55"/>
      <c r="I726" s="55"/>
      <c r="J726" s="55"/>
      <c r="K726" s="55"/>
      <c r="L726" s="55"/>
      <c r="M726" s="55"/>
      <c r="N726" s="55"/>
      <c r="O726" s="55"/>
      <c r="P726" s="55"/>
      <c r="Q726" s="55"/>
      <c r="R726" s="55"/>
      <c r="S726" s="55"/>
      <c r="T726" s="55"/>
      <c r="U726" s="55"/>
    </row>
    <row r="727" spans="4:21" ht="13.5" customHeight="1">
      <c r="D727" s="53"/>
      <c r="E727" s="54"/>
      <c r="F727" s="54"/>
      <c r="G727" s="55"/>
      <c r="H727" s="55"/>
      <c r="I727" s="55"/>
      <c r="J727" s="55"/>
      <c r="K727" s="55"/>
      <c r="L727" s="55"/>
      <c r="M727" s="55"/>
      <c r="N727" s="55"/>
      <c r="O727" s="55"/>
      <c r="P727" s="55"/>
      <c r="Q727" s="55"/>
      <c r="R727" s="55"/>
      <c r="S727" s="55"/>
      <c r="T727" s="55"/>
      <c r="U727" s="55"/>
    </row>
    <row r="728" spans="4:21" ht="13.5" customHeight="1">
      <c r="D728" s="53"/>
      <c r="E728" s="54"/>
      <c r="F728" s="54"/>
      <c r="G728" s="55"/>
      <c r="H728" s="55"/>
      <c r="I728" s="55"/>
      <c r="J728" s="55"/>
      <c r="K728" s="55"/>
      <c r="L728" s="55"/>
      <c r="M728" s="55"/>
      <c r="N728" s="55"/>
      <c r="O728" s="55"/>
      <c r="P728" s="55"/>
      <c r="Q728" s="55"/>
      <c r="R728" s="55"/>
      <c r="S728" s="55"/>
      <c r="T728" s="55"/>
      <c r="U728" s="55"/>
    </row>
    <row r="729" spans="4:21" ht="13.5" customHeight="1">
      <c r="D729" s="53"/>
      <c r="E729" s="54"/>
      <c r="F729" s="54"/>
      <c r="G729" s="55"/>
      <c r="H729" s="55"/>
      <c r="I729" s="55"/>
      <c r="J729" s="55"/>
      <c r="K729" s="55"/>
      <c r="L729" s="55"/>
      <c r="M729" s="55"/>
      <c r="N729" s="55"/>
      <c r="O729" s="55"/>
      <c r="P729" s="55"/>
      <c r="Q729" s="55"/>
      <c r="R729" s="55"/>
      <c r="S729" s="55"/>
      <c r="T729" s="55"/>
      <c r="U729" s="55"/>
    </row>
    <row r="730" spans="4:21" ht="13.5" customHeight="1">
      <c r="D730" s="53"/>
      <c r="E730" s="54"/>
      <c r="F730" s="54"/>
      <c r="G730" s="55"/>
      <c r="H730" s="55"/>
      <c r="I730" s="55"/>
      <c r="J730" s="55"/>
      <c r="K730" s="55"/>
      <c r="L730" s="55"/>
      <c r="M730" s="55"/>
      <c r="N730" s="55"/>
      <c r="O730" s="55"/>
      <c r="P730" s="55"/>
      <c r="Q730" s="55"/>
      <c r="R730" s="55"/>
      <c r="S730" s="55"/>
      <c r="T730" s="55"/>
      <c r="U730" s="55"/>
    </row>
    <row r="731" spans="4:21" ht="13.5" customHeight="1">
      <c r="D731" s="53"/>
      <c r="E731" s="54"/>
      <c r="F731" s="54"/>
      <c r="G731" s="55"/>
      <c r="H731" s="55"/>
      <c r="I731" s="55"/>
      <c r="J731" s="55"/>
      <c r="K731" s="55"/>
      <c r="L731" s="55"/>
      <c r="M731" s="55"/>
      <c r="N731" s="55"/>
      <c r="O731" s="55"/>
      <c r="P731" s="55"/>
      <c r="Q731" s="55"/>
      <c r="R731" s="55"/>
      <c r="S731" s="55"/>
      <c r="T731" s="55"/>
      <c r="U731" s="55"/>
    </row>
    <row r="732" spans="4:21" ht="13.5" customHeight="1">
      <c r="D732" s="53"/>
      <c r="E732" s="54"/>
      <c r="F732" s="54"/>
      <c r="G732" s="55"/>
      <c r="H732" s="55"/>
      <c r="I732" s="55"/>
      <c r="J732" s="55"/>
      <c r="K732" s="55"/>
      <c r="L732" s="55"/>
      <c r="M732" s="55"/>
      <c r="N732" s="55"/>
      <c r="O732" s="55"/>
      <c r="P732" s="55"/>
      <c r="Q732" s="55"/>
      <c r="R732" s="55"/>
      <c r="S732" s="55"/>
      <c r="T732" s="55"/>
      <c r="U732" s="55"/>
    </row>
    <row r="733" spans="4:21" ht="13.5" customHeight="1">
      <c r="D733" s="53"/>
      <c r="E733" s="54"/>
      <c r="F733" s="54"/>
      <c r="G733" s="55"/>
      <c r="H733" s="55"/>
      <c r="I733" s="55"/>
      <c r="J733" s="55"/>
      <c r="K733" s="55"/>
      <c r="L733" s="55"/>
      <c r="M733" s="55"/>
      <c r="N733" s="55"/>
      <c r="O733" s="55"/>
      <c r="P733" s="55"/>
      <c r="Q733" s="55"/>
      <c r="R733" s="55"/>
      <c r="S733" s="55"/>
      <c r="T733" s="55"/>
      <c r="U733" s="55"/>
    </row>
    <row r="734" spans="4:21" ht="13.5" customHeight="1">
      <c r="D734" s="53"/>
      <c r="E734" s="54"/>
      <c r="F734" s="54"/>
      <c r="G734" s="55"/>
      <c r="H734" s="55"/>
      <c r="I734" s="55"/>
      <c r="J734" s="55"/>
      <c r="K734" s="55"/>
      <c r="L734" s="55"/>
      <c r="M734" s="55"/>
      <c r="N734" s="55"/>
      <c r="O734" s="55"/>
      <c r="P734" s="55"/>
      <c r="Q734" s="55"/>
      <c r="R734" s="55"/>
      <c r="S734" s="55"/>
      <c r="T734" s="55"/>
      <c r="U734" s="55"/>
    </row>
    <row r="735" spans="4:21" ht="13.5" customHeight="1">
      <c r="D735" s="53"/>
      <c r="E735" s="54"/>
      <c r="F735" s="54"/>
      <c r="G735" s="55"/>
      <c r="H735" s="55"/>
      <c r="I735" s="55"/>
      <c r="J735" s="55"/>
      <c r="K735" s="55"/>
      <c r="L735" s="55"/>
      <c r="M735" s="55"/>
      <c r="N735" s="55"/>
      <c r="O735" s="55"/>
      <c r="P735" s="55"/>
      <c r="Q735" s="55"/>
      <c r="R735" s="55"/>
      <c r="S735" s="55"/>
      <c r="T735" s="55"/>
      <c r="U735" s="55"/>
    </row>
    <row r="736" spans="4:21" ht="13.5" customHeight="1">
      <c r="D736" s="53"/>
      <c r="E736" s="54"/>
      <c r="F736" s="54"/>
      <c r="G736" s="55"/>
      <c r="H736" s="55"/>
      <c r="I736" s="55"/>
      <c r="J736" s="55"/>
      <c r="K736" s="55"/>
      <c r="L736" s="55"/>
      <c r="M736" s="55"/>
      <c r="N736" s="55"/>
      <c r="O736" s="55"/>
      <c r="P736" s="55"/>
      <c r="Q736" s="55"/>
      <c r="R736" s="55"/>
      <c r="S736" s="55"/>
      <c r="T736" s="55"/>
      <c r="U736" s="55"/>
    </row>
    <row r="737" spans="4:21" ht="13.5" customHeight="1">
      <c r="D737" s="53"/>
      <c r="E737" s="54"/>
      <c r="F737" s="54"/>
      <c r="G737" s="55"/>
      <c r="H737" s="55"/>
      <c r="I737" s="55"/>
      <c r="J737" s="55"/>
      <c r="K737" s="55"/>
      <c r="L737" s="55"/>
      <c r="M737" s="55"/>
      <c r="N737" s="55"/>
      <c r="O737" s="55"/>
      <c r="P737" s="55"/>
      <c r="Q737" s="55"/>
      <c r="R737" s="55"/>
      <c r="S737" s="55"/>
      <c r="T737" s="55"/>
      <c r="U737" s="55"/>
    </row>
    <row r="738" spans="4:21" ht="13.5" customHeight="1">
      <c r="D738" s="53"/>
      <c r="E738" s="54"/>
      <c r="F738" s="54"/>
      <c r="G738" s="55"/>
      <c r="H738" s="55"/>
      <c r="I738" s="55"/>
      <c r="J738" s="55"/>
      <c r="K738" s="55"/>
      <c r="L738" s="55"/>
      <c r="M738" s="55"/>
      <c r="N738" s="55"/>
      <c r="O738" s="55"/>
      <c r="P738" s="55"/>
      <c r="Q738" s="55"/>
      <c r="R738" s="55"/>
      <c r="S738" s="55"/>
      <c r="T738" s="55"/>
      <c r="U738" s="55"/>
    </row>
    <row r="739" spans="4:21" ht="13.5" customHeight="1">
      <c r="D739" s="53"/>
      <c r="E739" s="54"/>
      <c r="F739" s="54"/>
      <c r="G739" s="55"/>
      <c r="H739" s="55"/>
      <c r="I739" s="55"/>
      <c r="J739" s="55"/>
      <c r="K739" s="55"/>
      <c r="L739" s="55"/>
      <c r="M739" s="55"/>
      <c r="N739" s="55"/>
      <c r="O739" s="55"/>
      <c r="P739" s="55"/>
      <c r="Q739" s="55"/>
      <c r="R739" s="55"/>
      <c r="S739" s="55"/>
      <c r="T739" s="55"/>
      <c r="U739" s="55"/>
    </row>
    <row r="740" spans="4:21" ht="13.5" customHeight="1">
      <c r="D740" s="53"/>
      <c r="E740" s="54"/>
      <c r="F740" s="54"/>
      <c r="G740" s="55"/>
      <c r="H740" s="55"/>
      <c r="I740" s="55"/>
      <c r="J740" s="55"/>
      <c r="K740" s="55"/>
      <c r="L740" s="55"/>
      <c r="M740" s="55"/>
      <c r="N740" s="55"/>
      <c r="O740" s="55"/>
      <c r="P740" s="55"/>
      <c r="Q740" s="55"/>
      <c r="R740" s="55"/>
      <c r="S740" s="55"/>
      <c r="T740" s="55"/>
      <c r="U740" s="55"/>
    </row>
    <row r="741" spans="4:21" ht="13.5" customHeight="1">
      <c r="D741" s="53"/>
      <c r="E741" s="54"/>
      <c r="F741" s="54"/>
      <c r="G741" s="55"/>
      <c r="H741" s="55"/>
      <c r="I741" s="55"/>
      <c r="J741" s="55"/>
      <c r="K741" s="55"/>
      <c r="L741" s="55"/>
      <c r="M741" s="55"/>
      <c r="N741" s="55"/>
      <c r="O741" s="55"/>
      <c r="P741" s="55"/>
      <c r="Q741" s="55"/>
      <c r="R741" s="55"/>
      <c r="S741" s="55"/>
      <c r="T741" s="55"/>
      <c r="U741" s="55"/>
    </row>
    <row r="742" spans="4:21" ht="13.5" customHeight="1">
      <c r="D742" s="53"/>
      <c r="E742" s="54"/>
      <c r="F742" s="54"/>
      <c r="G742" s="55"/>
      <c r="H742" s="55"/>
      <c r="I742" s="55"/>
      <c r="J742" s="55"/>
      <c r="K742" s="55"/>
      <c r="L742" s="55"/>
      <c r="M742" s="55"/>
      <c r="N742" s="55"/>
      <c r="O742" s="55"/>
      <c r="P742" s="55"/>
      <c r="Q742" s="55"/>
      <c r="R742" s="55"/>
      <c r="S742" s="55"/>
      <c r="T742" s="55"/>
      <c r="U742" s="55"/>
    </row>
    <row r="743" spans="4:21" ht="13.5" customHeight="1">
      <c r="D743" s="53"/>
      <c r="E743" s="54"/>
      <c r="F743" s="54"/>
      <c r="G743" s="55"/>
      <c r="H743" s="55"/>
      <c r="I743" s="55"/>
      <c r="J743" s="55"/>
      <c r="K743" s="55"/>
      <c r="L743" s="55"/>
      <c r="M743" s="55"/>
      <c r="N743" s="55"/>
      <c r="O743" s="55"/>
      <c r="P743" s="55"/>
      <c r="Q743" s="55"/>
      <c r="R743" s="55"/>
      <c r="S743" s="55"/>
      <c r="T743" s="55"/>
      <c r="U743" s="55"/>
    </row>
    <row r="744" spans="4:21" ht="13.5" customHeight="1">
      <c r="D744" s="53"/>
      <c r="E744" s="54"/>
      <c r="F744" s="54"/>
      <c r="G744" s="55"/>
      <c r="H744" s="55"/>
      <c r="I744" s="55"/>
      <c r="J744" s="55"/>
      <c r="K744" s="55"/>
      <c r="L744" s="55"/>
      <c r="M744" s="55"/>
      <c r="N744" s="55"/>
      <c r="O744" s="55"/>
      <c r="P744" s="55"/>
      <c r="Q744" s="55"/>
      <c r="R744" s="55"/>
      <c r="S744" s="55"/>
      <c r="T744" s="55"/>
      <c r="U744" s="55"/>
    </row>
    <row r="745" spans="4:21" ht="13.5" customHeight="1">
      <c r="D745" s="53"/>
      <c r="E745" s="54"/>
      <c r="F745" s="54"/>
      <c r="G745" s="55"/>
      <c r="H745" s="55"/>
      <c r="I745" s="55"/>
      <c r="J745" s="55"/>
      <c r="K745" s="55"/>
      <c r="L745" s="55"/>
      <c r="M745" s="55"/>
      <c r="N745" s="55"/>
      <c r="O745" s="55"/>
      <c r="P745" s="55"/>
      <c r="Q745" s="55"/>
      <c r="R745" s="55"/>
      <c r="S745" s="55"/>
      <c r="T745" s="55"/>
      <c r="U745" s="55"/>
    </row>
    <row r="746" spans="4:21" ht="13.5" customHeight="1">
      <c r="D746" s="53"/>
      <c r="E746" s="54"/>
      <c r="F746" s="54"/>
      <c r="G746" s="55"/>
      <c r="H746" s="55"/>
      <c r="I746" s="55"/>
      <c r="J746" s="55"/>
      <c r="K746" s="55"/>
      <c r="L746" s="55"/>
      <c r="M746" s="55"/>
      <c r="N746" s="55"/>
      <c r="O746" s="55"/>
      <c r="P746" s="55"/>
      <c r="Q746" s="55"/>
      <c r="R746" s="55"/>
      <c r="S746" s="55"/>
      <c r="T746" s="55"/>
      <c r="U746" s="55"/>
    </row>
    <row r="747" spans="4:21" ht="13.5" customHeight="1">
      <c r="D747" s="53"/>
      <c r="E747" s="54"/>
      <c r="F747" s="54"/>
      <c r="G747" s="55"/>
      <c r="H747" s="55"/>
      <c r="I747" s="55"/>
      <c r="J747" s="55"/>
      <c r="K747" s="55"/>
      <c r="L747" s="55"/>
      <c r="M747" s="55"/>
      <c r="N747" s="55"/>
      <c r="O747" s="55"/>
      <c r="P747" s="55"/>
      <c r="Q747" s="55"/>
      <c r="R747" s="55"/>
      <c r="S747" s="55"/>
      <c r="T747" s="55"/>
      <c r="U747" s="55"/>
    </row>
    <row r="748" spans="4:21" ht="13.5" customHeight="1">
      <c r="D748" s="53"/>
      <c r="E748" s="54"/>
      <c r="F748" s="54"/>
      <c r="G748" s="55"/>
      <c r="H748" s="55"/>
      <c r="I748" s="55"/>
      <c r="J748" s="55"/>
      <c r="K748" s="55"/>
      <c r="L748" s="55"/>
      <c r="M748" s="55"/>
      <c r="N748" s="55"/>
      <c r="O748" s="55"/>
      <c r="P748" s="55"/>
      <c r="Q748" s="55"/>
      <c r="R748" s="55"/>
      <c r="S748" s="55"/>
      <c r="T748" s="55"/>
      <c r="U748" s="55"/>
    </row>
    <row r="749" spans="4:21" ht="13.5" customHeight="1">
      <c r="D749" s="53"/>
      <c r="E749" s="54"/>
      <c r="F749" s="54"/>
      <c r="G749" s="55"/>
      <c r="H749" s="55"/>
      <c r="I749" s="55"/>
      <c r="J749" s="55"/>
      <c r="K749" s="55"/>
      <c r="L749" s="55"/>
      <c r="M749" s="55"/>
      <c r="N749" s="55"/>
      <c r="O749" s="55"/>
      <c r="P749" s="55"/>
      <c r="Q749" s="55"/>
      <c r="R749" s="55"/>
      <c r="S749" s="55"/>
      <c r="T749" s="55"/>
      <c r="U749" s="55"/>
    </row>
    <row r="750" spans="4:21" ht="13.5" customHeight="1">
      <c r="D750" s="53"/>
      <c r="E750" s="54"/>
      <c r="F750" s="54"/>
      <c r="G750" s="55"/>
      <c r="H750" s="55"/>
      <c r="I750" s="55"/>
      <c r="J750" s="55"/>
      <c r="K750" s="55"/>
      <c r="L750" s="55"/>
      <c r="M750" s="55"/>
      <c r="N750" s="55"/>
      <c r="O750" s="55"/>
      <c r="P750" s="55"/>
      <c r="Q750" s="55"/>
      <c r="R750" s="55"/>
      <c r="S750" s="55"/>
      <c r="T750" s="55"/>
      <c r="U750" s="55"/>
    </row>
    <row r="751" spans="4:21" ht="13.5" customHeight="1">
      <c r="D751" s="53"/>
      <c r="E751" s="54"/>
      <c r="F751" s="54"/>
      <c r="G751" s="55"/>
      <c r="H751" s="55"/>
      <c r="I751" s="55"/>
      <c r="J751" s="55"/>
      <c r="K751" s="55"/>
      <c r="L751" s="55"/>
      <c r="M751" s="55"/>
      <c r="N751" s="55"/>
      <c r="O751" s="55"/>
      <c r="P751" s="55"/>
      <c r="Q751" s="55"/>
      <c r="R751" s="55"/>
      <c r="S751" s="55"/>
      <c r="T751" s="55"/>
      <c r="U751" s="55"/>
    </row>
    <row r="752" spans="4:21" ht="13.5" customHeight="1">
      <c r="D752" s="53"/>
      <c r="E752" s="54"/>
      <c r="F752" s="54"/>
      <c r="G752" s="55"/>
      <c r="H752" s="55"/>
      <c r="I752" s="55"/>
      <c r="J752" s="55"/>
      <c r="K752" s="55"/>
      <c r="L752" s="55"/>
      <c r="M752" s="55"/>
      <c r="N752" s="55"/>
      <c r="O752" s="55"/>
      <c r="P752" s="55"/>
      <c r="Q752" s="55"/>
      <c r="R752" s="55"/>
      <c r="S752" s="55"/>
      <c r="T752" s="55"/>
      <c r="U752" s="55"/>
    </row>
    <row r="753" spans="4:21" ht="13.5" customHeight="1">
      <c r="D753" s="53"/>
      <c r="E753" s="54"/>
      <c r="F753" s="54"/>
      <c r="G753" s="55"/>
      <c r="H753" s="55"/>
      <c r="I753" s="55"/>
      <c r="J753" s="55"/>
      <c r="K753" s="55"/>
      <c r="L753" s="55"/>
      <c r="M753" s="55"/>
      <c r="N753" s="55"/>
      <c r="O753" s="55"/>
      <c r="P753" s="55"/>
      <c r="Q753" s="55"/>
      <c r="R753" s="55"/>
      <c r="S753" s="55"/>
      <c r="T753" s="55"/>
      <c r="U753" s="55"/>
    </row>
    <row r="754" spans="4:21" ht="13.5" customHeight="1">
      <c r="D754" s="53"/>
      <c r="E754" s="54"/>
      <c r="F754" s="54"/>
      <c r="G754" s="55"/>
      <c r="H754" s="55"/>
      <c r="I754" s="55"/>
      <c r="J754" s="55"/>
      <c r="K754" s="55"/>
      <c r="L754" s="55"/>
      <c r="M754" s="55"/>
      <c r="N754" s="55"/>
      <c r="O754" s="55"/>
      <c r="P754" s="55"/>
      <c r="Q754" s="55"/>
      <c r="R754" s="55"/>
      <c r="S754" s="55"/>
      <c r="T754" s="55"/>
      <c r="U754" s="55"/>
    </row>
    <row r="755" spans="4:21" ht="13.5" customHeight="1">
      <c r="D755" s="53"/>
      <c r="E755" s="54"/>
      <c r="F755" s="54"/>
      <c r="G755" s="55"/>
      <c r="H755" s="55"/>
      <c r="I755" s="55"/>
      <c r="J755" s="55"/>
      <c r="K755" s="55"/>
      <c r="L755" s="55"/>
      <c r="M755" s="55"/>
      <c r="N755" s="55"/>
      <c r="O755" s="55"/>
      <c r="P755" s="55"/>
      <c r="Q755" s="55"/>
      <c r="R755" s="55"/>
      <c r="S755" s="55"/>
      <c r="T755" s="55"/>
      <c r="U755" s="55"/>
    </row>
    <row r="756" spans="4:21" ht="13.5" customHeight="1">
      <c r="D756" s="53"/>
      <c r="E756" s="54"/>
      <c r="F756" s="54"/>
      <c r="G756" s="55"/>
      <c r="H756" s="55"/>
      <c r="I756" s="55"/>
      <c r="J756" s="55"/>
      <c r="K756" s="55"/>
      <c r="L756" s="55"/>
      <c r="M756" s="55"/>
      <c r="N756" s="55"/>
      <c r="O756" s="55"/>
      <c r="P756" s="55"/>
      <c r="Q756" s="55"/>
      <c r="R756" s="55"/>
      <c r="S756" s="55"/>
      <c r="T756" s="55"/>
      <c r="U756" s="55"/>
    </row>
    <row r="757" spans="4:21" ht="13.5" customHeight="1">
      <c r="D757" s="53"/>
      <c r="E757" s="54"/>
      <c r="F757" s="54"/>
      <c r="G757" s="55"/>
      <c r="H757" s="55"/>
      <c r="I757" s="55"/>
      <c r="J757" s="55"/>
      <c r="K757" s="55"/>
      <c r="L757" s="55"/>
      <c r="M757" s="55"/>
      <c r="N757" s="55"/>
      <c r="O757" s="55"/>
      <c r="P757" s="55"/>
      <c r="Q757" s="55"/>
      <c r="R757" s="55"/>
      <c r="S757" s="55"/>
      <c r="T757" s="55"/>
      <c r="U757" s="55"/>
    </row>
    <row r="758" spans="4:21" ht="13.5" customHeight="1">
      <c r="D758" s="53"/>
      <c r="E758" s="54"/>
      <c r="F758" s="54"/>
      <c r="G758" s="55"/>
      <c r="H758" s="55"/>
      <c r="I758" s="55"/>
      <c r="J758" s="55"/>
      <c r="K758" s="55"/>
      <c r="L758" s="55"/>
      <c r="M758" s="55"/>
      <c r="N758" s="55"/>
      <c r="O758" s="55"/>
      <c r="P758" s="55"/>
      <c r="Q758" s="55"/>
      <c r="R758" s="55"/>
      <c r="S758" s="55"/>
      <c r="T758" s="55"/>
      <c r="U758" s="55"/>
    </row>
    <row r="759" spans="4:21" ht="13.5" customHeight="1">
      <c r="D759" s="53"/>
      <c r="E759" s="54"/>
      <c r="F759" s="54"/>
      <c r="G759" s="55"/>
      <c r="H759" s="55"/>
      <c r="I759" s="55"/>
      <c r="J759" s="55"/>
      <c r="K759" s="55"/>
      <c r="L759" s="55"/>
      <c r="M759" s="55"/>
      <c r="N759" s="55"/>
      <c r="O759" s="55"/>
      <c r="P759" s="55"/>
      <c r="Q759" s="55"/>
      <c r="R759" s="55"/>
      <c r="S759" s="55"/>
      <c r="T759" s="55"/>
      <c r="U759" s="55"/>
    </row>
    <row r="760" spans="4:21" ht="13.5" customHeight="1">
      <c r="D760" s="53"/>
      <c r="E760" s="54"/>
      <c r="F760" s="54"/>
      <c r="G760" s="55"/>
      <c r="H760" s="55"/>
      <c r="I760" s="55"/>
      <c r="J760" s="55"/>
      <c r="K760" s="55"/>
      <c r="L760" s="55"/>
      <c r="M760" s="55"/>
      <c r="N760" s="55"/>
      <c r="O760" s="55"/>
      <c r="P760" s="55"/>
      <c r="Q760" s="55"/>
      <c r="R760" s="55"/>
      <c r="S760" s="55"/>
      <c r="T760" s="55"/>
      <c r="U760" s="55"/>
    </row>
    <row r="761" spans="4:21" ht="13.5" customHeight="1">
      <c r="D761" s="53"/>
      <c r="E761" s="54"/>
      <c r="F761" s="54"/>
      <c r="G761" s="55"/>
      <c r="H761" s="55"/>
      <c r="I761" s="55"/>
      <c r="J761" s="55"/>
      <c r="K761" s="55"/>
      <c r="L761" s="55"/>
      <c r="M761" s="55"/>
      <c r="N761" s="55"/>
      <c r="O761" s="55"/>
      <c r="P761" s="55"/>
      <c r="Q761" s="55"/>
      <c r="R761" s="55"/>
      <c r="S761" s="55"/>
      <c r="T761" s="55"/>
      <c r="U761" s="55"/>
    </row>
    <row r="762" spans="4:21" ht="13.5" customHeight="1">
      <c r="D762" s="53"/>
      <c r="E762" s="54"/>
      <c r="F762" s="54"/>
      <c r="G762" s="55"/>
      <c r="H762" s="55"/>
      <c r="I762" s="55"/>
      <c r="J762" s="55"/>
      <c r="K762" s="55"/>
      <c r="L762" s="55"/>
      <c r="M762" s="55"/>
      <c r="N762" s="55"/>
      <c r="O762" s="55"/>
      <c r="P762" s="55"/>
      <c r="Q762" s="55"/>
      <c r="R762" s="55"/>
      <c r="S762" s="55"/>
      <c r="T762" s="55"/>
      <c r="U762" s="55"/>
    </row>
    <row r="763" spans="4:21" ht="13.5" customHeight="1">
      <c r="D763" s="53"/>
      <c r="E763" s="54"/>
      <c r="F763" s="54"/>
      <c r="G763" s="55"/>
      <c r="H763" s="55"/>
      <c r="I763" s="55"/>
      <c r="J763" s="55"/>
      <c r="K763" s="55"/>
      <c r="L763" s="55"/>
      <c r="M763" s="55"/>
      <c r="N763" s="55"/>
      <c r="O763" s="55"/>
      <c r="P763" s="55"/>
      <c r="Q763" s="55"/>
      <c r="R763" s="55"/>
      <c r="S763" s="55"/>
      <c r="T763" s="55"/>
      <c r="U763" s="55"/>
    </row>
    <row r="764" spans="4:21" ht="13.5" customHeight="1">
      <c r="D764" s="53"/>
      <c r="E764" s="54"/>
      <c r="F764" s="54"/>
      <c r="G764" s="55"/>
      <c r="H764" s="55"/>
      <c r="I764" s="55"/>
      <c r="J764" s="55"/>
      <c r="K764" s="55"/>
      <c r="L764" s="55"/>
      <c r="M764" s="55"/>
      <c r="N764" s="55"/>
      <c r="O764" s="55"/>
      <c r="P764" s="55"/>
      <c r="Q764" s="55"/>
      <c r="R764" s="55"/>
      <c r="S764" s="55"/>
      <c r="T764" s="55"/>
      <c r="U764" s="55"/>
    </row>
    <row r="765" spans="4:21" ht="13.5" customHeight="1">
      <c r="D765" s="53"/>
      <c r="E765" s="54"/>
      <c r="F765" s="54"/>
      <c r="G765" s="55"/>
      <c r="H765" s="55"/>
      <c r="I765" s="55"/>
      <c r="J765" s="55"/>
      <c r="K765" s="55"/>
      <c r="L765" s="55"/>
      <c r="M765" s="55"/>
      <c r="N765" s="55"/>
      <c r="O765" s="55"/>
      <c r="P765" s="55"/>
      <c r="Q765" s="55"/>
      <c r="R765" s="55"/>
      <c r="S765" s="55"/>
      <c r="T765" s="55"/>
      <c r="U765" s="55"/>
    </row>
    <row r="766" spans="4:21" ht="13.5" customHeight="1">
      <c r="D766" s="53"/>
      <c r="E766" s="54"/>
      <c r="F766" s="54"/>
      <c r="G766" s="55"/>
      <c r="H766" s="55"/>
      <c r="I766" s="55"/>
      <c r="J766" s="55"/>
      <c r="K766" s="55"/>
      <c r="L766" s="55"/>
      <c r="M766" s="55"/>
      <c r="N766" s="55"/>
      <c r="O766" s="55"/>
      <c r="P766" s="55"/>
      <c r="Q766" s="55"/>
      <c r="R766" s="55"/>
      <c r="S766" s="55"/>
      <c r="T766" s="55"/>
      <c r="U766" s="55"/>
    </row>
    <row r="767" spans="4:21" ht="13.5" customHeight="1">
      <c r="D767" s="53"/>
      <c r="E767" s="54"/>
      <c r="F767" s="54"/>
      <c r="G767" s="55"/>
      <c r="H767" s="55"/>
      <c r="I767" s="55"/>
      <c r="J767" s="55"/>
      <c r="K767" s="55"/>
      <c r="L767" s="55"/>
      <c r="M767" s="55"/>
      <c r="N767" s="55"/>
      <c r="O767" s="55"/>
      <c r="P767" s="55"/>
      <c r="Q767" s="55"/>
      <c r="R767" s="55"/>
      <c r="S767" s="55"/>
      <c r="T767" s="55"/>
      <c r="U767" s="55"/>
    </row>
    <row r="768" spans="4:21" ht="13.5" customHeight="1">
      <c r="D768" s="53"/>
      <c r="E768" s="54"/>
      <c r="F768" s="54"/>
      <c r="G768" s="55"/>
      <c r="H768" s="55"/>
      <c r="I768" s="55"/>
      <c r="J768" s="55"/>
      <c r="K768" s="55"/>
      <c r="L768" s="55"/>
      <c r="M768" s="55"/>
      <c r="N768" s="55"/>
      <c r="O768" s="55"/>
      <c r="P768" s="55"/>
      <c r="Q768" s="55"/>
      <c r="R768" s="55"/>
      <c r="S768" s="55"/>
      <c r="T768" s="55"/>
      <c r="U768" s="55"/>
    </row>
    <row r="769" spans="4:21" ht="13.5" customHeight="1">
      <c r="D769" s="53"/>
      <c r="E769" s="54"/>
      <c r="F769" s="54"/>
      <c r="G769" s="55"/>
      <c r="H769" s="55"/>
      <c r="I769" s="55"/>
      <c r="J769" s="55"/>
      <c r="K769" s="55"/>
      <c r="L769" s="55"/>
      <c r="M769" s="55"/>
      <c r="N769" s="55"/>
      <c r="O769" s="55"/>
      <c r="P769" s="55"/>
      <c r="Q769" s="55"/>
      <c r="R769" s="55"/>
      <c r="S769" s="55"/>
      <c r="T769" s="55"/>
      <c r="U769" s="55"/>
    </row>
    <row r="770" spans="4:21" ht="13.5" customHeight="1">
      <c r="D770" s="53"/>
      <c r="E770" s="54"/>
      <c r="F770" s="54"/>
      <c r="G770" s="55"/>
      <c r="H770" s="55"/>
      <c r="I770" s="55"/>
      <c r="J770" s="55"/>
      <c r="K770" s="55"/>
      <c r="L770" s="55"/>
      <c r="M770" s="55"/>
      <c r="N770" s="55"/>
      <c r="O770" s="55"/>
      <c r="P770" s="55"/>
      <c r="Q770" s="55"/>
      <c r="R770" s="55"/>
      <c r="S770" s="55"/>
      <c r="T770" s="55"/>
      <c r="U770" s="55"/>
    </row>
    <row r="771" spans="4:21" ht="13.5" customHeight="1">
      <c r="D771" s="53"/>
      <c r="E771" s="54"/>
      <c r="F771" s="54"/>
      <c r="G771" s="55"/>
      <c r="H771" s="55"/>
      <c r="I771" s="55"/>
      <c r="J771" s="55"/>
      <c r="K771" s="55"/>
      <c r="L771" s="55"/>
      <c r="M771" s="55"/>
      <c r="N771" s="55"/>
      <c r="O771" s="55"/>
      <c r="P771" s="55"/>
      <c r="Q771" s="55"/>
      <c r="R771" s="55"/>
      <c r="S771" s="55"/>
      <c r="T771" s="55"/>
      <c r="U771" s="55"/>
    </row>
    <row r="772" spans="4:21" ht="13.5" customHeight="1">
      <c r="D772" s="53"/>
      <c r="E772" s="54"/>
      <c r="F772" s="54"/>
      <c r="G772" s="55"/>
      <c r="H772" s="55"/>
      <c r="I772" s="55"/>
      <c r="J772" s="55"/>
      <c r="K772" s="55"/>
      <c r="L772" s="55"/>
      <c r="M772" s="55"/>
      <c r="N772" s="55"/>
      <c r="O772" s="55"/>
      <c r="P772" s="55"/>
      <c r="Q772" s="55"/>
      <c r="R772" s="55"/>
      <c r="S772" s="55"/>
      <c r="T772" s="55"/>
      <c r="U772" s="55"/>
    </row>
    <row r="773" spans="4:21" ht="13.5" customHeight="1">
      <c r="D773" s="53"/>
      <c r="E773" s="54"/>
      <c r="F773" s="54"/>
      <c r="G773" s="55"/>
      <c r="H773" s="55"/>
      <c r="I773" s="55"/>
      <c r="J773" s="55"/>
      <c r="K773" s="55"/>
      <c r="L773" s="55"/>
      <c r="M773" s="55"/>
      <c r="N773" s="55"/>
      <c r="O773" s="55"/>
      <c r="P773" s="55"/>
      <c r="Q773" s="55"/>
      <c r="R773" s="55"/>
      <c r="S773" s="55"/>
      <c r="T773" s="55"/>
      <c r="U773" s="55"/>
    </row>
    <row r="774" spans="4:21" ht="13.5" customHeight="1">
      <c r="D774" s="53"/>
      <c r="E774" s="54"/>
      <c r="F774" s="54"/>
      <c r="G774" s="55"/>
      <c r="H774" s="55"/>
      <c r="I774" s="55"/>
      <c r="J774" s="55"/>
      <c r="K774" s="55"/>
      <c r="L774" s="55"/>
      <c r="M774" s="55"/>
      <c r="N774" s="55"/>
      <c r="O774" s="55"/>
      <c r="P774" s="55"/>
      <c r="Q774" s="55"/>
      <c r="R774" s="55"/>
      <c r="S774" s="55"/>
      <c r="T774" s="55"/>
      <c r="U774" s="55"/>
    </row>
    <row r="775" spans="4:21" ht="13.5" customHeight="1">
      <c r="D775" s="53"/>
      <c r="E775" s="54"/>
      <c r="F775" s="54"/>
      <c r="G775" s="55"/>
      <c r="H775" s="55"/>
      <c r="I775" s="55"/>
      <c r="J775" s="55"/>
      <c r="K775" s="55"/>
      <c r="L775" s="55"/>
      <c r="M775" s="55"/>
      <c r="N775" s="55"/>
      <c r="O775" s="55"/>
      <c r="P775" s="55"/>
      <c r="Q775" s="55"/>
      <c r="R775" s="55"/>
      <c r="S775" s="55"/>
      <c r="T775" s="55"/>
      <c r="U775" s="55"/>
    </row>
    <row r="776" spans="4:21" ht="13.5" customHeight="1">
      <c r="D776" s="53"/>
      <c r="E776" s="54"/>
      <c r="F776" s="54"/>
      <c r="G776" s="55"/>
      <c r="H776" s="55"/>
      <c r="I776" s="55"/>
      <c r="J776" s="55"/>
      <c r="K776" s="55"/>
      <c r="L776" s="55"/>
      <c r="M776" s="55"/>
      <c r="N776" s="55"/>
      <c r="O776" s="55"/>
      <c r="P776" s="55"/>
      <c r="Q776" s="55"/>
      <c r="R776" s="55"/>
      <c r="S776" s="55"/>
      <c r="T776" s="55"/>
      <c r="U776" s="55"/>
    </row>
    <row r="777" spans="4:21" ht="13.5" customHeight="1">
      <c r="D777" s="53"/>
      <c r="E777" s="54"/>
      <c r="F777" s="54"/>
      <c r="G777" s="55"/>
      <c r="H777" s="55"/>
      <c r="I777" s="55"/>
      <c r="J777" s="55"/>
      <c r="K777" s="55"/>
      <c r="L777" s="55"/>
      <c r="M777" s="55"/>
      <c r="N777" s="55"/>
      <c r="O777" s="55"/>
      <c r="P777" s="55"/>
      <c r="Q777" s="55"/>
      <c r="R777" s="55"/>
      <c r="S777" s="55"/>
      <c r="T777" s="55"/>
      <c r="U777" s="55"/>
    </row>
    <row r="778" spans="4:21" ht="13.5" customHeight="1">
      <c r="D778" s="53"/>
      <c r="E778" s="54"/>
      <c r="F778" s="54"/>
      <c r="G778" s="55"/>
      <c r="H778" s="55"/>
      <c r="I778" s="55"/>
      <c r="J778" s="55"/>
      <c r="K778" s="55"/>
      <c r="L778" s="55"/>
      <c r="M778" s="55"/>
      <c r="N778" s="55"/>
      <c r="O778" s="55"/>
      <c r="P778" s="55"/>
      <c r="Q778" s="55"/>
      <c r="R778" s="55"/>
      <c r="S778" s="55"/>
      <c r="T778" s="55"/>
      <c r="U778" s="55"/>
    </row>
    <row r="779" spans="4:21" ht="13.5" customHeight="1">
      <c r="D779" s="53"/>
      <c r="E779" s="54"/>
      <c r="F779" s="54"/>
      <c r="G779" s="55"/>
      <c r="H779" s="55"/>
      <c r="I779" s="55"/>
      <c r="J779" s="55"/>
      <c r="K779" s="55"/>
      <c r="L779" s="55"/>
      <c r="M779" s="55"/>
      <c r="N779" s="55"/>
      <c r="O779" s="55"/>
      <c r="P779" s="55"/>
      <c r="Q779" s="55"/>
      <c r="R779" s="55"/>
      <c r="S779" s="55"/>
      <c r="T779" s="55"/>
      <c r="U779" s="55"/>
    </row>
    <row r="780" spans="4:21" ht="13.5" customHeight="1">
      <c r="D780" s="53"/>
      <c r="E780" s="54"/>
      <c r="F780" s="54"/>
      <c r="G780" s="55"/>
      <c r="H780" s="55"/>
      <c r="I780" s="55"/>
      <c r="J780" s="55"/>
      <c r="K780" s="55"/>
      <c r="L780" s="55"/>
      <c r="M780" s="55"/>
      <c r="N780" s="55"/>
      <c r="O780" s="55"/>
      <c r="P780" s="55"/>
      <c r="Q780" s="55"/>
      <c r="R780" s="55"/>
      <c r="S780" s="55"/>
      <c r="T780" s="55"/>
      <c r="U780" s="55"/>
    </row>
    <row r="781" spans="4:21" ht="13.5" customHeight="1">
      <c r="D781" s="53"/>
      <c r="E781" s="54"/>
      <c r="F781" s="54"/>
      <c r="G781" s="55"/>
      <c r="H781" s="55"/>
      <c r="I781" s="55"/>
      <c r="J781" s="55"/>
      <c r="K781" s="55"/>
      <c r="L781" s="55"/>
      <c r="M781" s="55"/>
      <c r="N781" s="55"/>
      <c r="O781" s="55"/>
      <c r="P781" s="55"/>
      <c r="Q781" s="55"/>
      <c r="R781" s="55"/>
      <c r="S781" s="55"/>
      <c r="T781" s="55"/>
      <c r="U781" s="55"/>
    </row>
    <row r="782" spans="4:21" ht="13.5" customHeight="1">
      <c r="D782" s="53"/>
      <c r="E782" s="54"/>
      <c r="F782" s="54"/>
      <c r="G782" s="55"/>
      <c r="H782" s="55"/>
      <c r="I782" s="55"/>
      <c r="J782" s="55"/>
      <c r="K782" s="55"/>
      <c r="L782" s="55"/>
      <c r="M782" s="55"/>
      <c r="N782" s="55"/>
      <c r="O782" s="55"/>
      <c r="P782" s="55"/>
      <c r="Q782" s="55"/>
      <c r="R782" s="55"/>
      <c r="S782" s="55"/>
      <c r="T782" s="55"/>
      <c r="U782" s="55"/>
    </row>
    <row r="783" spans="4:21" ht="13.5" customHeight="1">
      <c r="D783" s="53"/>
      <c r="E783" s="54"/>
      <c r="F783" s="54"/>
      <c r="G783" s="55"/>
      <c r="H783" s="55"/>
      <c r="I783" s="55"/>
      <c r="J783" s="55"/>
      <c r="K783" s="55"/>
      <c r="L783" s="55"/>
      <c r="M783" s="55"/>
      <c r="N783" s="55"/>
      <c r="O783" s="55"/>
      <c r="P783" s="55"/>
      <c r="Q783" s="55"/>
      <c r="R783" s="55"/>
      <c r="S783" s="55"/>
      <c r="T783" s="55"/>
      <c r="U783" s="55"/>
    </row>
    <row r="784" spans="4:21" ht="13.5" customHeight="1">
      <c r="D784" s="53"/>
      <c r="E784" s="54"/>
      <c r="F784" s="54"/>
      <c r="G784" s="55"/>
      <c r="H784" s="55"/>
      <c r="I784" s="55"/>
      <c r="J784" s="55"/>
      <c r="K784" s="55"/>
      <c r="L784" s="55"/>
      <c r="M784" s="55"/>
      <c r="N784" s="55"/>
      <c r="O784" s="55"/>
      <c r="P784" s="55"/>
      <c r="Q784" s="55"/>
      <c r="R784" s="55"/>
      <c r="S784" s="55"/>
      <c r="T784" s="55"/>
      <c r="U784" s="55"/>
    </row>
    <row r="785" spans="4:21" ht="13.5" customHeight="1">
      <c r="D785" s="53"/>
      <c r="E785" s="54"/>
      <c r="F785" s="54"/>
      <c r="G785" s="55"/>
      <c r="H785" s="55"/>
      <c r="I785" s="55"/>
      <c r="J785" s="55"/>
      <c r="K785" s="55"/>
      <c r="L785" s="55"/>
      <c r="M785" s="55"/>
      <c r="N785" s="55"/>
      <c r="O785" s="55"/>
      <c r="P785" s="55"/>
      <c r="Q785" s="55"/>
      <c r="R785" s="55"/>
      <c r="S785" s="55"/>
      <c r="T785" s="55"/>
      <c r="U785" s="55"/>
    </row>
    <row r="786" spans="4:21" ht="13.5" customHeight="1">
      <c r="D786" s="53"/>
      <c r="E786" s="54"/>
      <c r="F786" s="54"/>
      <c r="G786" s="55"/>
      <c r="H786" s="55"/>
      <c r="I786" s="55"/>
      <c r="J786" s="55"/>
      <c r="K786" s="55"/>
      <c r="L786" s="55"/>
      <c r="M786" s="55"/>
      <c r="N786" s="55"/>
      <c r="O786" s="55"/>
      <c r="P786" s="55"/>
      <c r="Q786" s="55"/>
      <c r="R786" s="55"/>
      <c r="S786" s="55"/>
      <c r="T786" s="55"/>
      <c r="U786" s="55"/>
    </row>
    <row r="787" spans="4:21" ht="13.5" customHeight="1">
      <c r="D787" s="53"/>
      <c r="E787" s="54"/>
      <c r="F787" s="54"/>
      <c r="G787" s="55"/>
      <c r="H787" s="55"/>
      <c r="I787" s="55"/>
      <c r="J787" s="55"/>
      <c r="K787" s="55"/>
      <c r="L787" s="55"/>
      <c r="M787" s="55"/>
      <c r="N787" s="55"/>
      <c r="O787" s="55"/>
      <c r="P787" s="55"/>
      <c r="Q787" s="55"/>
      <c r="R787" s="55"/>
      <c r="S787" s="55"/>
      <c r="T787" s="55"/>
      <c r="U787" s="55"/>
    </row>
    <row r="788" spans="4:21" ht="13.5" customHeight="1">
      <c r="D788" s="53"/>
      <c r="E788" s="54"/>
      <c r="F788" s="54"/>
      <c r="G788" s="55"/>
      <c r="H788" s="55"/>
      <c r="I788" s="55"/>
      <c r="J788" s="55"/>
      <c r="K788" s="55"/>
      <c r="L788" s="55"/>
      <c r="M788" s="55"/>
      <c r="N788" s="55"/>
      <c r="O788" s="55"/>
      <c r="P788" s="55"/>
      <c r="Q788" s="55"/>
      <c r="R788" s="55"/>
      <c r="S788" s="55"/>
      <c r="T788" s="55"/>
      <c r="U788" s="55"/>
    </row>
    <row r="789" spans="4:21" ht="13.5" customHeight="1">
      <c r="D789" s="53"/>
      <c r="E789" s="54"/>
      <c r="F789" s="54"/>
      <c r="G789" s="55"/>
      <c r="H789" s="55"/>
      <c r="I789" s="55"/>
      <c r="J789" s="55"/>
      <c r="K789" s="55"/>
      <c r="L789" s="55"/>
      <c r="M789" s="55"/>
      <c r="N789" s="55"/>
      <c r="O789" s="55"/>
      <c r="P789" s="55"/>
      <c r="Q789" s="55"/>
      <c r="R789" s="55"/>
      <c r="S789" s="55"/>
      <c r="T789" s="55"/>
      <c r="U789" s="55"/>
    </row>
    <row r="790" spans="4:21" ht="13.5" customHeight="1">
      <c r="D790" s="53"/>
      <c r="E790" s="54"/>
      <c r="F790" s="54"/>
      <c r="G790" s="55"/>
      <c r="H790" s="55"/>
      <c r="I790" s="55"/>
      <c r="J790" s="55"/>
      <c r="K790" s="55"/>
      <c r="L790" s="55"/>
      <c r="M790" s="55"/>
      <c r="N790" s="55"/>
      <c r="O790" s="55"/>
      <c r="P790" s="55"/>
      <c r="Q790" s="55"/>
      <c r="R790" s="55"/>
      <c r="S790" s="55"/>
      <c r="T790" s="55"/>
      <c r="U790" s="55"/>
    </row>
    <row r="791" spans="4:21" ht="13.5" customHeight="1">
      <c r="D791" s="53"/>
      <c r="E791" s="54"/>
      <c r="F791" s="54"/>
      <c r="G791" s="55"/>
      <c r="H791" s="55"/>
      <c r="I791" s="55"/>
      <c r="J791" s="55"/>
      <c r="K791" s="55"/>
      <c r="L791" s="55"/>
      <c r="M791" s="55"/>
      <c r="N791" s="55"/>
      <c r="O791" s="55"/>
      <c r="P791" s="55"/>
      <c r="Q791" s="55"/>
      <c r="R791" s="55"/>
      <c r="S791" s="55"/>
      <c r="T791" s="55"/>
      <c r="U791" s="55"/>
    </row>
    <row r="792" spans="4:21" ht="13.5" customHeight="1">
      <c r="D792" s="53"/>
      <c r="E792" s="54"/>
      <c r="F792" s="54"/>
      <c r="G792" s="55"/>
      <c r="H792" s="55"/>
      <c r="I792" s="55"/>
      <c r="J792" s="55"/>
      <c r="K792" s="55"/>
      <c r="L792" s="55"/>
      <c r="M792" s="55"/>
      <c r="N792" s="55"/>
      <c r="O792" s="55"/>
      <c r="P792" s="55"/>
      <c r="Q792" s="55"/>
      <c r="R792" s="55"/>
      <c r="S792" s="55"/>
      <c r="T792" s="55"/>
      <c r="U792" s="55"/>
    </row>
    <row r="793" spans="4:21" ht="13.5" customHeight="1">
      <c r="D793" s="53"/>
      <c r="E793" s="54"/>
      <c r="F793" s="54"/>
      <c r="G793" s="55"/>
      <c r="H793" s="55"/>
      <c r="I793" s="55"/>
      <c r="J793" s="55"/>
      <c r="K793" s="55"/>
      <c r="L793" s="55"/>
      <c r="M793" s="55"/>
      <c r="N793" s="55"/>
      <c r="O793" s="55"/>
      <c r="P793" s="55"/>
      <c r="Q793" s="55"/>
      <c r="R793" s="55"/>
      <c r="S793" s="55"/>
      <c r="T793" s="55"/>
      <c r="U793" s="55"/>
    </row>
    <row r="794" spans="4:21" ht="13.5" customHeight="1">
      <c r="D794" s="53"/>
      <c r="E794" s="54"/>
      <c r="F794" s="54"/>
      <c r="G794" s="55"/>
      <c r="H794" s="55"/>
      <c r="I794" s="55"/>
      <c r="J794" s="55"/>
      <c r="K794" s="55"/>
      <c r="L794" s="55"/>
      <c r="M794" s="55"/>
      <c r="N794" s="55"/>
      <c r="O794" s="55"/>
      <c r="P794" s="55"/>
      <c r="Q794" s="55"/>
      <c r="R794" s="55"/>
      <c r="S794" s="55"/>
      <c r="T794" s="55"/>
      <c r="U794" s="55"/>
    </row>
    <row r="795" spans="4:21" ht="13.5" customHeight="1">
      <c r="D795" s="53"/>
      <c r="E795" s="54"/>
      <c r="F795" s="54"/>
      <c r="G795" s="55"/>
      <c r="H795" s="55"/>
      <c r="I795" s="55"/>
      <c r="J795" s="55"/>
      <c r="K795" s="55"/>
      <c r="L795" s="55"/>
      <c r="M795" s="55"/>
      <c r="N795" s="55"/>
      <c r="O795" s="55"/>
      <c r="P795" s="55"/>
      <c r="Q795" s="55"/>
      <c r="R795" s="55"/>
      <c r="S795" s="55"/>
      <c r="T795" s="55"/>
      <c r="U795" s="55"/>
    </row>
    <row r="796" spans="4:21" ht="13.5" customHeight="1">
      <c r="D796" s="53"/>
      <c r="E796" s="54"/>
      <c r="F796" s="54"/>
      <c r="G796" s="55"/>
      <c r="H796" s="55"/>
      <c r="I796" s="55"/>
      <c r="J796" s="55"/>
      <c r="K796" s="55"/>
      <c r="L796" s="55"/>
      <c r="M796" s="55"/>
      <c r="N796" s="55"/>
      <c r="O796" s="55"/>
      <c r="P796" s="55"/>
      <c r="Q796" s="55"/>
      <c r="R796" s="55"/>
      <c r="S796" s="55"/>
      <c r="T796" s="55"/>
      <c r="U796" s="55"/>
    </row>
    <row r="797" spans="4:21" ht="13.5" customHeight="1">
      <c r="D797" s="53"/>
      <c r="E797" s="54"/>
      <c r="F797" s="54"/>
      <c r="G797" s="55"/>
      <c r="H797" s="55"/>
      <c r="I797" s="55"/>
      <c r="J797" s="55"/>
      <c r="K797" s="55"/>
      <c r="L797" s="55"/>
      <c r="M797" s="55"/>
      <c r="N797" s="55"/>
      <c r="O797" s="55"/>
      <c r="P797" s="55"/>
      <c r="Q797" s="55"/>
      <c r="R797" s="55"/>
      <c r="S797" s="55"/>
      <c r="T797" s="55"/>
      <c r="U797" s="55"/>
    </row>
    <row r="798" spans="4:21" ht="13.5" customHeight="1">
      <c r="D798" s="53"/>
      <c r="E798" s="54"/>
      <c r="F798" s="54"/>
      <c r="G798" s="55"/>
      <c r="H798" s="55"/>
      <c r="I798" s="55"/>
      <c r="J798" s="55"/>
      <c r="K798" s="55"/>
      <c r="L798" s="55"/>
      <c r="M798" s="55"/>
      <c r="N798" s="55"/>
      <c r="O798" s="55"/>
      <c r="P798" s="55"/>
      <c r="Q798" s="55"/>
      <c r="R798" s="55"/>
      <c r="S798" s="55"/>
      <c r="T798" s="55"/>
      <c r="U798" s="55"/>
    </row>
    <row r="799" spans="4:21" ht="13.5" customHeight="1">
      <c r="D799" s="53"/>
      <c r="E799" s="54"/>
      <c r="F799" s="54"/>
      <c r="G799" s="55"/>
      <c r="H799" s="55"/>
      <c r="I799" s="55"/>
      <c r="J799" s="55"/>
      <c r="K799" s="55"/>
      <c r="L799" s="55"/>
      <c r="M799" s="55"/>
      <c r="N799" s="55"/>
      <c r="O799" s="55"/>
      <c r="P799" s="55"/>
      <c r="Q799" s="55"/>
      <c r="R799" s="55"/>
      <c r="S799" s="55"/>
      <c r="T799" s="55"/>
      <c r="U799" s="55"/>
    </row>
    <row r="800" spans="4:21" ht="13.5" customHeight="1">
      <c r="D800" s="53"/>
      <c r="E800" s="54"/>
      <c r="F800" s="54"/>
      <c r="G800" s="55"/>
      <c r="H800" s="55"/>
      <c r="I800" s="55"/>
      <c r="J800" s="55"/>
      <c r="K800" s="55"/>
      <c r="L800" s="55"/>
      <c r="M800" s="55"/>
      <c r="N800" s="55"/>
      <c r="O800" s="55"/>
      <c r="P800" s="55"/>
      <c r="Q800" s="55"/>
      <c r="R800" s="55"/>
      <c r="S800" s="55"/>
      <c r="T800" s="55"/>
      <c r="U800" s="55"/>
    </row>
    <row r="801" spans="4:21" ht="13.5" customHeight="1">
      <c r="D801" s="53"/>
      <c r="E801" s="54"/>
      <c r="F801" s="54"/>
      <c r="G801" s="55"/>
      <c r="H801" s="55"/>
      <c r="I801" s="55"/>
      <c r="J801" s="55"/>
      <c r="K801" s="55"/>
      <c r="L801" s="55"/>
      <c r="M801" s="55"/>
      <c r="N801" s="55"/>
      <c r="O801" s="55"/>
      <c r="P801" s="55"/>
      <c r="Q801" s="55"/>
      <c r="R801" s="55"/>
      <c r="S801" s="55"/>
      <c r="T801" s="55"/>
      <c r="U801" s="55"/>
    </row>
    <row r="802" spans="4:21" ht="13.5" customHeight="1">
      <c r="D802" s="53"/>
      <c r="E802" s="54"/>
      <c r="F802" s="54"/>
      <c r="G802" s="55"/>
      <c r="H802" s="55"/>
      <c r="I802" s="55"/>
      <c r="J802" s="55"/>
      <c r="K802" s="55"/>
      <c r="L802" s="55"/>
      <c r="M802" s="55"/>
      <c r="N802" s="55"/>
      <c r="O802" s="55"/>
      <c r="P802" s="55"/>
      <c r="Q802" s="55"/>
      <c r="R802" s="55"/>
      <c r="S802" s="55"/>
      <c r="T802" s="55"/>
      <c r="U802" s="55"/>
    </row>
    <row r="803" spans="4:21" ht="13.5" customHeight="1">
      <c r="D803" s="53"/>
      <c r="E803" s="54"/>
      <c r="F803" s="54"/>
      <c r="G803" s="55"/>
      <c r="H803" s="55"/>
      <c r="I803" s="55"/>
      <c r="J803" s="55"/>
      <c r="K803" s="55"/>
      <c r="L803" s="55"/>
      <c r="M803" s="55"/>
      <c r="N803" s="55"/>
      <c r="O803" s="55"/>
      <c r="P803" s="55"/>
      <c r="Q803" s="55"/>
      <c r="R803" s="55"/>
      <c r="S803" s="55"/>
      <c r="T803" s="55"/>
      <c r="U803" s="55"/>
    </row>
    <row r="804" spans="4:21" ht="13.5" customHeight="1">
      <c r="D804" s="53"/>
      <c r="E804" s="54"/>
      <c r="F804" s="54"/>
      <c r="G804" s="55"/>
      <c r="H804" s="55"/>
      <c r="I804" s="55"/>
      <c r="J804" s="55"/>
      <c r="K804" s="55"/>
      <c r="L804" s="55"/>
      <c r="M804" s="55"/>
      <c r="N804" s="55"/>
      <c r="O804" s="55"/>
      <c r="P804" s="55"/>
      <c r="Q804" s="55"/>
      <c r="R804" s="55"/>
      <c r="S804" s="55"/>
      <c r="T804" s="55"/>
      <c r="U804" s="55"/>
    </row>
    <row r="805" spans="4:21" ht="13.5" customHeight="1">
      <c r="D805" s="53"/>
      <c r="E805" s="54"/>
      <c r="F805" s="54"/>
      <c r="G805" s="55"/>
      <c r="H805" s="55"/>
      <c r="I805" s="55"/>
      <c r="J805" s="55"/>
      <c r="K805" s="55"/>
      <c r="L805" s="55"/>
      <c r="M805" s="55"/>
      <c r="N805" s="55"/>
      <c r="O805" s="55"/>
      <c r="P805" s="55"/>
      <c r="Q805" s="55"/>
      <c r="R805" s="55"/>
      <c r="S805" s="55"/>
      <c r="T805" s="55"/>
      <c r="U805" s="55"/>
    </row>
    <row r="806" spans="4:21" ht="13.5" customHeight="1">
      <c r="D806" s="53"/>
      <c r="E806" s="54"/>
      <c r="F806" s="54"/>
      <c r="G806" s="55"/>
      <c r="H806" s="55"/>
      <c r="I806" s="55"/>
      <c r="J806" s="55"/>
      <c r="K806" s="55"/>
      <c r="L806" s="55"/>
      <c r="M806" s="55"/>
      <c r="N806" s="55"/>
      <c r="O806" s="55"/>
      <c r="P806" s="55"/>
      <c r="Q806" s="55"/>
      <c r="R806" s="55"/>
      <c r="S806" s="55"/>
      <c r="T806" s="55"/>
      <c r="U806" s="55"/>
    </row>
    <row r="807" spans="4:21" ht="13.5" customHeight="1">
      <c r="D807" s="53"/>
      <c r="E807" s="54"/>
      <c r="F807" s="54"/>
      <c r="G807" s="55"/>
      <c r="H807" s="55"/>
      <c r="I807" s="55"/>
      <c r="J807" s="55"/>
      <c r="K807" s="55"/>
      <c r="L807" s="55"/>
      <c r="M807" s="55"/>
      <c r="N807" s="55"/>
      <c r="O807" s="55"/>
      <c r="P807" s="55"/>
      <c r="Q807" s="55"/>
      <c r="R807" s="55"/>
      <c r="S807" s="55"/>
      <c r="T807" s="55"/>
      <c r="U807" s="55"/>
    </row>
    <row r="808" spans="4:21" ht="13.5" customHeight="1">
      <c r="D808" s="53"/>
      <c r="E808" s="54"/>
      <c r="F808" s="54"/>
      <c r="G808" s="55"/>
      <c r="H808" s="55"/>
      <c r="I808" s="55"/>
      <c r="J808" s="55"/>
      <c r="K808" s="55"/>
      <c r="L808" s="55"/>
      <c r="M808" s="55"/>
      <c r="N808" s="55"/>
      <c r="O808" s="55"/>
      <c r="P808" s="55"/>
      <c r="Q808" s="55"/>
      <c r="R808" s="55"/>
      <c r="S808" s="55"/>
      <c r="T808" s="55"/>
      <c r="U808" s="55"/>
    </row>
    <row r="809" spans="4:21" ht="13.5" customHeight="1">
      <c r="D809" s="53"/>
      <c r="E809" s="54"/>
      <c r="F809" s="54"/>
      <c r="G809" s="55"/>
      <c r="H809" s="55"/>
      <c r="I809" s="55"/>
      <c r="J809" s="55"/>
      <c r="K809" s="55"/>
      <c r="L809" s="55"/>
      <c r="M809" s="55"/>
      <c r="N809" s="55"/>
      <c r="O809" s="55"/>
      <c r="P809" s="55"/>
      <c r="Q809" s="55"/>
      <c r="R809" s="55"/>
      <c r="S809" s="55"/>
      <c r="T809" s="55"/>
      <c r="U809" s="55"/>
    </row>
    <row r="810" spans="4:21" ht="13.5" customHeight="1">
      <c r="D810" s="53"/>
      <c r="E810" s="54"/>
      <c r="F810" s="54"/>
      <c r="G810" s="55"/>
      <c r="H810" s="55"/>
      <c r="I810" s="55"/>
      <c r="J810" s="55"/>
      <c r="K810" s="55"/>
      <c r="L810" s="55"/>
      <c r="M810" s="55"/>
      <c r="N810" s="55"/>
      <c r="O810" s="55"/>
      <c r="P810" s="55"/>
      <c r="Q810" s="55"/>
      <c r="R810" s="55"/>
      <c r="S810" s="55"/>
      <c r="T810" s="55"/>
      <c r="U810" s="55"/>
    </row>
    <row r="811" spans="4:21" ht="13.5" customHeight="1">
      <c r="D811" s="53"/>
      <c r="E811" s="54"/>
      <c r="F811" s="54"/>
      <c r="G811" s="55"/>
      <c r="H811" s="55"/>
      <c r="I811" s="55"/>
      <c r="J811" s="55"/>
      <c r="K811" s="55"/>
      <c r="L811" s="55"/>
      <c r="M811" s="55"/>
      <c r="N811" s="55"/>
      <c r="O811" s="55"/>
      <c r="P811" s="55"/>
      <c r="Q811" s="55"/>
      <c r="R811" s="55"/>
      <c r="S811" s="55"/>
      <c r="T811" s="55"/>
      <c r="U811" s="55"/>
    </row>
    <row r="812" spans="4:21" ht="13.5" customHeight="1">
      <c r="D812" s="53"/>
      <c r="E812" s="54"/>
      <c r="F812" s="54"/>
      <c r="G812" s="55"/>
      <c r="H812" s="55"/>
      <c r="I812" s="55"/>
      <c r="J812" s="55"/>
      <c r="K812" s="55"/>
      <c r="L812" s="55"/>
      <c r="M812" s="55"/>
      <c r="N812" s="55"/>
      <c r="O812" s="55"/>
      <c r="P812" s="55"/>
      <c r="Q812" s="55"/>
      <c r="R812" s="55"/>
      <c r="S812" s="55"/>
      <c r="T812" s="55"/>
      <c r="U812" s="55"/>
    </row>
    <row r="813" spans="4:21" ht="13.5" customHeight="1">
      <c r="D813" s="53"/>
      <c r="E813" s="54"/>
      <c r="F813" s="54"/>
      <c r="G813" s="55"/>
      <c r="H813" s="55"/>
      <c r="I813" s="55"/>
      <c r="J813" s="55"/>
      <c r="K813" s="55"/>
      <c r="L813" s="55"/>
      <c r="M813" s="55"/>
      <c r="N813" s="55"/>
      <c r="O813" s="55"/>
      <c r="P813" s="55"/>
      <c r="Q813" s="55"/>
      <c r="R813" s="55"/>
      <c r="S813" s="55"/>
      <c r="T813" s="55"/>
      <c r="U813" s="55"/>
    </row>
    <row r="814" spans="4:21" ht="13.5" customHeight="1">
      <c r="D814" s="53"/>
      <c r="E814" s="54"/>
      <c r="F814" s="54"/>
      <c r="G814" s="55"/>
      <c r="H814" s="55"/>
      <c r="I814" s="55"/>
      <c r="J814" s="55"/>
      <c r="K814" s="55"/>
      <c r="L814" s="55"/>
      <c r="M814" s="55"/>
      <c r="N814" s="55"/>
      <c r="O814" s="55"/>
      <c r="P814" s="55"/>
      <c r="Q814" s="55"/>
      <c r="R814" s="55"/>
      <c r="S814" s="55"/>
      <c r="T814" s="55"/>
      <c r="U814" s="55"/>
    </row>
    <row r="815" spans="4:21" ht="13.5" customHeight="1">
      <c r="D815" s="53"/>
      <c r="E815" s="54"/>
      <c r="F815" s="54"/>
      <c r="G815" s="55"/>
      <c r="H815" s="55"/>
      <c r="I815" s="55"/>
      <c r="J815" s="55"/>
      <c r="K815" s="55"/>
      <c r="L815" s="55"/>
      <c r="M815" s="55"/>
      <c r="N815" s="55"/>
      <c r="O815" s="55"/>
      <c r="P815" s="55"/>
      <c r="Q815" s="55"/>
      <c r="R815" s="55"/>
      <c r="S815" s="55"/>
      <c r="T815" s="55"/>
      <c r="U815" s="55"/>
    </row>
    <row r="816" spans="4:21" ht="13.5" customHeight="1">
      <c r="D816" s="53"/>
      <c r="E816" s="54"/>
      <c r="F816" s="54"/>
      <c r="G816" s="55"/>
      <c r="H816" s="55"/>
      <c r="I816" s="55"/>
      <c r="J816" s="55"/>
      <c r="K816" s="55"/>
      <c r="L816" s="55"/>
      <c r="M816" s="55"/>
      <c r="N816" s="55"/>
      <c r="O816" s="55"/>
      <c r="P816" s="55"/>
      <c r="Q816" s="55"/>
      <c r="R816" s="55"/>
      <c r="S816" s="55"/>
      <c r="T816" s="55"/>
      <c r="U816" s="55"/>
    </row>
    <row r="817" spans="4:21" ht="13.5" customHeight="1">
      <c r="D817" s="53"/>
      <c r="E817" s="54"/>
      <c r="F817" s="54"/>
      <c r="G817" s="55"/>
      <c r="H817" s="55"/>
      <c r="I817" s="55"/>
      <c r="J817" s="55"/>
      <c r="K817" s="55"/>
      <c r="L817" s="55"/>
      <c r="M817" s="55"/>
      <c r="N817" s="55"/>
      <c r="O817" s="55"/>
      <c r="P817" s="55"/>
      <c r="Q817" s="55"/>
      <c r="R817" s="55"/>
      <c r="S817" s="55"/>
      <c r="T817" s="55"/>
      <c r="U817" s="55"/>
    </row>
    <row r="818" spans="4:21" ht="13.5" customHeight="1">
      <c r="D818" s="53"/>
      <c r="E818" s="54"/>
      <c r="F818" s="54"/>
      <c r="G818" s="55"/>
      <c r="H818" s="55"/>
      <c r="I818" s="55"/>
      <c r="J818" s="55"/>
      <c r="K818" s="55"/>
      <c r="L818" s="55"/>
      <c r="M818" s="55"/>
      <c r="N818" s="55"/>
      <c r="O818" s="55"/>
      <c r="P818" s="55"/>
      <c r="Q818" s="55"/>
      <c r="R818" s="55"/>
      <c r="S818" s="55"/>
      <c r="T818" s="55"/>
      <c r="U818" s="55"/>
    </row>
    <row r="819" spans="4:21" ht="13.5" customHeight="1">
      <c r="D819" s="53"/>
      <c r="E819" s="54"/>
      <c r="F819" s="54"/>
      <c r="G819" s="55"/>
      <c r="H819" s="55"/>
      <c r="I819" s="55"/>
      <c r="J819" s="55"/>
      <c r="K819" s="55"/>
      <c r="L819" s="55"/>
      <c r="M819" s="55"/>
      <c r="N819" s="55"/>
      <c r="O819" s="55"/>
      <c r="P819" s="55"/>
      <c r="Q819" s="55"/>
      <c r="R819" s="55"/>
      <c r="S819" s="55"/>
      <c r="T819" s="55"/>
      <c r="U819" s="55"/>
    </row>
    <row r="820" spans="4:21" ht="13.5" customHeight="1">
      <c r="D820" s="53"/>
      <c r="E820" s="54"/>
      <c r="F820" s="54"/>
      <c r="G820" s="55"/>
      <c r="H820" s="55"/>
      <c r="I820" s="55"/>
      <c r="J820" s="55"/>
      <c r="K820" s="55"/>
      <c r="L820" s="55"/>
      <c r="M820" s="55"/>
      <c r="N820" s="55"/>
      <c r="O820" s="55"/>
      <c r="P820" s="55"/>
      <c r="Q820" s="55"/>
      <c r="R820" s="55"/>
      <c r="S820" s="55"/>
      <c r="T820" s="55"/>
      <c r="U820" s="55"/>
    </row>
    <row r="821" spans="4:21" ht="13.5" customHeight="1">
      <c r="D821" s="53"/>
      <c r="E821" s="54"/>
      <c r="F821" s="54"/>
      <c r="G821" s="55"/>
      <c r="H821" s="55"/>
      <c r="I821" s="55"/>
      <c r="J821" s="55"/>
      <c r="K821" s="55"/>
      <c r="L821" s="55"/>
      <c r="M821" s="55"/>
      <c r="N821" s="55"/>
      <c r="O821" s="55"/>
      <c r="P821" s="55"/>
      <c r="Q821" s="55"/>
      <c r="R821" s="55"/>
      <c r="S821" s="55"/>
      <c r="T821" s="55"/>
      <c r="U821" s="55"/>
    </row>
    <row r="822" spans="4:21" ht="13.5" customHeight="1">
      <c r="D822" s="53"/>
      <c r="E822" s="54"/>
      <c r="F822" s="54"/>
      <c r="G822" s="55"/>
      <c r="H822" s="55"/>
      <c r="I822" s="55"/>
      <c r="J822" s="55"/>
      <c r="K822" s="55"/>
      <c r="L822" s="55"/>
      <c r="M822" s="55"/>
      <c r="N822" s="55"/>
      <c r="O822" s="55"/>
      <c r="P822" s="55"/>
      <c r="Q822" s="55"/>
      <c r="R822" s="55"/>
      <c r="S822" s="55"/>
      <c r="T822" s="55"/>
      <c r="U822" s="55"/>
    </row>
    <row r="823" spans="4:21" ht="13.5" customHeight="1">
      <c r="D823" s="53"/>
      <c r="E823" s="54"/>
      <c r="F823" s="54"/>
      <c r="G823" s="55"/>
      <c r="H823" s="55"/>
      <c r="I823" s="55"/>
      <c r="J823" s="55"/>
      <c r="K823" s="55"/>
      <c r="L823" s="55"/>
      <c r="M823" s="55"/>
      <c r="N823" s="55"/>
      <c r="O823" s="55"/>
      <c r="P823" s="55"/>
      <c r="Q823" s="55"/>
      <c r="R823" s="55"/>
      <c r="S823" s="55"/>
      <c r="T823" s="55"/>
      <c r="U823" s="55"/>
    </row>
    <row r="824" spans="4:21" ht="13.5" customHeight="1">
      <c r="D824" s="53"/>
      <c r="E824" s="54"/>
      <c r="F824" s="54"/>
      <c r="G824" s="55"/>
      <c r="H824" s="55"/>
      <c r="I824" s="55"/>
      <c r="J824" s="55"/>
      <c r="K824" s="55"/>
      <c r="L824" s="55"/>
      <c r="M824" s="55"/>
      <c r="N824" s="55"/>
      <c r="O824" s="55"/>
      <c r="P824" s="55"/>
      <c r="Q824" s="55"/>
      <c r="R824" s="55"/>
      <c r="S824" s="55"/>
      <c r="T824" s="55"/>
      <c r="U824" s="55"/>
    </row>
    <row r="825" spans="4:21" ht="13.5" customHeight="1">
      <c r="D825" s="53"/>
      <c r="E825" s="54"/>
      <c r="F825" s="54"/>
      <c r="G825" s="55"/>
      <c r="H825" s="55"/>
      <c r="I825" s="55"/>
      <c r="J825" s="55"/>
      <c r="K825" s="55"/>
      <c r="L825" s="55"/>
      <c r="M825" s="55"/>
      <c r="N825" s="55"/>
      <c r="O825" s="55"/>
      <c r="P825" s="55"/>
      <c r="Q825" s="55"/>
      <c r="R825" s="55"/>
      <c r="S825" s="55"/>
      <c r="T825" s="55"/>
      <c r="U825" s="55"/>
    </row>
    <row r="826" spans="4:21" ht="13.5" customHeight="1">
      <c r="D826" s="53"/>
      <c r="E826" s="54"/>
      <c r="F826" s="54"/>
      <c r="G826" s="55"/>
      <c r="H826" s="55"/>
      <c r="I826" s="55"/>
      <c r="J826" s="55"/>
      <c r="K826" s="55"/>
      <c r="L826" s="55"/>
      <c r="M826" s="55"/>
      <c r="N826" s="55"/>
      <c r="O826" s="55"/>
      <c r="P826" s="55"/>
      <c r="Q826" s="55"/>
      <c r="R826" s="55"/>
      <c r="S826" s="55"/>
      <c r="T826" s="55"/>
      <c r="U826" s="55"/>
    </row>
    <row r="827" spans="4:21" ht="13.5" customHeight="1">
      <c r="D827" s="53"/>
      <c r="E827" s="54"/>
      <c r="F827" s="54"/>
      <c r="G827" s="55"/>
      <c r="H827" s="55"/>
      <c r="I827" s="55"/>
      <c r="J827" s="55"/>
      <c r="K827" s="55"/>
      <c r="L827" s="55"/>
      <c r="M827" s="55"/>
      <c r="N827" s="55"/>
      <c r="O827" s="55"/>
      <c r="P827" s="55"/>
      <c r="Q827" s="55"/>
      <c r="R827" s="55"/>
      <c r="S827" s="55"/>
      <c r="T827" s="55"/>
      <c r="U827" s="55"/>
    </row>
    <row r="828" spans="4:21" ht="13.5" customHeight="1">
      <c r="D828" s="53"/>
      <c r="E828" s="54"/>
      <c r="F828" s="54"/>
      <c r="G828" s="55"/>
      <c r="H828" s="55"/>
      <c r="I828" s="55"/>
      <c r="J828" s="55"/>
      <c r="K828" s="55"/>
      <c r="L828" s="55"/>
      <c r="M828" s="55"/>
      <c r="N828" s="55"/>
      <c r="O828" s="55"/>
      <c r="P828" s="55"/>
      <c r="Q828" s="55"/>
      <c r="R828" s="55"/>
      <c r="S828" s="55"/>
      <c r="T828" s="55"/>
      <c r="U828" s="55"/>
    </row>
    <row r="829" spans="4:21" ht="13.5" customHeight="1">
      <c r="D829" s="53"/>
      <c r="E829" s="54"/>
      <c r="F829" s="54"/>
      <c r="G829" s="55"/>
      <c r="H829" s="55"/>
      <c r="I829" s="55"/>
      <c r="J829" s="55"/>
      <c r="K829" s="55"/>
      <c r="L829" s="55"/>
      <c r="M829" s="55"/>
      <c r="N829" s="55"/>
      <c r="O829" s="55"/>
      <c r="P829" s="55"/>
      <c r="Q829" s="55"/>
      <c r="R829" s="55"/>
      <c r="S829" s="55"/>
      <c r="T829" s="55"/>
      <c r="U829" s="55"/>
    </row>
    <row r="830" spans="4:21" ht="13.5" customHeight="1">
      <c r="D830" s="53"/>
      <c r="E830" s="54"/>
      <c r="F830" s="54"/>
      <c r="G830" s="55"/>
      <c r="H830" s="55"/>
      <c r="I830" s="55"/>
      <c r="J830" s="55"/>
      <c r="K830" s="55"/>
      <c r="L830" s="55"/>
      <c r="M830" s="55"/>
      <c r="N830" s="55"/>
      <c r="O830" s="55"/>
      <c r="P830" s="55"/>
      <c r="Q830" s="55"/>
      <c r="R830" s="55"/>
      <c r="S830" s="55"/>
      <c r="T830" s="55"/>
      <c r="U830" s="55"/>
    </row>
    <row r="831" spans="4:21" ht="13.5" customHeight="1">
      <c r="D831" s="53"/>
      <c r="E831" s="54"/>
      <c r="F831" s="54"/>
      <c r="G831" s="55"/>
      <c r="H831" s="55"/>
      <c r="I831" s="55"/>
      <c r="J831" s="55"/>
      <c r="K831" s="55"/>
      <c r="L831" s="55"/>
      <c r="M831" s="55"/>
      <c r="N831" s="55"/>
      <c r="O831" s="55"/>
      <c r="P831" s="55"/>
      <c r="Q831" s="55"/>
      <c r="R831" s="55"/>
      <c r="S831" s="55"/>
      <c r="T831" s="55"/>
      <c r="U831" s="55"/>
    </row>
    <row r="832" spans="4:21" ht="13.5" customHeight="1">
      <c r="D832" s="53"/>
      <c r="E832" s="54"/>
      <c r="F832" s="54"/>
      <c r="G832" s="55"/>
      <c r="H832" s="55"/>
      <c r="I832" s="55"/>
      <c r="J832" s="55"/>
      <c r="K832" s="55"/>
      <c r="L832" s="55"/>
      <c r="M832" s="55"/>
      <c r="N832" s="55"/>
      <c r="O832" s="55"/>
      <c r="P832" s="55"/>
      <c r="Q832" s="55"/>
      <c r="R832" s="55"/>
      <c r="S832" s="55"/>
      <c r="T832" s="55"/>
      <c r="U832" s="55"/>
    </row>
    <row r="833" spans="4:21" ht="13.5" customHeight="1">
      <c r="D833" s="53"/>
      <c r="E833" s="54"/>
      <c r="F833" s="54"/>
      <c r="G833" s="55"/>
      <c r="H833" s="55"/>
      <c r="I833" s="55"/>
      <c r="J833" s="55"/>
      <c r="K833" s="55"/>
      <c r="L833" s="55"/>
      <c r="M833" s="55"/>
      <c r="N833" s="55"/>
      <c r="O833" s="55"/>
      <c r="P833" s="55"/>
      <c r="Q833" s="55"/>
      <c r="R833" s="55"/>
      <c r="S833" s="55"/>
      <c r="T833" s="55"/>
      <c r="U833" s="55"/>
    </row>
    <row r="834" spans="4:21" ht="13.5" customHeight="1">
      <c r="D834" s="53"/>
      <c r="E834" s="54"/>
      <c r="F834" s="54"/>
      <c r="G834" s="55"/>
      <c r="H834" s="55"/>
      <c r="I834" s="55"/>
      <c r="J834" s="55"/>
      <c r="K834" s="55"/>
      <c r="L834" s="55"/>
      <c r="M834" s="55"/>
      <c r="N834" s="55"/>
      <c r="O834" s="55"/>
      <c r="P834" s="55"/>
      <c r="Q834" s="55"/>
      <c r="R834" s="55"/>
      <c r="S834" s="55"/>
      <c r="T834" s="55"/>
      <c r="U834" s="55"/>
    </row>
    <row r="835" spans="4:21" ht="13.5" customHeight="1">
      <c r="D835" s="53"/>
      <c r="E835" s="54"/>
      <c r="F835" s="54"/>
      <c r="G835" s="55"/>
      <c r="H835" s="55"/>
      <c r="I835" s="55"/>
      <c r="J835" s="55"/>
      <c r="K835" s="55"/>
      <c r="L835" s="55"/>
      <c r="M835" s="55"/>
      <c r="N835" s="55"/>
      <c r="O835" s="55"/>
      <c r="P835" s="55"/>
      <c r="Q835" s="55"/>
      <c r="R835" s="55"/>
      <c r="S835" s="55"/>
      <c r="T835" s="55"/>
      <c r="U835" s="55"/>
    </row>
    <row r="836" spans="4:21" ht="13.5" customHeight="1">
      <c r="D836" s="53"/>
      <c r="E836" s="54"/>
      <c r="F836" s="54"/>
      <c r="G836" s="55"/>
      <c r="H836" s="55"/>
      <c r="I836" s="55"/>
      <c r="J836" s="55"/>
      <c r="K836" s="55"/>
      <c r="L836" s="55"/>
      <c r="M836" s="55"/>
      <c r="N836" s="55"/>
      <c r="O836" s="55"/>
      <c r="P836" s="55"/>
      <c r="Q836" s="55"/>
      <c r="R836" s="55"/>
      <c r="S836" s="55"/>
      <c r="T836" s="55"/>
      <c r="U836" s="55"/>
    </row>
    <row r="837" spans="4:21" ht="13.5" customHeight="1">
      <c r="D837" s="53"/>
      <c r="E837" s="54"/>
      <c r="F837" s="54"/>
      <c r="G837" s="55"/>
      <c r="H837" s="55"/>
      <c r="I837" s="55"/>
      <c r="J837" s="55"/>
      <c r="K837" s="55"/>
      <c r="L837" s="55"/>
      <c r="M837" s="55"/>
      <c r="N837" s="55"/>
      <c r="O837" s="55"/>
      <c r="P837" s="55"/>
      <c r="Q837" s="55"/>
      <c r="R837" s="55"/>
      <c r="S837" s="55"/>
      <c r="T837" s="55"/>
      <c r="U837" s="55"/>
    </row>
    <row r="838" spans="4:21" ht="13.5" customHeight="1">
      <c r="D838" s="53"/>
      <c r="E838" s="54"/>
      <c r="F838" s="54"/>
      <c r="G838" s="55"/>
      <c r="H838" s="55"/>
      <c r="I838" s="55"/>
      <c r="J838" s="55"/>
      <c r="K838" s="55"/>
      <c r="L838" s="55"/>
      <c r="M838" s="55"/>
      <c r="N838" s="55"/>
      <c r="O838" s="55"/>
      <c r="P838" s="55"/>
      <c r="Q838" s="55"/>
      <c r="R838" s="55"/>
      <c r="S838" s="55"/>
      <c r="T838" s="55"/>
      <c r="U838" s="55"/>
    </row>
    <row r="839" spans="4:21" ht="13.5" customHeight="1">
      <c r="D839" s="53"/>
      <c r="E839" s="54"/>
      <c r="F839" s="54"/>
      <c r="G839" s="55"/>
      <c r="H839" s="55"/>
      <c r="I839" s="55"/>
      <c r="J839" s="55"/>
      <c r="K839" s="55"/>
      <c r="L839" s="55"/>
      <c r="M839" s="55"/>
      <c r="N839" s="55"/>
      <c r="O839" s="55"/>
      <c r="P839" s="55"/>
      <c r="Q839" s="55"/>
      <c r="R839" s="55"/>
      <c r="S839" s="55"/>
      <c r="T839" s="55"/>
      <c r="U839" s="55"/>
    </row>
    <row r="840" spans="4:21" ht="13.5" customHeight="1">
      <c r="D840" s="53"/>
      <c r="E840" s="54"/>
      <c r="F840" s="54"/>
      <c r="G840" s="55"/>
      <c r="H840" s="55"/>
      <c r="I840" s="55"/>
      <c r="J840" s="55"/>
      <c r="K840" s="55"/>
      <c r="L840" s="55"/>
      <c r="M840" s="55"/>
      <c r="N840" s="55"/>
      <c r="O840" s="55"/>
      <c r="P840" s="55"/>
      <c r="Q840" s="55"/>
      <c r="R840" s="55"/>
      <c r="S840" s="55"/>
      <c r="T840" s="55"/>
      <c r="U840" s="55"/>
    </row>
    <row r="841" spans="4:21" ht="13.5" customHeight="1">
      <c r="D841" s="53"/>
      <c r="E841" s="54"/>
      <c r="F841" s="54"/>
      <c r="G841" s="55"/>
      <c r="H841" s="55"/>
      <c r="I841" s="55"/>
      <c r="J841" s="55"/>
      <c r="K841" s="55"/>
      <c r="L841" s="55"/>
      <c r="M841" s="55"/>
      <c r="N841" s="55"/>
      <c r="O841" s="55"/>
      <c r="P841" s="55"/>
      <c r="Q841" s="55"/>
      <c r="R841" s="55"/>
      <c r="S841" s="55"/>
      <c r="T841" s="55"/>
      <c r="U841" s="55"/>
    </row>
    <row r="842" spans="4:21" ht="13.5" customHeight="1">
      <c r="D842" s="53"/>
      <c r="E842" s="54"/>
      <c r="F842" s="54"/>
      <c r="G842" s="55"/>
      <c r="H842" s="55"/>
      <c r="I842" s="55"/>
      <c r="J842" s="55"/>
      <c r="K842" s="55"/>
      <c r="L842" s="55"/>
      <c r="M842" s="55"/>
      <c r="N842" s="55"/>
      <c r="O842" s="55"/>
      <c r="P842" s="55"/>
      <c r="Q842" s="55"/>
      <c r="R842" s="55"/>
      <c r="S842" s="55"/>
      <c r="T842" s="55"/>
      <c r="U842" s="55"/>
    </row>
    <row r="843" spans="4:21" ht="13.5" customHeight="1">
      <c r="D843" s="53"/>
      <c r="E843" s="54"/>
      <c r="F843" s="54"/>
      <c r="G843" s="55"/>
      <c r="H843" s="55"/>
      <c r="I843" s="55"/>
      <c r="J843" s="55"/>
      <c r="K843" s="55"/>
      <c r="L843" s="55"/>
      <c r="M843" s="55"/>
      <c r="N843" s="55"/>
      <c r="O843" s="55"/>
      <c r="P843" s="55"/>
      <c r="Q843" s="55"/>
      <c r="R843" s="55"/>
      <c r="S843" s="55"/>
      <c r="T843" s="55"/>
      <c r="U843" s="55"/>
    </row>
    <row r="844" spans="4:21" ht="13.5" customHeight="1">
      <c r="D844" s="53"/>
      <c r="E844" s="54"/>
      <c r="F844" s="54"/>
      <c r="G844" s="55"/>
      <c r="H844" s="55"/>
      <c r="I844" s="55"/>
      <c r="J844" s="55"/>
      <c r="K844" s="55"/>
      <c r="L844" s="55"/>
      <c r="M844" s="55"/>
      <c r="N844" s="55"/>
      <c r="O844" s="55"/>
      <c r="P844" s="55"/>
      <c r="Q844" s="55"/>
      <c r="R844" s="55"/>
      <c r="S844" s="55"/>
      <c r="T844" s="55"/>
      <c r="U844" s="55"/>
    </row>
    <row r="845" spans="4:21" ht="13.5" customHeight="1">
      <c r="D845" s="53"/>
      <c r="E845" s="54"/>
      <c r="F845" s="54"/>
      <c r="G845" s="55"/>
      <c r="H845" s="55"/>
      <c r="I845" s="55"/>
      <c r="J845" s="55"/>
      <c r="K845" s="55"/>
      <c r="L845" s="55"/>
      <c r="M845" s="55"/>
      <c r="N845" s="55"/>
      <c r="O845" s="55"/>
      <c r="P845" s="55"/>
      <c r="Q845" s="55"/>
      <c r="R845" s="55"/>
      <c r="S845" s="55"/>
      <c r="T845" s="55"/>
      <c r="U845" s="55"/>
    </row>
    <row r="846" spans="4:21" ht="13.5" customHeight="1">
      <c r="D846" s="53"/>
      <c r="E846" s="54"/>
      <c r="F846" s="54"/>
      <c r="G846" s="55"/>
      <c r="H846" s="55"/>
      <c r="I846" s="55"/>
      <c r="J846" s="55"/>
      <c r="K846" s="55"/>
      <c r="L846" s="55"/>
      <c r="M846" s="55"/>
      <c r="N846" s="55"/>
      <c r="O846" s="55"/>
      <c r="P846" s="55"/>
      <c r="Q846" s="55"/>
      <c r="R846" s="55"/>
      <c r="S846" s="55"/>
      <c r="T846" s="55"/>
      <c r="U846" s="55"/>
    </row>
    <row r="847" spans="4:21" ht="13.5" customHeight="1">
      <c r="D847" s="53"/>
      <c r="E847" s="54"/>
      <c r="F847" s="54"/>
      <c r="G847" s="55"/>
      <c r="H847" s="55"/>
      <c r="I847" s="55"/>
      <c r="J847" s="55"/>
      <c r="K847" s="55"/>
      <c r="L847" s="55"/>
      <c r="M847" s="55"/>
      <c r="N847" s="55"/>
      <c r="O847" s="55"/>
      <c r="P847" s="55"/>
      <c r="Q847" s="55"/>
      <c r="R847" s="55"/>
      <c r="S847" s="55"/>
      <c r="T847" s="55"/>
      <c r="U847" s="55"/>
    </row>
    <row r="848" spans="4:21" ht="13.5" customHeight="1">
      <c r="D848" s="53"/>
      <c r="E848" s="54"/>
      <c r="F848" s="54"/>
      <c r="G848" s="55"/>
      <c r="H848" s="55"/>
      <c r="I848" s="55"/>
      <c r="J848" s="55"/>
      <c r="K848" s="55"/>
      <c r="L848" s="55"/>
      <c r="M848" s="55"/>
      <c r="N848" s="55"/>
      <c r="O848" s="55"/>
      <c r="P848" s="55"/>
      <c r="Q848" s="55"/>
      <c r="R848" s="55"/>
      <c r="S848" s="55"/>
      <c r="T848" s="55"/>
      <c r="U848" s="55"/>
    </row>
    <row r="849" spans="4:21" ht="13.5" customHeight="1">
      <c r="D849" s="53"/>
      <c r="E849" s="54"/>
      <c r="F849" s="54"/>
      <c r="G849" s="55"/>
      <c r="H849" s="55"/>
      <c r="I849" s="55"/>
      <c r="J849" s="55"/>
      <c r="K849" s="55"/>
      <c r="L849" s="55"/>
      <c r="M849" s="55"/>
      <c r="N849" s="55"/>
      <c r="O849" s="55"/>
      <c r="P849" s="55"/>
      <c r="Q849" s="55"/>
      <c r="R849" s="55"/>
      <c r="S849" s="55"/>
      <c r="T849" s="55"/>
      <c r="U849" s="55"/>
    </row>
    <row r="850" spans="4:21" ht="13.5" customHeight="1">
      <c r="D850" s="53"/>
      <c r="E850" s="54"/>
      <c r="F850" s="54"/>
      <c r="G850" s="55"/>
      <c r="H850" s="55"/>
      <c r="I850" s="55"/>
      <c r="J850" s="55"/>
      <c r="K850" s="55"/>
      <c r="L850" s="55"/>
      <c r="M850" s="55"/>
      <c r="N850" s="55"/>
      <c r="O850" s="55"/>
      <c r="P850" s="55"/>
      <c r="Q850" s="55"/>
      <c r="R850" s="55"/>
      <c r="S850" s="55"/>
      <c r="T850" s="55"/>
      <c r="U850" s="55"/>
    </row>
    <row r="851" spans="4:21" ht="13.5" customHeight="1">
      <c r="D851" s="53"/>
      <c r="E851" s="54"/>
      <c r="F851" s="54"/>
      <c r="G851" s="55"/>
      <c r="H851" s="55"/>
      <c r="I851" s="55"/>
      <c r="J851" s="55"/>
      <c r="K851" s="55"/>
      <c r="L851" s="55"/>
      <c r="M851" s="55"/>
      <c r="N851" s="55"/>
      <c r="O851" s="55"/>
      <c r="P851" s="55"/>
      <c r="Q851" s="55"/>
      <c r="R851" s="55"/>
      <c r="S851" s="55"/>
      <c r="T851" s="55"/>
      <c r="U851" s="55"/>
    </row>
    <row r="852" spans="4:21" ht="13.5" customHeight="1">
      <c r="D852" s="53"/>
      <c r="E852" s="54"/>
      <c r="F852" s="54"/>
      <c r="G852" s="55"/>
      <c r="H852" s="55"/>
      <c r="I852" s="55"/>
      <c r="J852" s="55"/>
      <c r="K852" s="55"/>
      <c r="L852" s="55"/>
      <c r="M852" s="55"/>
      <c r="N852" s="55"/>
      <c r="O852" s="55"/>
      <c r="P852" s="55"/>
      <c r="Q852" s="55"/>
      <c r="R852" s="55"/>
      <c r="S852" s="55"/>
      <c r="T852" s="55"/>
      <c r="U852" s="55"/>
    </row>
    <row r="853" spans="4:21" ht="13.5" customHeight="1">
      <c r="D853" s="53"/>
      <c r="E853" s="54"/>
      <c r="F853" s="54"/>
      <c r="G853" s="55"/>
      <c r="H853" s="55"/>
      <c r="I853" s="55"/>
      <c r="J853" s="55"/>
      <c r="K853" s="55"/>
      <c r="L853" s="55"/>
      <c r="M853" s="55"/>
      <c r="N853" s="55"/>
      <c r="O853" s="55"/>
      <c r="P853" s="55"/>
      <c r="Q853" s="55"/>
      <c r="R853" s="55"/>
      <c r="S853" s="55"/>
      <c r="T853" s="55"/>
      <c r="U853" s="55"/>
    </row>
    <row r="854" spans="4:21" ht="13.5" customHeight="1">
      <c r="D854" s="53"/>
      <c r="E854" s="54"/>
      <c r="F854" s="54"/>
      <c r="G854" s="55"/>
      <c r="H854" s="55"/>
      <c r="I854" s="55"/>
      <c r="J854" s="55"/>
      <c r="K854" s="55"/>
      <c r="L854" s="55"/>
      <c r="M854" s="55"/>
      <c r="N854" s="55"/>
      <c r="O854" s="55"/>
      <c r="P854" s="55"/>
      <c r="Q854" s="55"/>
      <c r="R854" s="55"/>
      <c r="S854" s="55"/>
      <c r="T854" s="55"/>
      <c r="U854" s="55"/>
    </row>
    <row r="855" spans="4:21" ht="13.5" customHeight="1">
      <c r="D855" s="53"/>
      <c r="E855" s="54"/>
      <c r="F855" s="54"/>
      <c r="G855" s="55"/>
      <c r="H855" s="55"/>
      <c r="I855" s="55"/>
      <c r="J855" s="55"/>
      <c r="K855" s="55"/>
      <c r="L855" s="55"/>
      <c r="M855" s="55"/>
      <c r="N855" s="55"/>
      <c r="O855" s="55"/>
      <c r="P855" s="55"/>
      <c r="Q855" s="55"/>
      <c r="R855" s="55"/>
      <c r="S855" s="55"/>
      <c r="T855" s="55"/>
      <c r="U855" s="55"/>
    </row>
    <row r="856" spans="4:21" ht="13.5" customHeight="1">
      <c r="D856" s="53"/>
      <c r="E856" s="54"/>
      <c r="F856" s="54"/>
      <c r="G856" s="55"/>
      <c r="H856" s="55"/>
      <c r="I856" s="55"/>
      <c r="J856" s="55"/>
      <c r="K856" s="55"/>
      <c r="L856" s="55"/>
      <c r="M856" s="55"/>
      <c r="N856" s="55"/>
      <c r="O856" s="55"/>
      <c r="P856" s="55"/>
      <c r="Q856" s="55"/>
      <c r="R856" s="55"/>
      <c r="S856" s="55"/>
      <c r="T856" s="55"/>
      <c r="U856" s="55"/>
    </row>
    <row r="857" spans="4:21" ht="13.5" customHeight="1">
      <c r="D857" s="53"/>
      <c r="E857" s="54"/>
      <c r="F857" s="54"/>
      <c r="G857" s="55"/>
      <c r="H857" s="55"/>
      <c r="I857" s="55"/>
      <c r="J857" s="55"/>
      <c r="K857" s="55"/>
      <c r="L857" s="55"/>
      <c r="M857" s="55"/>
      <c r="N857" s="55"/>
      <c r="O857" s="55"/>
      <c r="P857" s="55"/>
      <c r="Q857" s="55"/>
      <c r="R857" s="55"/>
      <c r="S857" s="55"/>
      <c r="T857" s="55"/>
      <c r="U857" s="55"/>
    </row>
    <row r="858" spans="4:21" ht="13.5" customHeight="1">
      <c r="D858" s="53"/>
      <c r="E858" s="54"/>
      <c r="F858" s="54"/>
      <c r="G858" s="55"/>
      <c r="H858" s="55"/>
      <c r="I858" s="55"/>
      <c r="J858" s="55"/>
      <c r="K858" s="55"/>
      <c r="L858" s="55"/>
      <c r="M858" s="55"/>
      <c r="N858" s="55"/>
      <c r="O858" s="55"/>
      <c r="P858" s="55"/>
      <c r="Q858" s="55"/>
      <c r="R858" s="55"/>
      <c r="S858" s="55"/>
      <c r="T858" s="55"/>
      <c r="U858" s="55"/>
    </row>
    <row r="859" spans="4:21" ht="13.5" customHeight="1">
      <c r="D859" s="53"/>
      <c r="E859" s="54"/>
      <c r="F859" s="54"/>
      <c r="G859" s="55"/>
      <c r="H859" s="55"/>
      <c r="I859" s="55"/>
      <c r="J859" s="55"/>
      <c r="K859" s="55"/>
      <c r="L859" s="55"/>
      <c r="M859" s="55"/>
      <c r="N859" s="55"/>
      <c r="O859" s="55"/>
      <c r="P859" s="55"/>
      <c r="Q859" s="55"/>
      <c r="R859" s="55"/>
      <c r="S859" s="55"/>
      <c r="T859" s="55"/>
      <c r="U859" s="55"/>
    </row>
    <row r="860" spans="4:21" ht="13.5" customHeight="1">
      <c r="D860" s="53"/>
      <c r="E860" s="54"/>
      <c r="F860" s="54"/>
      <c r="G860" s="55"/>
      <c r="H860" s="55"/>
      <c r="I860" s="55"/>
      <c r="J860" s="55"/>
      <c r="K860" s="55"/>
      <c r="L860" s="55"/>
      <c r="M860" s="55"/>
      <c r="N860" s="55"/>
      <c r="O860" s="55"/>
      <c r="P860" s="55"/>
      <c r="Q860" s="55"/>
      <c r="R860" s="55"/>
      <c r="S860" s="55"/>
      <c r="T860" s="55"/>
      <c r="U860" s="55"/>
    </row>
    <row r="861" spans="4:21" ht="13.5" customHeight="1">
      <c r="D861" s="53"/>
      <c r="E861" s="54"/>
      <c r="F861" s="54"/>
      <c r="G861" s="55"/>
      <c r="H861" s="55"/>
      <c r="I861" s="55"/>
      <c r="J861" s="55"/>
      <c r="K861" s="55"/>
      <c r="L861" s="55"/>
      <c r="M861" s="55"/>
      <c r="N861" s="55"/>
      <c r="O861" s="55"/>
      <c r="P861" s="55"/>
      <c r="Q861" s="55"/>
      <c r="R861" s="55"/>
      <c r="S861" s="55"/>
      <c r="T861" s="55"/>
      <c r="U861" s="55"/>
    </row>
    <row r="862" spans="4:21" ht="13.5" customHeight="1">
      <c r="D862" s="53"/>
      <c r="E862" s="54"/>
      <c r="F862" s="54"/>
      <c r="G862" s="55"/>
      <c r="H862" s="55"/>
      <c r="I862" s="55"/>
      <c r="J862" s="55"/>
      <c r="K862" s="55"/>
      <c r="L862" s="55"/>
      <c r="M862" s="55"/>
      <c r="N862" s="55"/>
      <c r="O862" s="55"/>
      <c r="P862" s="55"/>
      <c r="Q862" s="55"/>
      <c r="R862" s="55"/>
      <c r="S862" s="55"/>
      <c r="T862" s="55"/>
      <c r="U862" s="55"/>
    </row>
    <row r="863" spans="4:21" ht="13.5" customHeight="1">
      <c r="D863" s="53"/>
      <c r="E863" s="54"/>
      <c r="F863" s="54"/>
      <c r="G863" s="55"/>
      <c r="H863" s="55"/>
      <c r="I863" s="55"/>
      <c r="J863" s="55"/>
      <c r="K863" s="55"/>
      <c r="L863" s="55"/>
      <c r="M863" s="55"/>
      <c r="N863" s="55"/>
      <c r="O863" s="55"/>
      <c r="P863" s="55"/>
      <c r="Q863" s="55"/>
      <c r="R863" s="55"/>
      <c r="S863" s="55"/>
      <c r="T863" s="55"/>
      <c r="U863" s="55"/>
    </row>
    <row r="864" spans="4:21" ht="13.5" customHeight="1">
      <c r="D864" s="53"/>
      <c r="E864" s="54"/>
      <c r="F864" s="54"/>
      <c r="G864" s="55"/>
      <c r="H864" s="55"/>
      <c r="I864" s="55"/>
      <c r="J864" s="55"/>
      <c r="K864" s="55"/>
      <c r="L864" s="55"/>
      <c r="M864" s="55"/>
      <c r="N864" s="55"/>
      <c r="O864" s="55"/>
      <c r="P864" s="55"/>
      <c r="Q864" s="55"/>
      <c r="R864" s="55"/>
      <c r="S864" s="55"/>
      <c r="T864" s="55"/>
      <c r="U864" s="55"/>
    </row>
    <row r="865" spans="4:21" ht="13.5" customHeight="1">
      <c r="D865" s="53"/>
      <c r="E865" s="54"/>
      <c r="F865" s="54"/>
      <c r="G865" s="55"/>
      <c r="H865" s="55"/>
      <c r="I865" s="55"/>
      <c r="J865" s="55"/>
      <c r="K865" s="55"/>
      <c r="L865" s="55"/>
      <c r="M865" s="55"/>
      <c r="N865" s="55"/>
      <c r="O865" s="55"/>
      <c r="P865" s="55"/>
      <c r="Q865" s="55"/>
      <c r="R865" s="55"/>
      <c r="S865" s="55"/>
      <c r="T865" s="55"/>
      <c r="U865" s="55"/>
    </row>
    <row r="866" spans="4:21" ht="13.5" customHeight="1">
      <c r="D866" s="53"/>
      <c r="E866" s="54"/>
      <c r="F866" s="54"/>
      <c r="G866" s="55"/>
      <c r="H866" s="55"/>
      <c r="I866" s="55"/>
      <c r="J866" s="55"/>
      <c r="K866" s="55"/>
      <c r="L866" s="55"/>
      <c r="M866" s="55"/>
      <c r="N866" s="55"/>
      <c r="O866" s="55"/>
      <c r="P866" s="55"/>
      <c r="Q866" s="55"/>
      <c r="R866" s="55"/>
      <c r="S866" s="55"/>
      <c r="T866" s="55"/>
      <c r="U866" s="55"/>
    </row>
    <row r="867" spans="4:21" ht="13.5" customHeight="1">
      <c r="D867" s="53"/>
      <c r="E867" s="54"/>
      <c r="F867" s="54"/>
      <c r="G867" s="55"/>
      <c r="H867" s="55"/>
      <c r="I867" s="55"/>
      <c r="J867" s="55"/>
      <c r="K867" s="55"/>
      <c r="L867" s="55"/>
      <c r="M867" s="55"/>
      <c r="N867" s="55"/>
      <c r="O867" s="55"/>
      <c r="P867" s="55"/>
      <c r="Q867" s="55"/>
      <c r="R867" s="55"/>
      <c r="S867" s="55"/>
      <c r="T867" s="55"/>
      <c r="U867" s="55"/>
    </row>
    <row r="868" spans="4:21" ht="13.5" customHeight="1">
      <c r="D868" s="53"/>
      <c r="E868" s="54"/>
      <c r="F868" s="54"/>
      <c r="G868" s="55"/>
      <c r="H868" s="55"/>
      <c r="I868" s="55"/>
      <c r="J868" s="55"/>
      <c r="K868" s="55"/>
      <c r="L868" s="55"/>
      <c r="M868" s="55"/>
      <c r="N868" s="55"/>
      <c r="O868" s="55"/>
      <c r="P868" s="55"/>
      <c r="Q868" s="55"/>
      <c r="R868" s="55"/>
      <c r="S868" s="55"/>
      <c r="T868" s="55"/>
      <c r="U868" s="55"/>
    </row>
    <row r="869" spans="4:21" ht="13.5" customHeight="1">
      <c r="D869" s="53"/>
      <c r="E869" s="54"/>
      <c r="F869" s="54"/>
      <c r="G869" s="55"/>
      <c r="H869" s="55"/>
      <c r="I869" s="55"/>
      <c r="J869" s="55"/>
      <c r="K869" s="55"/>
      <c r="L869" s="55"/>
      <c r="M869" s="55"/>
      <c r="N869" s="55"/>
      <c r="O869" s="55"/>
      <c r="P869" s="55"/>
      <c r="Q869" s="55"/>
      <c r="R869" s="55"/>
      <c r="S869" s="55"/>
      <c r="T869" s="55"/>
      <c r="U869" s="55"/>
    </row>
    <row r="870" spans="4:21" ht="13.5" customHeight="1">
      <c r="D870" s="53"/>
      <c r="E870" s="54"/>
      <c r="F870" s="54"/>
      <c r="G870" s="55"/>
      <c r="H870" s="55"/>
      <c r="I870" s="55"/>
      <c r="J870" s="55"/>
      <c r="K870" s="55"/>
      <c r="L870" s="55"/>
      <c r="M870" s="55"/>
      <c r="N870" s="55"/>
      <c r="O870" s="55"/>
      <c r="P870" s="55"/>
      <c r="Q870" s="55"/>
      <c r="R870" s="55"/>
      <c r="S870" s="55"/>
      <c r="T870" s="55"/>
      <c r="U870" s="55"/>
    </row>
    <row r="871" spans="4:21" ht="13.5" customHeight="1">
      <c r="D871" s="53"/>
      <c r="E871" s="54"/>
      <c r="F871" s="54"/>
      <c r="G871" s="55"/>
      <c r="H871" s="55"/>
      <c r="I871" s="55"/>
      <c r="J871" s="55"/>
      <c r="K871" s="55"/>
      <c r="L871" s="55"/>
      <c r="M871" s="55"/>
      <c r="N871" s="55"/>
      <c r="O871" s="55"/>
      <c r="P871" s="55"/>
      <c r="Q871" s="55"/>
      <c r="R871" s="55"/>
      <c r="S871" s="55"/>
      <c r="T871" s="55"/>
      <c r="U871" s="55"/>
    </row>
    <row r="872" spans="4:21" ht="13.5" customHeight="1">
      <c r="D872" s="53"/>
      <c r="E872" s="54"/>
      <c r="F872" s="54"/>
      <c r="G872" s="55"/>
      <c r="H872" s="55"/>
      <c r="I872" s="55"/>
      <c r="J872" s="55"/>
      <c r="K872" s="55"/>
      <c r="L872" s="55"/>
      <c r="M872" s="55"/>
      <c r="N872" s="55"/>
      <c r="O872" s="55"/>
      <c r="P872" s="55"/>
      <c r="Q872" s="55"/>
      <c r="R872" s="55"/>
      <c r="S872" s="55"/>
      <c r="T872" s="55"/>
      <c r="U872" s="55"/>
    </row>
    <row r="873" spans="4:21" ht="13.5" customHeight="1">
      <c r="D873" s="53"/>
      <c r="E873" s="54"/>
      <c r="F873" s="54"/>
      <c r="G873" s="55"/>
      <c r="H873" s="55"/>
      <c r="I873" s="55"/>
      <c r="J873" s="55"/>
      <c r="K873" s="55"/>
      <c r="L873" s="55"/>
      <c r="M873" s="55"/>
      <c r="N873" s="55"/>
      <c r="O873" s="55"/>
      <c r="P873" s="55"/>
      <c r="Q873" s="55"/>
      <c r="R873" s="55"/>
      <c r="S873" s="55"/>
      <c r="T873" s="55"/>
      <c r="U873" s="55"/>
    </row>
    <row r="874" spans="4:21" ht="13.5" customHeight="1">
      <c r="D874" s="53"/>
      <c r="E874" s="54"/>
      <c r="F874" s="54"/>
      <c r="G874" s="55"/>
      <c r="H874" s="55"/>
      <c r="I874" s="55"/>
      <c r="J874" s="55"/>
      <c r="K874" s="55"/>
      <c r="L874" s="55"/>
      <c r="M874" s="55"/>
      <c r="N874" s="55"/>
      <c r="O874" s="55"/>
      <c r="P874" s="55"/>
      <c r="Q874" s="55"/>
      <c r="R874" s="55"/>
      <c r="S874" s="55"/>
      <c r="T874" s="55"/>
      <c r="U874" s="55"/>
    </row>
    <row r="875" spans="4:21" ht="13.5" customHeight="1">
      <c r="D875" s="53"/>
      <c r="E875" s="54"/>
      <c r="F875" s="54"/>
      <c r="G875" s="55"/>
      <c r="H875" s="55"/>
      <c r="I875" s="55"/>
      <c r="J875" s="55"/>
      <c r="K875" s="55"/>
      <c r="L875" s="55"/>
      <c r="M875" s="55"/>
      <c r="N875" s="55"/>
      <c r="O875" s="55"/>
      <c r="P875" s="55"/>
      <c r="Q875" s="55"/>
      <c r="R875" s="55"/>
      <c r="S875" s="55"/>
      <c r="T875" s="55"/>
      <c r="U875" s="55"/>
    </row>
    <row r="876" spans="4:21" ht="13.5" customHeight="1">
      <c r="D876" s="53"/>
      <c r="E876" s="54"/>
      <c r="F876" s="54"/>
      <c r="G876" s="55"/>
      <c r="H876" s="55"/>
      <c r="I876" s="55"/>
      <c r="J876" s="55"/>
      <c r="K876" s="55"/>
      <c r="L876" s="55"/>
      <c r="M876" s="55"/>
      <c r="N876" s="55"/>
      <c r="O876" s="55"/>
      <c r="P876" s="55"/>
      <c r="Q876" s="55"/>
      <c r="R876" s="55"/>
      <c r="S876" s="55"/>
      <c r="T876" s="55"/>
      <c r="U876" s="55"/>
    </row>
    <row r="877" spans="4:21" ht="13.5" customHeight="1">
      <c r="D877" s="53"/>
      <c r="E877" s="54"/>
      <c r="F877" s="54"/>
      <c r="G877" s="55"/>
      <c r="H877" s="55"/>
      <c r="I877" s="55"/>
      <c r="J877" s="55"/>
      <c r="K877" s="55"/>
      <c r="L877" s="55"/>
      <c r="M877" s="55"/>
      <c r="N877" s="55"/>
      <c r="O877" s="55"/>
      <c r="P877" s="55"/>
      <c r="Q877" s="55"/>
      <c r="R877" s="55"/>
      <c r="S877" s="55"/>
      <c r="T877" s="55"/>
      <c r="U877" s="55"/>
    </row>
    <row r="878" spans="4:21" ht="13.5" customHeight="1">
      <c r="D878" s="53"/>
      <c r="E878" s="54"/>
      <c r="F878" s="54"/>
      <c r="G878" s="55"/>
      <c r="H878" s="55"/>
      <c r="I878" s="55"/>
      <c r="J878" s="55"/>
      <c r="K878" s="55"/>
      <c r="L878" s="55"/>
      <c r="M878" s="55"/>
      <c r="N878" s="55"/>
      <c r="O878" s="55"/>
      <c r="P878" s="55"/>
      <c r="Q878" s="55"/>
      <c r="R878" s="55"/>
      <c r="S878" s="55"/>
      <c r="T878" s="55"/>
      <c r="U878" s="55"/>
    </row>
    <row r="879" spans="4:21" ht="13.5" customHeight="1">
      <c r="D879" s="53"/>
      <c r="E879" s="54"/>
      <c r="F879" s="54"/>
      <c r="G879" s="55"/>
      <c r="H879" s="55"/>
      <c r="I879" s="55"/>
      <c r="J879" s="55"/>
      <c r="K879" s="55"/>
      <c r="L879" s="55"/>
      <c r="M879" s="55"/>
      <c r="N879" s="55"/>
      <c r="O879" s="55"/>
      <c r="P879" s="55"/>
      <c r="Q879" s="55"/>
      <c r="R879" s="55"/>
      <c r="S879" s="55"/>
      <c r="T879" s="55"/>
      <c r="U879" s="55"/>
    </row>
    <row r="880" spans="4:21" ht="13.5" customHeight="1">
      <c r="D880" s="53"/>
      <c r="E880" s="54"/>
      <c r="F880" s="54"/>
      <c r="G880" s="55"/>
      <c r="H880" s="55"/>
      <c r="I880" s="55"/>
      <c r="J880" s="55"/>
      <c r="K880" s="55"/>
      <c r="L880" s="55"/>
      <c r="M880" s="55"/>
      <c r="N880" s="55"/>
      <c r="O880" s="55"/>
      <c r="P880" s="55"/>
      <c r="Q880" s="55"/>
      <c r="R880" s="55"/>
      <c r="S880" s="55"/>
      <c r="T880" s="55"/>
      <c r="U880" s="55"/>
    </row>
    <row r="881" spans="4:21" ht="13.5" customHeight="1">
      <c r="D881" s="53"/>
      <c r="E881" s="54"/>
      <c r="F881" s="54"/>
      <c r="G881" s="55"/>
      <c r="H881" s="55"/>
      <c r="I881" s="55"/>
      <c r="J881" s="55"/>
      <c r="K881" s="55"/>
      <c r="L881" s="55"/>
      <c r="M881" s="55"/>
      <c r="N881" s="55"/>
      <c r="O881" s="55"/>
      <c r="P881" s="55"/>
      <c r="Q881" s="55"/>
      <c r="R881" s="55"/>
      <c r="S881" s="55"/>
      <c r="T881" s="55"/>
      <c r="U881" s="55"/>
    </row>
    <row r="882" spans="4:21" ht="13.5" customHeight="1">
      <c r="D882" s="53"/>
      <c r="E882" s="54"/>
      <c r="F882" s="54"/>
      <c r="G882" s="55"/>
      <c r="H882" s="55"/>
      <c r="I882" s="55"/>
      <c r="J882" s="55"/>
      <c r="K882" s="55"/>
      <c r="L882" s="55"/>
      <c r="M882" s="55"/>
      <c r="N882" s="55"/>
      <c r="O882" s="55"/>
      <c r="P882" s="55"/>
      <c r="Q882" s="55"/>
      <c r="R882" s="55"/>
      <c r="S882" s="55"/>
      <c r="T882" s="55"/>
      <c r="U882" s="55"/>
    </row>
    <row r="883" spans="4:21" ht="13.5" customHeight="1">
      <c r="D883" s="53"/>
      <c r="E883" s="54"/>
      <c r="F883" s="54"/>
      <c r="G883" s="55"/>
      <c r="H883" s="55"/>
      <c r="I883" s="55"/>
      <c r="J883" s="55"/>
      <c r="K883" s="55"/>
      <c r="L883" s="55"/>
      <c r="M883" s="55"/>
      <c r="N883" s="55"/>
      <c r="O883" s="55"/>
      <c r="P883" s="55"/>
      <c r="Q883" s="55"/>
      <c r="R883" s="55"/>
      <c r="S883" s="55"/>
      <c r="T883" s="55"/>
      <c r="U883" s="55"/>
    </row>
    <row r="884" spans="4:21" ht="13.5" customHeight="1">
      <c r="D884" s="53"/>
      <c r="E884" s="54"/>
      <c r="F884" s="54"/>
      <c r="G884" s="55"/>
      <c r="H884" s="55"/>
      <c r="I884" s="55"/>
      <c r="J884" s="55"/>
      <c r="K884" s="55"/>
      <c r="L884" s="55"/>
      <c r="M884" s="55"/>
      <c r="N884" s="55"/>
      <c r="O884" s="55"/>
      <c r="P884" s="55"/>
      <c r="Q884" s="55"/>
      <c r="R884" s="55"/>
      <c r="S884" s="55"/>
      <c r="T884" s="55"/>
      <c r="U884" s="55"/>
    </row>
    <row r="885" spans="4:21" ht="13.5" customHeight="1">
      <c r="D885" s="53"/>
      <c r="E885" s="54"/>
      <c r="F885" s="54"/>
      <c r="G885" s="55"/>
      <c r="H885" s="55"/>
      <c r="I885" s="55"/>
      <c r="J885" s="55"/>
      <c r="K885" s="55"/>
      <c r="L885" s="55"/>
      <c r="M885" s="55"/>
      <c r="N885" s="55"/>
      <c r="O885" s="55"/>
      <c r="P885" s="55"/>
      <c r="Q885" s="55"/>
      <c r="R885" s="55"/>
      <c r="S885" s="55"/>
      <c r="T885" s="55"/>
      <c r="U885" s="55"/>
    </row>
    <row r="886" spans="4:21" ht="13.5" customHeight="1">
      <c r="D886" s="53"/>
      <c r="E886" s="54"/>
      <c r="F886" s="54"/>
      <c r="G886" s="55"/>
      <c r="H886" s="55"/>
      <c r="I886" s="55"/>
      <c r="J886" s="55"/>
      <c r="K886" s="55"/>
      <c r="L886" s="55"/>
      <c r="M886" s="55"/>
      <c r="N886" s="55"/>
      <c r="O886" s="55"/>
      <c r="P886" s="55"/>
      <c r="Q886" s="55"/>
      <c r="R886" s="55"/>
      <c r="S886" s="55"/>
      <c r="T886" s="55"/>
      <c r="U886" s="55"/>
    </row>
    <row r="887" spans="4:21" ht="13.5" customHeight="1">
      <c r="D887" s="53"/>
      <c r="E887" s="54"/>
      <c r="F887" s="54"/>
      <c r="G887" s="55"/>
      <c r="H887" s="55"/>
      <c r="I887" s="55"/>
      <c r="J887" s="55"/>
      <c r="K887" s="55"/>
      <c r="L887" s="55"/>
      <c r="M887" s="55"/>
      <c r="N887" s="55"/>
      <c r="O887" s="55"/>
      <c r="P887" s="55"/>
      <c r="Q887" s="55"/>
      <c r="R887" s="55"/>
      <c r="S887" s="55"/>
      <c r="T887" s="55"/>
      <c r="U887" s="55"/>
    </row>
    <row r="888" spans="4:21" ht="13.5" customHeight="1">
      <c r="D888" s="53"/>
      <c r="E888" s="54"/>
      <c r="F888" s="54"/>
      <c r="G888" s="55"/>
      <c r="H888" s="55"/>
      <c r="I888" s="55"/>
      <c r="J888" s="55"/>
      <c r="K888" s="55"/>
      <c r="L888" s="55"/>
      <c r="M888" s="55"/>
      <c r="N888" s="55"/>
      <c r="O888" s="55"/>
      <c r="P888" s="55"/>
      <c r="Q888" s="55"/>
      <c r="R888" s="55"/>
      <c r="S888" s="55"/>
      <c r="T888" s="55"/>
      <c r="U888" s="55"/>
    </row>
    <row r="889" spans="4:21" ht="13.5" customHeight="1">
      <c r="D889" s="53"/>
      <c r="E889" s="54"/>
      <c r="F889" s="54"/>
      <c r="G889" s="55"/>
      <c r="H889" s="55"/>
      <c r="I889" s="55"/>
      <c r="J889" s="55"/>
      <c r="K889" s="55"/>
      <c r="L889" s="55"/>
      <c r="M889" s="55"/>
      <c r="N889" s="55"/>
      <c r="O889" s="55"/>
      <c r="P889" s="55"/>
      <c r="Q889" s="55"/>
      <c r="R889" s="55"/>
      <c r="S889" s="55"/>
      <c r="T889" s="55"/>
      <c r="U889" s="55"/>
    </row>
    <row r="890" spans="4:21" ht="13.5" customHeight="1">
      <c r="D890" s="53"/>
      <c r="E890" s="54"/>
      <c r="F890" s="54"/>
      <c r="G890" s="55"/>
      <c r="H890" s="55"/>
      <c r="I890" s="55"/>
      <c r="J890" s="55"/>
      <c r="K890" s="55"/>
      <c r="L890" s="55"/>
      <c r="M890" s="55"/>
      <c r="N890" s="55"/>
      <c r="O890" s="55"/>
      <c r="P890" s="55"/>
      <c r="Q890" s="55"/>
      <c r="R890" s="55"/>
      <c r="S890" s="55"/>
      <c r="T890" s="55"/>
      <c r="U890" s="55"/>
    </row>
    <row r="891" spans="4:21" ht="13.5" customHeight="1">
      <c r="D891" s="53"/>
      <c r="E891" s="54"/>
      <c r="F891" s="54"/>
      <c r="G891" s="55"/>
      <c r="H891" s="55"/>
      <c r="I891" s="55"/>
      <c r="J891" s="55"/>
      <c r="K891" s="55"/>
      <c r="L891" s="55"/>
      <c r="M891" s="55"/>
      <c r="N891" s="55"/>
      <c r="O891" s="55"/>
      <c r="P891" s="55"/>
      <c r="Q891" s="55"/>
      <c r="R891" s="55"/>
      <c r="S891" s="55"/>
      <c r="T891" s="55"/>
      <c r="U891" s="55"/>
    </row>
    <row r="892" spans="4:21" ht="13.5" customHeight="1">
      <c r="D892" s="53"/>
      <c r="E892" s="54"/>
      <c r="F892" s="54"/>
      <c r="G892" s="55"/>
      <c r="H892" s="55"/>
      <c r="I892" s="55"/>
      <c r="J892" s="55"/>
      <c r="K892" s="55"/>
      <c r="L892" s="55"/>
      <c r="M892" s="55"/>
      <c r="N892" s="55"/>
      <c r="O892" s="55"/>
      <c r="P892" s="55"/>
      <c r="Q892" s="55"/>
      <c r="R892" s="55"/>
      <c r="S892" s="55"/>
      <c r="T892" s="55"/>
      <c r="U892" s="55"/>
    </row>
    <row r="893" spans="4:21" ht="13.5" customHeight="1">
      <c r="D893" s="53"/>
      <c r="E893" s="54"/>
      <c r="F893" s="54"/>
      <c r="G893" s="55"/>
      <c r="H893" s="55"/>
      <c r="I893" s="55"/>
      <c r="J893" s="55"/>
      <c r="K893" s="55"/>
      <c r="L893" s="55"/>
      <c r="M893" s="55"/>
      <c r="N893" s="55"/>
      <c r="O893" s="55"/>
      <c r="P893" s="55"/>
      <c r="Q893" s="55"/>
      <c r="R893" s="55"/>
      <c r="S893" s="55"/>
      <c r="T893" s="55"/>
      <c r="U893" s="55"/>
    </row>
    <row r="894" spans="4:21" ht="13.5" customHeight="1">
      <c r="D894" s="53"/>
      <c r="E894" s="54"/>
      <c r="F894" s="54"/>
      <c r="G894" s="55"/>
      <c r="H894" s="55"/>
      <c r="I894" s="55"/>
      <c r="J894" s="55"/>
      <c r="K894" s="55"/>
      <c r="L894" s="55"/>
      <c r="M894" s="55"/>
      <c r="N894" s="55"/>
      <c r="O894" s="55"/>
      <c r="P894" s="55"/>
      <c r="Q894" s="55"/>
      <c r="R894" s="55"/>
      <c r="S894" s="55"/>
      <c r="T894" s="55"/>
      <c r="U894" s="55"/>
    </row>
    <row r="895" spans="4:21" ht="13.5" customHeight="1">
      <c r="D895" s="53"/>
      <c r="E895" s="54"/>
      <c r="F895" s="54"/>
      <c r="G895" s="55"/>
      <c r="H895" s="55"/>
      <c r="I895" s="55"/>
      <c r="J895" s="55"/>
      <c r="K895" s="55"/>
      <c r="L895" s="55"/>
      <c r="M895" s="55"/>
      <c r="N895" s="55"/>
      <c r="O895" s="55"/>
      <c r="P895" s="55"/>
      <c r="Q895" s="55"/>
      <c r="R895" s="55"/>
      <c r="S895" s="55"/>
      <c r="T895" s="55"/>
      <c r="U895" s="55"/>
    </row>
    <row r="896" spans="4:21" ht="13.5" customHeight="1">
      <c r="D896" s="53"/>
      <c r="E896" s="54"/>
      <c r="F896" s="54"/>
      <c r="G896" s="55"/>
      <c r="H896" s="55"/>
      <c r="I896" s="55"/>
      <c r="J896" s="55"/>
      <c r="K896" s="55"/>
      <c r="L896" s="55"/>
      <c r="M896" s="55"/>
      <c r="N896" s="55"/>
      <c r="O896" s="55"/>
      <c r="P896" s="55"/>
      <c r="Q896" s="55"/>
      <c r="R896" s="55"/>
      <c r="S896" s="55"/>
      <c r="T896" s="55"/>
      <c r="U896" s="55"/>
    </row>
    <row r="897" spans="4:21" ht="13.5" customHeight="1">
      <c r="D897" s="53"/>
      <c r="E897" s="54"/>
      <c r="F897" s="54"/>
      <c r="G897" s="55"/>
      <c r="H897" s="55"/>
      <c r="I897" s="55"/>
      <c r="J897" s="55"/>
      <c r="K897" s="55"/>
      <c r="L897" s="55"/>
      <c r="M897" s="55"/>
      <c r="N897" s="55"/>
      <c r="O897" s="55"/>
      <c r="P897" s="55"/>
      <c r="Q897" s="55"/>
      <c r="R897" s="55"/>
      <c r="S897" s="55"/>
      <c r="T897" s="55"/>
      <c r="U897" s="55"/>
    </row>
    <row r="898" spans="4:21" ht="13.5" customHeight="1">
      <c r="D898" s="53"/>
      <c r="E898" s="54"/>
      <c r="F898" s="54"/>
      <c r="G898" s="55"/>
      <c r="H898" s="55"/>
      <c r="I898" s="55"/>
      <c r="J898" s="55"/>
      <c r="K898" s="55"/>
      <c r="L898" s="55"/>
      <c r="M898" s="55"/>
      <c r="N898" s="55"/>
      <c r="O898" s="55"/>
      <c r="P898" s="55"/>
      <c r="Q898" s="55"/>
      <c r="R898" s="55"/>
      <c r="S898" s="55"/>
      <c r="T898" s="55"/>
      <c r="U898" s="55"/>
    </row>
    <row r="899" spans="4:21" ht="13.5" customHeight="1">
      <c r="D899" s="53"/>
      <c r="E899" s="54"/>
      <c r="F899" s="54"/>
      <c r="G899" s="55"/>
      <c r="H899" s="55"/>
      <c r="I899" s="55"/>
      <c r="J899" s="55"/>
      <c r="K899" s="55"/>
      <c r="L899" s="55"/>
      <c r="M899" s="55"/>
      <c r="N899" s="55"/>
      <c r="O899" s="55"/>
      <c r="P899" s="55"/>
      <c r="Q899" s="55"/>
      <c r="R899" s="55"/>
      <c r="S899" s="55"/>
      <c r="T899" s="55"/>
      <c r="U899" s="55"/>
    </row>
    <row r="900" spans="4:21" ht="13.5" customHeight="1">
      <c r="D900" s="53"/>
      <c r="E900" s="54"/>
      <c r="F900" s="54"/>
      <c r="G900" s="55"/>
      <c r="H900" s="55"/>
      <c r="I900" s="55"/>
      <c r="J900" s="55"/>
      <c r="K900" s="55"/>
      <c r="L900" s="55"/>
      <c r="M900" s="55"/>
      <c r="N900" s="55"/>
      <c r="O900" s="55"/>
      <c r="P900" s="55"/>
      <c r="Q900" s="55"/>
      <c r="R900" s="55"/>
      <c r="S900" s="55"/>
      <c r="T900" s="55"/>
      <c r="U900" s="55"/>
    </row>
    <row r="901" spans="4:21" ht="13.5" customHeight="1">
      <c r="D901" s="53"/>
      <c r="E901" s="54"/>
      <c r="F901" s="54"/>
      <c r="G901" s="55"/>
      <c r="H901" s="55"/>
      <c r="I901" s="55"/>
      <c r="J901" s="55"/>
      <c r="K901" s="55"/>
      <c r="L901" s="55"/>
      <c r="M901" s="55"/>
      <c r="N901" s="55"/>
      <c r="O901" s="55"/>
      <c r="P901" s="55"/>
      <c r="Q901" s="55"/>
      <c r="R901" s="55"/>
      <c r="S901" s="55"/>
      <c r="T901" s="55"/>
      <c r="U901" s="55"/>
    </row>
    <row r="902" spans="4:21" ht="13.5" customHeight="1">
      <c r="D902" s="53"/>
      <c r="E902" s="54"/>
      <c r="F902" s="54"/>
      <c r="G902" s="55"/>
      <c r="H902" s="55"/>
      <c r="I902" s="55"/>
      <c r="J902" s="55"/>
      <c r="K902" s="55"/>
      <c r="L902" s="55"/>
      <c r="M902" s="55"/>
      <c r="N902" s="55"/>
      <c r="O902" s="55"/>
      <c r="P902" s="55"/>
      <c r="Q902" s="55"/>
      <c r="R902" s="55"/>
      <c r="S902" s="55"/>
      <c r="T902" s="55"/>
      <c r="U902" s="55"/>
    </row>
    <row r="903" spans="4:21" ht="13.5" customHeight="1">
      <c r="D903" s="53"/>
      <c r="E903" s="54"/>
      <c r="F903" s="54"/>
      <c r="G903" s="55"/>
      <c r="H903" s="55"/>
      <c r="I903" s="55"/>
      <c r="J903" s="55"/>
      <c r="K903" s="55"/>
      <c r="L903" s="55"/>
      <c r="M903" s="55"/>
      <c r="N903" s="55"/>
      <c r="O903" s="55"/>
      <c r="P903" s="55"/>
      <c r="Q903" s="55"/>
      <c r="R903" s="55"/>
      <c r="S903" s="55"/>
      <c r="T903" s="55"/>
      <c r="U903" s="55"/>
    </row>
    <row r="904" spans="4:21" ht="13.5" customHeight="1">
      <c r="D904" s="53"/>
      <c r="E904" s="54"/>
      <c r="F904" s="54"/>
      <c r="G904" s="55"/>
      <c r="H904" s="55"/>
      <c r="I904" s="55"/>
      <c r="J904" s="55"/>
      <c r="K904" s="55"/>
      <c r="L904" s="55"/>
      <c r="M904" s="55"/>
      <c r="N904" s="55"/>
      <c r="O904" s="55"/>
      <c r="P904" s="55"/>
      <c r="Q904" s="55"/>
      <c r="R904" s="55"/>
      <c r="S904" s="55"/>
      <c r="T904" s="55"/>
      <c r="U904" s="55"/>
    </row>
    <row r="905" spans="4:21" ht="13.5" customHeight="1">
      <c r="D905" s="53"/>
      <c r="E905" s="54"/>
      <c r="F905" s="54"/>
      <c r="G905" s="55"/>
      <c r="H905" s="55"/>
      <c r="I905" s="55"/>
      <c r="J905" s="55"/>
      <c r="K905" s="55"/>
      <c r="L905" s="55"/>
      <c r="M905" s="55"/>
      <c r="N905" s="55"/>
      <c r="O905" s="55"/>
      <c r="P905" s="55"/>
      <c r="Q905" s="55"/>
      <c r="R905" s="55"/>
      <c r="S905" s="55"/>
      <c r="T905" s="55"/>
      <c r="U905" s="55"/>
    </row>
    <row r="906" spans="4:21" ht="13.5" customHeight="1">
      <c r="D906" s="53"/>
      <c r="E906" s="54"/>
      <c r="F906" s="54"/>
      <c r="G906" s="55"/>
      <c r="H906" s="55"/>
      <c r="I906" s="55"/>
      <c r="J906" s="55"/>
      <c r="K906" s="55"/>
      <c r="L906" s="55"/>
      <c r="M906" s="55"/>
      <c r="N906" s="55"/>
      <c r="O906" s="55"/>
      <c r="P906" s="55"/>
      <c r="Q906" s="55"/>
      <c r="R906" s="55"/>
      <c r="S906" s="55"/>
      <c r="T906" s="55"/>
      <c r="U906" s="55"/>
    </row>
    <row r="907" spans="4:21" ht="13.5" customHeight="1">
      <c r="D907" s="53"/>
      <c r="E907" s="54"/>
      <c r="F907" s="54"/>
      <c r="G907" s="55"/>
      <c r="H907" s="55"/>
      <c r="I907" s="55"/>
      <c r="J907" s="55"/>
      <c r="K907" s="55"/>
      <c r="L907" s="55"/>
      <c r="M907" s="55"/>
      <c r="N907" s="55"/>
      <c r="O907" s="55"/>
      <c r="P907" s="55"/>
      <c r="Q907" s="55"/>
      <c r="R907" s="55"/>
      <c r="S907" s="55"/>
      <c r="T907" s="55"/>
      <c r="U907" s="55"/>
    </row>
    <row r="908" spans="4:21" ht="13.5" customHeight="1">
      <c r="D908" s="53"/>
      <c r="E908" s="54"/>
      <c r="F908" s="54"/>
      <c r="G908" s="55"/>
      <c r="H908" s="55"/>
      <c r="I908" s="55"/>
      <c r="J908" s="55"/>
      <c r="K908" s="55"/>
      <c r="L908" s="55"/>
      <c r="M908" s="55"/>
      <c r="N908" s="55"/>
      <c r="O908" s="55"/>
      <c r="P908" s="55"/>
      <c r="Q908" s="55"/>
      <c r="R908" s="55"/>
      <c r="S908" s="55"/>
      <c r="T908" s="55"/>
      <c r="U908" s="55"/>
    </row>
    <row r="909" spans="4:21" ht="13.5" customHeight="1">
      <c r="D909" s="53"/>
      <c r="E909" s="54"/>
      <c r="F909" s="54"/>
      <c r="G909" s="55"/>
      <c r="H909" s="55"/>
      <c r="I909" s="55"/>
      <c r="J909" s="55"/>
      <c r="K909" s="55"/>
      <c r="L909" s="55"/>
      <c r="M909" s="55"/>
      <c r="N909" s="55"/>
      <c r="O909" s="55"/>
      <c r="P909" s="55"/>
      <c r="Q909" s="55"/>
      <c r="R909" s="55"/>
      <c r="S909" s="55"/>
      <c r="T909" s="55"/>
      <c r="U909" s="55"/>
    </row>
    <row r="910" spans="4:21" ht="13.5" customHeight="1">
      <c r="D910" s="53"/>
      <c r="E910" s="54"/>
      <c r="F910" s="54"/>
      <c r="G910" s="55"/>
      <c r="H910" s="55"/>
      <c r="I910" s="55"/>
      <c r="J910" s="55"/>
      <c r="K910" s="55"/>
      <c r="L910" s="55"/>
      <c r="M910" s="55"/>
      <c r="N910" s="55"/>
      <c r="O910" s="55"/>
      <c r="P910" s="55"/>
      <c r="Q910" s="55"/>
      <c r="R910" s="55"/>
      <c r="S910" s="55"/>
      <c r="T910" s="55"/>
      <c r="U910" s="55"/>
    </row>
    <row r="911" spans="4:21" ht="13.5" customHeight="1">
      <c r="D911" s="53"/>
      <c r="E911" s="54"/>
      <c r="F911" s="54"/>
      <c r="G911" s="55"/>
      <c r="H911" s="55"/>
      <c r="I911" s="55"/>
      <c r="J911" s="55"/>
      <c r="K911" s="55"/>
      <c r="L911" s="55"/>
      <c r="M911" s="55"/>
      <c r="N911" s="55"/>
      <c r="O911" s="55"/>
      <c r="P911" s="55"/>
      <c r="Q911" s="55"/>
      <c r="R911" s="55"/>
      <c r="S911" s="55"/>
      <c r="T911" s="55"/>
      <c r="U911" s="55"/>
    </row>
    <row r="912" spans="4:21" ht="13.5" customHeight="1">
      <c r="D912" s="53"/>
      <c r="E912" s="54"/>
      <c r="F912" s="54"/>
      <c r="G912" s="55"/>
      <c r="H912" s="55"/>
      <c r="I912" s="55"/>
      <c r="J912" s="55"/>
      <c r="K912" s="55"/>
      <c r="L912" s="55"/>
      <c r="M912" s="55"/>
      <c r="N912" s="55"/>
      <c r="O912" s="55"/>
      <c r="P912" s="55"/>
      <c r="Q912" s="55"/>
      <c r="R912" s="55"/>
      <c r="S912" s="55"/>
      <c r="T912" s="55"/>
      <c r="U912" s="55"/>
    </row>
    <row r="913" spans="4:21" ht="13.5" customHeight="1">
      <c r="D913" s="53"/>
      <c r="E913" s="54"/>
      <c r="F913" s="54"/>
      <c r="G913" s="55"/>
      <c r="H913" s="55"/>
      <c r="I913" s="55"/>
      <c r="J913" s="55"/>
      <c r="K913" s="55"/>
      <c r="L913" s="55"/>
      <c r="M913" s="55"/>
      <c r="N913" s="55"/>
      <c r="O913" s="55"/>
      <c r="P913" s="55"/>
      <c r="Q913" s="55"/>
      <c r="R913" s="55"/>
      <c r="S913" s="55"/>
      <c r="T913" s="55"/>
      <c r="U913" s="55"/>
    </row>
    <row r="914" spans="4:21" ht="13.5" customHeight="1">
      <c r="D914" s="53"/>
      <c r="E914" s="54"/>
      <c r="F914" s="54"/>
      <c r="G914" s="55"/>
      <c r="H914" s="55"/>
      <c r="I914" s="55"/>
      <c r="J914" s="55"/>
      <c r="K914" s="55"/>
      <c r="L914" s="55"/>
      <c r="M914" s="55"/>
      <c r="N914" s="55"/>
      <c r="O914" s="55"/>
      <c r="P914" s="55"/>
      <c r="Q914" s="55"/>
      <c r="R914" s="55"/>
      <c r="S914" s="55"/>
      <c r="T914" s="55"/>
      <c r="U914" s="55"/>
    </row>
    <row r="915" spans="4:21" ht="13.5" customHeight="1">
      <c r="D915" s="53"/>
      <c r="E915" s="54"/>
      <c r="F915" s="54"/>
      <c r="G915" s="55"/>
      <c r="H915" s="55"/>
      <c r="I915" s="55"/>
      <c r="J915" s="55"/>
      <c r="K915" s="55"/>
      <c r="L915" s="55"/>
      <c r="M915" s="55"/>
      <c r="N915" s="55"/>
      <c r="O915" s="55"/>
      <c r="P915" s="55"/>
      <c r="Q915" s="55"/>
      <c r="R915" s="55"/>
      <c r="S915" s="55"/>
      <c r="T915" s="55"/>
      <c r="U915" s="55"/>
    </row>
    <row r="916" spans="4:21" ht="13.5" customHeight="1">
      <c r="D916" s="53"/>
      <c r="E916" s="54"/>
      <c r="F916" s="54"/>
      <c r="G916" s="55"/>
      <c r="H916" s="55"/>
      <c r="I916" s="55"/>
      <c r="J916" s="55"/>
      <c r="K916" s="55"/>
      <c r="L916" s="55"/>
      <c r="M916" s="55"/>
      <c r="N916" s="55"/>
      <c r="O916" s="55"/>
      <c r="P916" s="55"/>
      <c r="Q916" s="55"/>
      <c r="R916" s="55"/>
      <c r="S916" s="55"/>
      <c r="T916" s="55"/>
      <c r="U916" s="55"/>
    </row>
    <row r="917" spans="4:21" ht="13.5" customHeight="1">
      <c r="D917" s="53"/>
      <c r="E917" s="54"/>
      <c r="F917" s="54"/>
      <c r="G917" s="55"/>
      <c r="H917" s="55"/>
      <c r="I917" s="55"/>
      <c r="J917" s="55"/>
      <c r="K917" s="55"/>
      <c r="L917" s="55"/>
      <c r="M917" s="55"/>
      <c r="N917" s="55"/>
      <c r="O917" s="55"/>
      <c r="P917" s="55"/>
      <c r="Q917" s="55"/>
      <c r="R917" s="55"/>
      <c r="S917" s="55"/>
      <c r="T917" s="55"/>
      <c r="U917" s="55"/>
    </row>
    <row r="918" spans="4:21" ht="13.5" customHeight="1">
      <c r="D918" s="53"/>
      <c r="E918" s="54"/>
      <c r="F918" s="54"/>
      <c r="G918" s="55"/>
      <c r="H918" s="55"/>
      <c r="I918" s="55"/>
      <c r="J918" s="55"/>
      <c r="K918" s="55"/>
      <c r="L918" s="55"/>
      <c r="M918" s="55"/>
      <c r="N918" s="55"/>
      <c r="O918" s="55"/>
      <c r="P918" s="55"/>
      <c r="Q918" s="55"/>
      <c r="R918" s="55"/>
      <c r="S918" s="55"/>
      <c r="T918" s="55"/>
      <c r="U918" s="55"/>
    </row>
    <row r="919" spans="4:21" ht="13.5" customHeight="1">
      <c r="D919" s="53"/>
      <c r="E919" s="54"/>
      <c r="F919" s="54"/>
      <c r="G919" s="55"/>
      <c r="H919" s="55"/>
      <c r="I919" s="55"/>
      <c r="J919" s="55"/>
      <c r="K919" s="55"/>
      <c r="L919" s="55"/>
      <c r="M919" s="55"/>
      <c r="N919" s="55"/>
      <c r="O919" s="55"/>
      <c r="P919" s="55"/>
      <c r="Q919" s="55"/>
      <c r="R919" s="55"/>
      <c r="S919" s="55"/>
      <c r="T919" s="55"/>
      <c r="U919" s="55"/>
    </row>
    <row r="920" spans="4:21" ht="13.5" customHeight="1">
      <c r="D920" s="53"/>
      <c r="E920" s="54"/>
      <c r="F920" s="54"/>
      <c r="G920" s="55"/>
      <c r="H920" s="55"/>
      <c r="I920" s="55"/>
      <c r="J920" s="55"/>
      <c r="K920" s="55"/>
      <c r="L920" s="55"/>
      <c r="M920" s="55"/>
      <c r="N920" s="55"/>
      <c r="O920" s="55"/>
      <c r="P920" s="55"/>
      <c r="Q920" s="55"/>
      <c r="R920" s="55"/>
      <c r="S920" s="55"/>
      <c r="T920" s="55"/>
      <c r="U920" s="55"/>
    </row>
    <row r="921" spans="4:21" ht="13.5" customHeight="1">
      <c r="D921" s="53"/>
      <c r="E921" s="54"/>
      <c r="F921" s="54"/>
      <c r="G921" s="55"/>
      <c r="H921" s="55"/>
      <c r="I921" s="55"/>
      <c r="J921" s="55"/>
      <c r="K921" s="55"/>
      <c r="L921" s="55"/>
      <c r="M921" s="55"/>
      <c r="N921" s="55"/>
      <c r="O921" s="55"/>
      <c r="P921" s="55"/>
      <c r="Q921" s="55"/>
      <c r="R921" s="55"/>
      <c r="S921" s="55"/>
      <c r="T921" s="55"/>
      <c r="U921" s="55"/>
    </row>
    <row r="922" spans="4:21" ht="13.5" customHeight="1">
      <c r="D922" s="53"/>
      <c r="E922" s="54"/>
      <c r="F922" s="54"/>
      <c r="G922" s="55"/>
      <c r="H922" s="55"/>
      <c r="I922" s="55"/>
      <c r="J922" s="55"/>
      <c r="K922" s="55"/>
      <c r="L922" s="55"/>
      <c r="M922" s="55"/>
      <c r="N922" s="55"/>
      <c r="O922" s="55"/>
      <c r="P922" s="55"/>
      <c r="Q922" s="55"/>
      <c r="R922" s="55"/>
      <c r="S922" s="55"/>
      <c r="T922" s="55"/>
      <c r="U922" s="55"/>
    </row>
    <row r="923" spans="4:21" ht="13.5" customHeight="1">
      <c r="D923" s="53"/>
      <c r="E923" s="54"/>
      <c r="F923" s="54"/>
      <c r="G923" s="55"/>
      <c r="H923" s="55"/>
      <c r="I923" s="55"/>
      <c r="J923" s="55"/>
      <c r="K923" s="55"/>
      <c r="L923" s="55"/>
      <c r="M923" s="55"/>
      <c r="N923" s="55"/>
      <c r="O923" s="55"/>
      <c r="P923" s="55"/>
      <c r="Q923" s="55"/>
      <c r="R923" s="55"/>
      <c r="S923" s="55"/>
      <c r="T923" s="55"/>
      <c r="U923" s="55"/>
    </row>
    <row r="924" spans="4:21" ht="13.5" customHeight="1">
      <c r="D924" s="53"/>
      <c r="E924" s="54"/>
      <c r="F924" s="54"/>
      <c r="G924" s="55"/>
      <c r="H924" s="55"/>
      <c r="I924" s="55"/>
      <c r="J924" s="55"/>
      <c r="K924" s="55"/>
      <c r="L924" s="55"/>
      <c r="M924" s="55"/>
      <c r="N924" s="55"/>
      <c r="O924" s="55"/>
      <c r="P924" s="55"/>
      <c r="Q924" s="55"/>
      <c r="R924" s="55"/>
      <c r="S924" s="55"/>
      <c r="T924" s="55"/>
      <c r="U924" s="55"/>
    </row>
    <row r="925" spans="4:21" ht="13.5" customHeight="1">
      <c r="D925" s="53"/>
      <c r="E925" s="54"/>
      <c r="F925" s="54"/>
      <c r="G925" s="55"/>
      <c r="H925" s="55"/>
      <c r="I925" s="55"/>
      <c r="J925" s="55"/>
      <c r="K925" s="55"/>
      <c r="L925" s="55"/>
      <c r="M925" s="55"/>
      <c r="N925" s="55"/>
      <c r="O925" s="55"/>
      <c r="P925" s="55"/>
      <c r="Q925" s="55"/>
      <c r="R925" s="55"/>
      <c r="S925" s="55"/>
      <c r="T925" s="55"/>
      <c r="U925" s="55"/>
    </row>
    <row r="926" spans="4:21" ht="13.5" customHeight="1">
      <c r="D926" s="53"/>
      <c r="E926" s="54"/>
      <c r="F926" s="54"/>
      <c r="G926" s="55"/>
      <c r="H926" s="55"/>
      <c r="I926" s="55"/>
      <c r="J926" s="55"/>
      <c r="K926" s="55"/>
      <c r="L926" s="55"/>
      <c r="M926" s="55"/>
      <c r="N926" s="55"/>
      <c r="O926" s="55"/>
      <c r="P926" s="55"/>
      <c r="Q926" s="55"/>
      <c r="R926" s="55"/>
      <c r="S926" s="55"/>
      <c r="T926" s="55"/>
      <c r="U926" s="55"/>
    </row>
    <row r="927" spans="4:21" ht="13.5" customHeight="1">
      <c r="D927" s="53"/>
      <c r="E927" s="54"/>
      <c r="F927" s="54"/>
      <c r="G927" s="55"/>
      <c r="H927" s="55"/>
      <c r="I927" s="55"/>
      <c r="J927" s="55"/>
      <c r="K927" s="55"/>
      <c r="L927" s="55"/>
      <c r="M927" s="55"/>
      <c r="N927" s="55"/>
      <c r="O927" s="55"/>
      <c r="P927" s="55"/>
      <c r="Q927" s="55"/>
      <c r="R927" s="55"/>
      <c r="S927" s="55"/>
      <c r="T927" s="55"/>
      <c r="U927" s="55"/>
    </row>
    <row r="928" spans="4:21" ht="13.5" customHeight="1">
      <c r="D928" s="53"/>
      <c r="E928" s="54"/>
      <c r="F928" s="54"/>
      <c r="G928" s="55"/>
      <c r="H928" s="55"/>
      <c r="I928" s="55"/>
      <c r="J928" s="55"/>
      <c r="K928" s="55"/>
      <c r="L928" s="55"/>
      <c r="M928" s="55"/>
      <c r="N928" s="55"/>
      <c r="O928" s="55"/>
      <c r="P928" s="55"/>
      <c r="Q928" s="55"/>
      <c r="R928" s="55"/>
      <c r="S928" s="55"/>
      <c r="T928" s="55"/>
      <c r="U928" s="55"/>
    </row>
    <row r="929" spans="4:21" ht="13.5" customHeight="1">
      <c r="D929" s="53"/>
      <c r="E929" s="54"/>
      <c r="F929" s="54"/>
      <c r="G929" s="55"/>
      <c r="H929" s="55"/>
      <c r="I929" s="55"/>
      <c r="J929" s="55"/>
      <c r="K929" s="55"/>
      <c r="L929" s="55"/>
      <c r="M929" s="55"/>
      <c r="N929" s="55"/>
      <c r="O929" s="55"/>
      <c r="P929" s="55"/>
      <c r="Q929" s="55"/>
      <c r="R929" s="55"/>
      <c r="S929" s="55"/>
      <c r="T929" s="55"/>
      <c r="U929" s="55"/>
    </row>
    <row r="930" spans="4:21" ht="13.5" customHeight="1">
      <c r="D930" s="53"/>
      <c r="E930" s="54"/>
      <c r="F930" s="54"/>
      <c r="G930" s="55"/>
      <c r="H930" s="55"/>
      <c r="I930" s="55"/>
      <c r="J930" s="55"/>
      <c r="K930" s="55"/>
      <c r="L930" s="55"/>
      <c r="M930" s="55"/>
      <c r="N930" s="55"/>
      <c r="O930" s="55"/>
      <c r="P930" s="55"/>
      <c r="Q930" s="55"/>
      <c r="R930" s="55"/>
      <c r="S930" s="55"/>
      <c r="T930" s="55"/>
      <c r="U930" s="55"/>
    </row>
    <row r="931" spans="4:21" ht="13.5" customHeight="1">
      <c r="D931" s="53"/>
      <c r="E931" s="54"/>
      <c r="F931" s="54"/>
      <c r="G931" s="55"/>
      <c r="H931" s="55"/>
      <c r="I931" s="55"/>
      <c r="J931" s="55"/>
      <c r="K931" s="55"/>
      <c r="L931" s="55"/>
      <c r="M931" s="55"/>
      <c r="N931" s="55"/>
      <c r="O931" s="55"/>
      <c r="P931" s="55"/>
      <c r="Q931" s="55"/>
      <c r="R931" s="55"/>
      <c r="S931" s="55"/>
      <c r="T931" s="55"/>
      <c r="U931" s="55"/>
    </row>
    <row r="932" spans="4:21" ht="13.5" customHeight="1">
      <c r="D932" s="53"/>
      <c r="E932" s="54"/>
      <c r="F932" s="54"/>
      <c r="G932" s="55"/>
      <c r="H932" s="55"/>
      <c r="I932" s="55"/>
      <c r="J932" s="55"/>
      <c r="K932" s="55"/>
      <c r="L932" s="55"/>
      <c r="M932" s="55"/>
      <c r="N932" s="55"/>
      <c r="O932" s="55"/>
      <c r="P932" s="55"/>
      <c r="Q932" s="55"/>
      <c r="R932" s="55"/>
      <c r="S932" s="55"/>
      <c r="T932" s="55"/>
      <c r="U932" s="55"/>
    </row>
    <row r="933" spans="4:21" ht="13.5" customHeight="1">
      <c r="D933" s="53"/>
      <c r="E933" s="54"/>
      <c r="F933" s="54"/>
      <c r="G933" s="55"/>
      <c r="H933" s="55"/>
      <c r="I933" s="55"/>
      <c r="J933" s="55"/>
      <c r="K933" s="55"/>
      <c r="L933" s="55"/>
      <c r="M933" s="55"/>
      <c r="N933" s="55"/>
      <c r="O933" s="55"/>
      <c r="P933" s="55"/>
      <c r="Q933" s="55"/>
      <c r="R933" s="55"/>
      <c r="S933" s="55"/>
      <c r="T933" s="55"/>
      <c r="U933" s="55"/>
    </row>
    <row r="934" spans="4:21" ht="13.5" customHeight="1">
      <c r="D934" s="53"/>
      <c r="E934" s="54"/>
      <c r="F934" s="54"/>
      <c r="G934" s="55"/>
      <c r="H934" s="55"/>
      <c r="I934" s="55"/>
      <c r="J934" s="55"/>
      <c r="K934" s="55"/>
      <c r="L934" s="55"/>
      <c r="M934" s="55"/>
      <c r="N934" s="55"/>
      <c r="O934" s="55"/>
      <c r="P934" s="55"/>
      <c r="Q934" s="55"/>
      <c r="R934" s="55"/>
      <c r="S934" s="55"/>
      <c r="T934" s="55"/>
      <c r="U934" s="55"/>
    </row>
    <row r="935" spans="4:21" ht="13.5" customHeight="1">
      <c r="D935" s="53"/>
      <c r="E935" s="54"/>
      <c r="F935" s="54"/>
      <c r="G935" s="55"/>
      <c r="H935" s="55"/>
      <c r="I935" s="55"/>
      <c r="J935" s="55"/>
      <c r="K935" s="55"/>
      <c r="L935" s="55"/>
      <c r="M935" s="55"/>
      <c r="N935" s="55"/>
      <c r="O935" s="55"/>
      <c r="P935" s="55"/>
      <c r="Q935" s="55"/>
      <c r="R935" s="55"/>
      <c r="S935" s="55"/>
      <c r="T935" s="55"/>
      <c r="U935" s="55"/>
    </row>
    <row r="936" spans="4:21" ht="13.5" customHeight="1">
      <c r="D936" s="53"/>
      <c r="E936" s="54"/>
      <c r="F936" s="54"/>
      <c r="G936" s="55"/>
      <c r="H936" s="55"/>
      <c r="I936" s="55"/>
      <c r="J936" s="55"/>
      <c r="K936" s="55"/>
      <c r="L936" s="55"/>
      <c r="M936" s="55"/>
      <c r="N936" s="55"/>
      <c r="O936" s="55"/>
      <c r="P936" s="55"/>
      <c r="Q936" s="55"/>
      <c r="R936" s="55"/>
      <c r="S936" s="55"/>
      <c r="T936" s="55"/>
      <c r="U936" s="55"/>
    </row>
    <row r="937" spans="4:21" ht="13.5" customHeight="1">
      <c r="D937" s="53"/>
      <c r="E937" s="54"/>
      <c r="F937" s="54"/>
      <c r="G937" s="55"/>
      <c r="H937" s="55"/>
      <c r="I937" s="55"/>
      <c r="J937" s="55"/>
      <c r="K937" s="55"/>
      <c r="L937" s="55"/>
      <c r="M937" s="55"/>
      <c r="N937" s="55"/>
      <c r="O937" s="55"/>
      <c r="P937" s="55"/>
      <c r="Q937" s="55"/>
      <c r="R937" s="55"/>
      <c r="S937" s="55"/>
      <c r="T937" s="55"/>
      <c r="U937" s="55"/>
    </row>
    <row r="938" spans="4:21" ht="13.5" customHeight="1">
      <c r="D938" s="53"/>
      <c r="E938" s="54"/>
      <c r="F938" s="54"/>
      <c r="G938" s="55"/>
      <c r="H938" s="55"/>
      <c r="I938" s="55"/>
      <c r="J938" s="55"/>
      <c r="K938" s="55"/>
      <c r="L938" s="55"/>
      <c r="M938" s="55"/>
      <c r="N938" s="55"/>
      <c r="O938" s="55"/>
      <c r="P938" s="55"/>
      <c r="Q938" s="55"/>
      <c r="R938" s="55"/>
      <c r="S938" s="55"/>
      <c r="T938" s="55"/>
      <c r="U938" s="55"/>
    </row>
    <row r="939" spans="4:21" ht="13.5" customHeight="1">
      <c r="D939" s="53"/>
      <c r="E939" s="54"/>
      <c r="F939" s="54"/>
      <c r="G939" s="55"/>
      <c r="H939" s="55"/>
      <c r="I939" s="55"/>
      <c r="J939" s="55"/>
      <c r="K939" s="55"/>
      <c r="L939" s="55"/>
      <c r="M939" s="55"/>
      <c r="N939" s="55"/>
      <c r="O939" s="55"/>
      <c r="P939" s="55"/>
      <c r="Q939" s="55"/>
      <c r="R939" s="55"/>
      <c r="S939" s="55"/>
      <c r="T939" s="55"/>
      <c r="U939" s="55"/>
    </row>
    <row r="940" spans="4:21" ht="13.5" customHeight="1">
      <c r="D940" s="53"/>
      <c r="E940" s="54"/>
      <c r="F940" s="54"/>
      <c r="G940" s="55"/>
      <c r="H940" s="55"/>
      <c r="I940" s="55"/>
      <c r="J940" s="55"/>
      <c r="K940" s="55"/>
      <c r="L940" s="55"/>
      <c r="M940" s="55"/>
      <c r="N940" s="55"/>
      <c r="O940" s="55"/>
      <c r="P940" s="55"/>
      <c r="Q940" s="55"/>
      <c r="R940" s="55"/>
      <c r="S940" s="55"/>
      <c r="T940" s="55"/>
      <c r="U940" s="55"/>
    </row>
    <row r="941" spans="4:21" ht="13.5" customHeight="1">
      <c r="D941" s="53"/>
      <c r="E941" s="54"/>
      <c r="F941" s="54"/>
      <c r="G941" s="55"/>
      <c r="H941" s="55"/>
      <c r="I941" s="55"/>
      <c r="J941" s="55"/>
      <c r="K941" s="55"/>
      <c r="L941" s="55"/>
      <c r="M941" s="55"/>
      <c r="N941" s="55"/>
      <c r="O941" s="55"/>
      <c r="P941" s="55"/>
      <c r="Q941" s="55"/>
      <c r="R941" s="55"/>
      <c r="S941" s="55"/>
      <c r="T941" s="55"/>
      <c r="U941" s="55"/>
    </row>
    <row r="942" spans="4:21" ht="13.5" customHeight="1">
      <c r="D942" s="53"/>
      <c r="E942" s="54"/>
      <c r="F942" s="54"/>
      <c r="G942" s="55"/>
      <c r="H942" s="55"/>
      <c r="I942" s="55"/>
      <c r="J942" s="55"/>
      <c r="K942" s="55"/>
      <c r="L942" s="55"/>
      <c r="M942" s="55"/>
      <c r="N942" s="55"/>
      <c r="O942" s="55"/>
      <c r="P942" s="55"/>
      <c r="Q942" s="55"/>
      <c r="R942" s="55"/>
      <c r="S942" s="55"/>
      <c r="T942" s="55"/>
      <c r="U942" s="55"/>
    </row>
    <row r="943" spans="4:21" ht="13.5" customHeight="1">
      <c r="D943" s="53"/>
      <c r="E943" s="54"/>
      <c r="F943" s="54"/>
      <c r="G943" s="55"/>
      <c r="H943" s="55"/>
      <c r="I943" s="55"/>
      <c r="J943" s="55"/>
      <c r="K943" s="55"/>
      <c r="L943" s="55"/>
      <c r="M943" s="55"/>
      <c r="N943" s="55"/>
      <c r="O943" s="55"/>
      <c r="P943" s="55"/>
      <c r="Q943" s="55"/>
      <c r="R943" s="55"/>
      <c r="S943" s="55"/>
      <c r="T943" s="55"/>
      <c r="U943" s="55"/>
    </row>
    <row r="944" spans="4:21" ht="13.5" customHeight="1">
      <c r="D944" s="53"/>
      <c r="E944" s="54"/>
      <c r="F944" s="54"/>
      <c r="G944" s="55"/>
      <c r="H944" s="55"/>
      <c r="I944" s="55"/>
      <c r="J944" s="55"/>
      <c r="K944" s="55"/>
      <c r="L944" s="55"/>
      <c r="M944" s="55"/>
      <c r="N944" s="55"/>
      <c r="O944" s="55"/>
      <c r="P944" s="55"/>
      <c r="Q944" s="55"/>
      <c r="R944" s="55"/>
      <c r="S944" s="55"/>
      <c r="T944" s="55"/>
      <c r="U944" s="55"/>
    </row>
    <row r="945" spans="4:21" ht="13.5" customHeight="1">
      <c r="D945" s="53"/>
      <c r="E945" s="54"/>
      <c r="F945" s="54"/>
      <c r="G945" s="55"/>
      <c r="H945" s="55"/>
      <c r="I945" s="55"/>
      <c r="J945" s="55"/>
      <c r="K945" s="55"/>
      <c r="L945" s="55"/>
      <c r="M945" s="55"/>
      <c r="N945" s="55"/>
      <c r="O945" s="55"/>
      <c r="P945" s="55"/>
      <c r="Q945" s="55"/>
      <c r="R945" s="55"/>
      <c r="S945" s="55"/>
      <c r="T945" s="55"/>
      <c r="U945" s="55"/>
    </row>
    <row r="946" spans="4:21" ht="13.5" customHeight="1">
      <c r="D946" s="53"/>
      <c r="E946" s="54"/>
      <c r="F946" s="54"/>
      <c r="G946" s="55"/>
      <c r="H946" s="55"/>
      <c r="I946" s="55"/>
      <c r="J946" s="55"/>
      <c r="K946" s="55"/>
      <c r="L946" s="55"/>
      <c r="M946" s="55"/>
      <c r="N946" s="55"/>
      <c r="O946" s="55"/>
      <c r="P946" s="55"/>
      <c r="Q946" s="55"/>
      <c r="R946" s="55"/>
      <c r="S946" s="55"/>
      <c r="T946" s="55"/>
      <c r="U946" s="55"/>
    </row>
    <row r="947" spans="4:21" ht="13.5" customHeight="1">
      <c r="D947" s="53"/>
      <c r="E947" s="54"/>
      <c r="F947" s="54"/>
      <c r="G947" s="55"/>
      <c r="H947" s="55"/>
      <c r="I947" s="55"/>
      <c r="J947" s="55"/>
      <c r="K947" s="55"/>
      <c r="L947" s="55"/>
      <c r="M947" s="55"/>
      <c r="N947" s="55"/>
      <c r="O947" s="55"/>
      <c r="P947" s="55"/>
      <c r="Q947" s="55"/>
      <c r="R947" s="55"/>
      <c r="S947" s="55"/>
      <c r="T947" s="55"/>
      <c r="U947" s="55"/>
    </row>
    <row r="948" spans="4:21" ht="13.5" customHeight="1">
      <c r="D948" s="53"/>
      <c r="E948" s="54"/>
      <c r="F948" s="54"/>
      <c r="G948" s="55"/>
      <c r="H948" s="55"/>
      <c r="I948" s="55"/>
      <c r="J948" s="55"/>
      <c r="K948" s="55"/>
      <c r="L948" s="55"/>
      <c r="M948" s="55"/>
      <c r="N948" s="55"/>
      <c r="O948" s="55"/>
      <c r="P948" s="55"/>
      <c r="Q948" s="55"/>
      <c r="R948" s="55"/>
      <c r="S948" s="55"/>
      <c r="T948" s="55"/>
      <c r="U948" s="55"/>
    </row>
    <row r="949" spans="4:21" ht="13.5" customHeight="1">
      <c r="D949" s="53"/>
      <c r="E949" s="54"/>
      <c r="F949" s="54"/>
      <c r="G949" s="55"/>
      <c r="H949" s="55"/>
      <c r="I949" s="55"/>
      <c r="J949" s="55"/>
      <c r="K949" s="55"/>
      <c r="L949" s="55"/>
      <c r="M949" s="55"/>
      <c r="N949" s="55"/>
      <c r="O949" s="55"/>
      <c r="P949" s="55"/>
      <c r="Q949" s="55"/>
      <c r="R949" s="55"/>
      <c r="S949" s="55"/>
      <c r="T949" s="55"/>
      <c r="U949" s="55"/>
    </row>
    <row r="950" spans="4:21" ht="13.5" customHeight="1">
      <c r="D950" s="53"/>
      <c r="E950" s="54"/>
      <c r="F950" s="54"/>
      <c r="G950" s="55"/>
      <c r="H950" s="55"/>
      <c r="I950" s="55"/>
      <c r="J950" s="55"/>
      <c r="K950" s="55"/>
      <c r="L950" s="55"/>
      <c r="M950" s="55"/>
      <c r="N950" s="55"/>
      <c r="O950" s="55"/>
      <c r="P950" s="55"/>
      <c r="Q950" s="55"/>
      <c r="R950" s="55"/>
      <c r="S950" s="55"/>
      <c r="T950" s="55"/>
      <c r="U950" s="55"/>
    </row>
    <row r="951" spans="4:21" ht="13.5" customHeight="1">
      <c r="D951" s="53"/>
      <c r="E951" s="54"/>
      <c r="F951" s="54"/>
      <c r="G951" s="55"/>
      <c r="H951" s="55"/>
      <c r="I951" s="55"/>
      <c r="J951" s="55"/>
      <c r="K951" s="55"/>
      <c r="L951" s="55"/>
      <c r="M951" s="55"/>
      <c r="N951" s="55"/>
      <c r="O951" s="55"/>
      <c r="P951" s="55"/>
      <c r="Q951" s="55"/>
      <c r="R951" s="55"/>
      <c r="S951" s="55"/>
      <c r="T951" s="55"/>
      <c r="U951" s="55"/>
    </row>
    <row r="952" spans="4:21" ht="13.5" customHeight="1">
      <c r="D952" s="53"/>
      <c r="E952" s="54"/>
      <c r="F952" s="54"/>
      <c r="G952" s="55"/>
      <c r="H952" s="55"/>
      <c r="I952" s="55"/>
      <c r="J952" s="55"/>
      <c r="K952" s="55"/>
      <c r="L952" s="55"/>
      <c r="M952" s="55"/>
      <c r="N952" s="55"/>
      <c r="O952" s="55"/>
      <c r="P952" s="55"/>
      <c r="Q952" s="55"/>
      <c r="R952" s="55"/>
      <c r="S952" s="55"/>
      <c r="T952" s="55"/>
      <c r="U952" s="55"/>
    </row>
    <row r="953" spans="4:21" ht="13.5" customHeight="1">
      <c r="D953" s="53"/>
      <c r="E953" s="54"/>
      <c r="F953" s="54"/>
      <c r="G953" s="55"/>
      <c r="H953" s="55"/>
      <c r="I953" s="55"/>
      <c r="J953" s="55"/>
      <c r="K953" s="55"/>
      <c r="L953" s="55"/>
      <c r="M953" s="55"/>
      <c r="N953" s="55"/>
      <c r="O953" s="55"/>
      <c r="P953" s="55"/>
      <c r="Q953" s="55"/>
      <c r="R953" s="55"/>
      <c r="S953" s="55"/>
      <c r="T953" s="55"/>
      <c r="U953" s="55"/>
    </row>
    <row r="954" spans="4:21" ht="13.5" customHeight="1">
      <c r="D954" s="53"/>
      <c r="E954" s="54"/>
      <c r="F954" s="54"/>
      <c r="G954" s="55"/>
      <c r="H954" s="55"/>
      <c r="I954" s="55"/>
      <c r="J954" s="55"/>
      <c r="K954" s="55"/>
      <c r="L954" s="55"/>
      <c r="M954" s="55"/>
      <c r="N954" s="55"/>
      <c r="O954" s="55"/>
      <c r="P954" s="55"/>
      <c r="Q954" s="55"/>
      <c r="R954" s="55"/>
      <c r="S954" s="55"/>
      <c r="T954" s="55"/>
      <c r="U954" s="55"/>
    </row>
    <row r="955" spans="4:21" ht="13.5" customHeight="1">
      <c r="D955" s="53"/>
      <c r="E955" s="54"/>
      <c r="F955" s="54"/>
      <c r="G955" s="55"/>
      <c r="H955" s="55"/>
      <c r="I955" s="55"/>
      <c r="J955" s="55"/>
      <c r="K955" s="55"/>
      <c r="L955" s="55"/>
      <c r="M955" s="55"/>
      <c r="N955" s="55"/>
      <c r="O955" s="55"/>
      <c r="P955" s="55"/>
      <c r="Q955" s="55"/>
      <c r="R955" s="55"/>
      <c r="S955" s="55"/>
      <c r="T955" s="55"/>
      <c r="U955" s="55"/>
    </row>
    <row r="956" spans="4:21" ht="13.5" customHeight="1">
      <c r="D956" s="53"/>
      <c r="E956" s="54"/>
      <c r="F956" s="54"/>
      <c r="G956" s="55"/>
      <c r="H956" s="55"/>
      <c r="I956" s="55"/>
      <c r="J956" s="55"/>
      <c r="K956" s="55"/>
      <c r="L956" s="55"/>
      <c r="M956" s="55"/>
      <c r="N956" s="55"/>
      <c r="O956" s="55"/>
      <c r="P956" s="55"/>
      <c r="Q956" s="55"/>
      <c r="R956" s="55"/>
      <c r="S956" s="55"/>
      <c r="T956" s="55"/>
      <c r="U956" s="55"/>
    </row>
    <row r="957" spans="4:21" ht="13.5" customHeight="1">
      <c r="D957" s="53"/>
      <c r="E957" s="54"/>
      <c r="F957" s="54"/>
      <c r="G957" s="55"/>
      <c r="H957" s="55"/>
      <c r="I957" s="55"/>
      <c r="J957" s="55"/>
      <c r="K957" s="55"/>
      <c r="L957" s="55"/>
      <c r="M957" s="55"/>
      <c r="N957" s="55"/>
      <c r="O957" s="55"/>
      <c r="P957" s="55"/>
      <c r="Q957" s="55"/>
      <c r="R957" s="55"/>
      <c r="S957" s="55"/>
      <c r="T957" s="55"/>
      <c r="U957" s="55"/>
    </row>
    <row r="958" spans="4:21" ht="13.5" customHeight="1">
      <c r="D958" s="53"/>
      <c r="E958" s="54"/>
      <c r="F958" s="54"/>
      <c r="G958" s="55"/>
      <c r="H958" s="55"/>
      <c r="I958" s="55"/>
      <c r="J958" s="55"/>
      <c r="K958" s="55"/>
      <c r="L958" s="55"/>
      <c r="M958" s="55"/>
      <c r="N958" s="55"/>
      <c r="O958" s="55"/>
      <c r="P958" s="55"/>
      <c r="Q958" s="55"/>
      <c r="R958" s="55"/>
      <c r="S958" s="55"/>
      <c r="T958" s="55"/>
      <c r="U958" s="55"/>
    </row>
    <row r="959" spans="4:21" ht="13.5" customHeight="1">
      <c r="D959" s="53"/>
      <c r="E959" s="54"/>
      <c r="F959" s="54"/>
      <c r="G959" s="55"/>
      <c r="H959" s="55"/>
      <c r="I959" s="55"/>
      <c r="J959" s="55"/>
      <c r="K959" s="55"/>
      <c r="L959" s="55"/>
      <c r="M959" s="55"/>
      <c r="N959" s="55"/>
      <c r="O959" s="55"/>
      <c r="P959" s="55"/>
      <c r="Q959" s="55"/>
      <c r="R959" s="55"/>
      <c r="S959" s="55"/>
      <c r="T959" s="55"/>
      <c r="U959" s="55"/>
    </row>
    <row r="960" spans="4:21" ht="13.5" customHeight="1">
      <c r="D960" s="53"/>
      <c r="E960" s="54"/>
      <c r="F960" s="54"/>
      <c r="G960" s="55"/>
      <c r="H960" s="55"/>
      <c r="I960" s="55"/>
      <c r="J960" s="55"/>
      <c r="K960" s="55"/>
      <c r="L960" s="55"/>
      <c r="M960" s="55"/>
      <c r="N960" s="55"/>
      <c r="O960" s="55"/>
      <c r="P960" s="55"/>
      <c r="Q960" s="55"/>
      <c r="R960" s="55"/>
      <c r="S960" s="55"/>
      <c r="T960" s="55"/>
      <c r="U960" s="55"/>
    </row>
    <row r="961" spans="4:21" ht="13.5" customHeight="1">
      <c r="D961" s="53"/>
      <c r="E961" s="54"/>
      <c r="F961" s="54"/>
      <c r="G961" s="55"/>
      <c r="H961" s="55"/>
      <c r="I961" s="55"/>
      <c r="J961" s="55"/>
      <c r="K961" s="55"/>
      <c r="L961" s="55"/>
      <c r="M961" s="55"/>
      <c r="N961" s="55"/>
      <c r="O961" s="55"/>
      <c r="P961" s="55"/>
      <c r="Q961" s="55"/>
      <c r="R961" s="55"/>
      <c r="S961" s="55"/>
      <c r="T961" s="55"/>
      <c r="U961" s="55"/>
    </row>
    <row r="962" spans="4:21" ht="13.5" customHeight="1">
      <c r="D962" s="53"/>
      <c r="E962" s="54"/>
      <c r="F962" s="54"/>
      <c r="G962" s="55"/>
      <c r="H962" s="55"/>
      <c r="I962" s="55"/>
      <c r="J962" s="55"/>
      <c r="K962" s="55"/>
      <c r="L962" s="55"/>
      <c r="M962" s="55"/>
      <c r="N962" s="55"/>
      <c r="O962" s="55"/>
      <c r="P962" s="55"/>
      <c r="Q962" s="55"/>
      <c r="R962" s="55"/>
      <c r="S962" s="55"/>
      <c r="T962" s="55"/>
      <c r="U962" s="55"/>
    </row>
    <row r="963" spans="4:21" ht="13.5" customHeight="1">
      <c r="D963" s="53"/>
      <c r="E963" s="54"/>
      <c r="F963" s="54"/>
      <c r="G963" s="55"/>
      <c r="H963" s="55"/>
      <c r="I963" s="55"/>
      <c r="J963" s="55"/>
      <c r="K963" s="55"/>
      <c r="L963" s="55"/>
      <c r="M963" s="55"/>
      <c r="N963" s="55"/>
      <c r="O963" s="55"/>
      <c r="P963" s="55"/>
      <c r="Q963" s="55"/>
      <c r="R963" s="55"/>
      <c r="S963" s="55"/>
      <c r="T963" s="55"/>
      <c r="U963" s="55"/>
    </row>
    <row r="964" spans="4:21" ht="13.5" customHeight="1">
      <c r="D964" s="53"/>
      <c r="E964" s="54"/>
      <c r="F964" s="54"/>
      <c r="G964" s="55"/>
      <c r="H964" s="55"/>
      <c r="I964" s="55"/>
      <c r="J964" s="55"/>
      <c r="K964" s="55"/>
      <c r="L964" s="55"/>
      <c r="M964" s="55"/>
      <c r="N964" s="55"/>
      <c r="O964" s="55"/>
      <c r="P964" s="55"/>
      <c r="Q964" s="55"/>
      <c r="R964" s="55"/>
      <c r="S964" s="55"/>
      <c r="T964" s="55"/>
      <c r="U964" s="55"/>
    </row>
    <row r="965" spans="4:21" ht="13.5" customHeight="1">
      <c r="D965" s="53"/>
      <c r="E965" s="54"/>
      <c r="F965" s="54"/>
      <c r="G965" s="55"/>
      <c r="H965" s="55"/>
      <c r="I965" s="55"/>
      <c r="J965" s="55"/>
      <c r="K965" s="55"/>
      <c r="L965" s="55"/>
      <c r="M965" s="55"/>
      <c r="N965" s="55"/>
      <c r="O965" s="55"/>
      <c r="P965" s="55"/>
      <c r="Q965" s="55"/>
      <c r="R965" s="55"/>
      <c r="S965" s="55"/>
      <c r="T965" s="55"/>
      <c r="U965" s="55"/>
    </row>
    <row r="966" spans="4:21" ht="13.5" customHeight="1">
      <c r="D966" s="53"/>
      <c r="E966" s="54"/>
      <c r="F966" s="54"/>
      <c r="G966" s="55"/>
      <c r="H966" s="55"/>
      <c r="I966" s="55"/>
      <c r="J966" s="55"/>
      <c r="K966" s="55"/>
      <c r="L966" s="55"/>
      <c r="M966" s="55"/>
      <c r="N966" s="55"/>
      <c r="O966" s="55"/>
      <c r="P966" s="55"/>
      <c r="Q966" s="55"/>
      <c r="R966" s="55"/>
      <c r="S966" s="55"/>
      <c r="T966" s="55"/>
      <c r="U966" s="55"/>
    </row>
    <row r="967" spans="4:21" ht="13.5" customHeight="1">
      <c r="D967" s="53"/>
      <c r="E967" s="54"/>
      <c r="F967" s="54"/>
      <c r="G967" s="55"/>
      <c r="H967" s="55"/>
      <c r="I967" s="55"/>
      <c r="J967" s="55"/>
      <c r="K967" s="55"/>
      <c r="L967" s="55"/>
      <c r="M967" s="55"/>
      <c r="N967" s="55"/>
      <c r="O967" s="55"/>
      <c r="P967" s="55"/>
      <c r="Q967" s="55"/>
      <c r="R967" s="55"/>
      <c r="S967" s="55"/>
      <c r="T967" s="55"/>
      <c r="U967" s="55"/>
    </row>
    <row r="968" spans="4:21" ht="13.5" customHeight="1">
      <c r="D968" s="53"/>
      <c r="E968" s="54"/>
      <c r="F968" s="54"/>
      <c r="G968" s="55"/>
      <c r="H968" s="55"/>
      <c r="I968" s="55"/>
      <c r="J968" s="55"/>
      <c r="K968" s="55"/>
      <c r="L968" s="55"/>
      <c r="M968" s="55"/>
      <c r="N968" s="55"/>
      <c r="O968" s="55"/>
      <c r="P968" s="55"/>
      <c r="Q968" s="55"/>
      <c r="R968" s="55"/>
      <c r="S968" s="55"/>
      <c r="T968" s="55"/>
      <c r="U968" s="55"/>
    </row>
    <row r="969" spans="4:21" ht="13.5" customHeight="1">
      <c r="D969" s="53"/>
      <c r="E969" s="54"/>
      <c r="F969" s="54"/>
      <c r="G969" s="55"/>
      <c r="H969" s="55"/>
      <c r="I969" s="55"/>
      <c r="J969" s="55"/>
      <c r="K969" s="55"/>
      <c r="L969" s="55"/>
      <c r="M969" s="55"/>
      <c r="N969" s="55"/>
      <c r="O969" s="55"/>
      <c r="P969" s="55"/>
      <c r="Q969" s="55"/>
      <c r="R969" s="55"/>
      <c r="S969" s="55"/>
      <c r="T969" s="55"/>
      <c r="U969" s="55"/>
    </row>
    <row r="970" spans="4:21" ht="13.5" customHeight="1">
      <c r="D970" s="53"/>
      <c r="E970" s="54"/>
      <c r="F970" s="54"/>
      <c r="G970" s="55"/>
      <c r="H970" s="55"/>
      <c r="I970" s="55"/>
      <c r="J970" s="55"/>
      <c r="K970" s="55"/>
      <c r="L970" s="55"/>
      <c r="M970" s="55"/>
      <c r="N970" s="55"/>
      <c r="O970" s="55"/>
      <c r="P970" s="55"/>
      <c r="Q970" s="55"/>
      <c r="R970" s="55"/>
      <c r="S970" s="55"/>
      <c r="T970" s="55"/>
      <c r="U970" s="55"/>
    </row>
    <row r="971" spans="4:21" ht="13.5" customHeight="1">
      <c r="D971" s="53"/>
      <c r="E971" s="54"/>
      <c r="F971" s="54"/>
      <c r="G971" s="55"/>
      <c r="H971" s="55"/>
      <c r="I971" s="55"/>
      <c r="J971" s="55"/>
      <c r="K971" s="55"/>
      <c r="L971" s="55"/>
      <c r="M971" s="55"/>
      <c r="N971" s="55"/>
      <c r="O971" s="55"/>
      <c r="P971" s="55"/>
      <c r="Q971" s="55"/>
      <c r="R971" s="55"/>
      <c r="S971" s="55"/>
      <c r="T971" s="55"/>
      <c r="U971" s="55"/>
    </row>
    <row r="972" spans="4:21" ht="13.5" customHeight="1">
      <c r="D972" s="53"/>
      <c r="E972" s="54"/>
      <c r="F972" s="54"/>
      <c r="G972" s="55"/>
      <c r="H972" s="55"/>
      <c r="I972" s="55"/>
      <c r="J972" s="55"/>
      <c r="K972" s="55"/>
      <c r="L972" s="55"/>
      <c r="M972" s="55"/>
      <c r="N972" s="55"/>
      <c r="O972" s="55"/>
      <c r="P972" s="55"/>
      <c r="Q972" s="55"/>
      <c r="R972" s="55"/>
      <c r="S972" s="55"/>
      <c r="T972" s="55"/>
      <c r="U972" s="55"/>
    </row>
    <row r="973" spans="4:21" ht="13.5" customHeight="1">
      <c r="D973" s="53"/>
      <c r="E973" s="54"/>
      <c r="F973" s="54"/>
      <c r="G973" s="55"/>
      <c r="H973" s="55"/>
      <c r="I973" s="55"/>
      <c r="J973" s="55"/>
      <c r="K973" s="55"/>
      <c r="L973" s="55"/>
      <c r="M973" s="55"/>
      <c r="N973" s="55"/>
      <c r="O973" s="55"/>
      <c r="P973" s="55"/>
      <c r="Q973" s="55"/>
      <c r="R973" s="55"/>
      <c r="S973" s="55"/>
      <c r="T973" s="55"/>
      <c r="U973" s="55"/>
    </row>
    <row r="974" spans="4:21" ht="13.5" customHeight="1">
      <c r="D974" s="53"/>
      <c r="E974" s="54"/>
      <c r="F974" s="54"/>
      <c r="G974" s="55"/>
      <c r="H974" s="55"/>
      <c r="I974" s="55"/>
      <c r="J974" s="55"/>
      <c r="K974" s="55"/>
      <c r="L974" s="55"/>
      <c r="M974" s="55"/>
      <c r="N974" s="55"/>
      <c r="O974" s="55"/>
      <c r="P974" s="55"/>
      <c r="Q974" s="55"/>
      <c r="R974" s="55"/>
      <c r="S974" s="55"/>
      <c r="T974" s="55"/>
      <c r="U974" s="55"/>
    </row>
    <row r="975" spans="4:21" ht="13.5" customHeight="1">
      <c r="D975" s="53"/>
      <c r="E975" s="54"/>
      <c r="F975" s="54"/>
      <c r="G975" s="55"/>
      <c r="H975" s="55"/>
      <c r="I975" s="55"/>
      <c r="J975" s="55"/>
      <c r="K975" s="55"/>
      <c r="L975" s="55"/>
      <c r="M975" s="55"/>
      <c r="N975" s="55"/>
      <c r="O975" s="55"/>
      <c r="P975" s="55"/>
      <c r="Q975" s="55"/>
      <c r="R975" s="55"/>
      <c r="S975" s="55"/>
      <c r="T975" s="55"/>
      <c r="U975" s="55"/>
    </row>
    <row r="976" spans="4:21" ht="13.5" customHeight="1">
      <c r="D976" s="53"/>
      <c r="E976" s="54"/>
      <c r="F976" s="54"/>
      <c r="G976" s="55"/>
      <c r="H976" s="55"/>
      <c r="I976" s="55"/>
      <c r="J976" s="55"/>
      <c r="K976" s="55"/>
      <c r="L976" s="55"/>
      <c r="M976" s="55"/>
      <c r="N976" s="55"/>
      <c r="O976" s="55"/>
      <c r="P976" s="55"/>
      <c r="Q976" s="55"/>
      <c r="R976" s="55"/>
      <c r="S976" s="55"/>
      <c r="T976" s="55"/>
      <c r="U976" s="55"/>
    </row>
    <row r="977" spans="4:21" ht="13.5" customHeight="1">
      <c r="D977" s="53"/>
      <c r="E977" s="54"/>
      <c r="F977" s="54"/>
      <c r="G977" s="55"/>
      <c r="H977" s="55"/>
      <c r="I977" s="55"/>
      <c r="J977" s="55"/>
      <c r="K977" s="55"/>
      <c r="L977" s="55"/>
      <c r="M977" s="55"/>
      <c r="N977" s="55"/>
      <c r="O977" s="55"/>
      <c r="P977" s="55"/>
      <c r="Q977" s="55"/>
      <c r="R977" s="55"/>
      <c r="S977" s="55"/>
      <c r="T977" s="55"/>
      <c r="U977" s="55"/>
    </row>
    <row r="978" spans="4:21" ht="13.5" customHeight="1">
      <c r="D978" s="53"/>
      <c r="E978" s="54"/>
      <c r="F978" s="54"/>
      <c r="G978" s="55"/>
      <c r="H978" s="55"/>
      <c r="I978" s="55"/>
      <c r="J978" s="55"/>
      <c r="K978" s="55"/>
      <c r="L978" s="55"/>
      <c r="M978" s="55"/>
      <c r="N978" s="55"/>
      <c r="O978" s="55"/>
      <c r="P978" s="55"/>
      <c r="Q978" s="55"/>
      <c r="R978" s="55"/>
      <c r="S978" s="55"/>
      <c r="T978" s="55"/>
      <c r="U978" s="55"/>
    </row>
    <row r="979" spans="4:21" ht="13.5" customHeight="1">
      <c r="D979" s="53"/>
      <c r="E979" s="54"/>
      <c r="F979" s="54"/>
      <c r="G979" s="55"/>
      <c r="H979" s="55"/>
      <c r="I979" s="55"/>
      <c r="J979" s="55"/>
      <c r="K979" s="55"/>
      <c r="L979" s="55"/>
      <c r="M979" s="55"/>
      <c r="N979" s="55"/>
      <c r="O979" s="55"/>
      <c r="P979" s="55"/>
      <c r="Q979" s="55"/>
      <c r="R979" s="55"/>
      <c r="S979" s="55"/>
      <c r="T979" s="55"/>
      <c r="U979" s="55"/>
    </row>
    <row r="980" spans="4:21" ht="13.5" customHeight="1">
      <c r="D980" s="53"/>
      <c r="E980" s="54"/>
      <c r="F980" s="54"/>
      <c r="G980" s="55"/>
      <c r="H980" s="55"/>
      <c r="I980" s="55"/>
      <c r="J980" s="55"/>
      <c r="K980" s="55"/>
      <c r="L980" s="55"/>
      <c r="M980" s="55"/>
      <c r="N980" s="55"/>
      <c r="O980" s="55"/>
      <c r="P980" s="55"/>
      <c r="Q980" s="55"/>
      <c r="R980" s="55"/>
      <c r="S980" s="55"/>
      <c r="T980" s="55"/>
      <c r="U980" s="55"/>
    </row>
    <row r="981" spans="4:21" ht="13.5" customHeight="1">
      <c r="D981" s="53"/>
      <c r="E981" s="54"/>
      <c r="F981" s="54"/>
      <c r="G981" s="55"/>
      <c r="H981" s="55"/>
      <c r="I981" s="55"/>
      <c r="J981" s="55"/>
      <c r="K981" s="55"/>
      <c r="L981" s="55"/>
      <c r="M981" s="55"/>
      <c r="N981" s="55"/>
      <c r="O981" s="55"/>
      <c r="P981" s="55"/>
      <c r="Q981" s="55"/>
      <c r="R981" s="55"/>
      <c r="S981" s="55"/>
      <c r="T981" s="55"/>
      <c r="U981" s="55"/>
    </row>
    <row r="982" spans="4:21" ht="13.5" customHeight="1">
      <c r="D982" s="53"/>
      <c r="E982" s="54"/>
      <c r="F982" s="54"/>
      <c r="G982" s="55"/>
      <c r="H982" s="55"/>
      <c r="I982" s="55"/>
      <c r="J982" s="55"/>
      <c r="K982" s="55"/>
      <c r="L982" s="55"/>
      <c r="M982" s="55"/>
      <c r="N982" s="55"/>
      <c r="O982" s="55"/>
      <c r="P982" s="55"/>
      <c r="Q982" s="55"/>
      <c r="R982" s="55"/>
      <c r="S982" s="55"/>
      <c r="T982" s="55"/>
      <c r="U982" s="55"/>
    </row>
  </sheetData>
  <mergeCells count="69">
    <mergeCell ref="E69:E71"/>
    <mergeCell ref="E74:E76"/>
    <mergeCell ref="E77:E82"/>
    <mergeCell ref="I2:I3"/>
    <mergeCell ref="K2:K3"/>
    <mergeCell ref="I7:I10"/>
    <mergeCell ref="G7:G10"/>
    <mergeCell ref="F7:F10"/>
    <mergeCell ref="E72:E73"/>
    <mergeCell ref="J2:J3"/>
    <mergeCell ref="C62:C64"/>
    <mergeCell ref="D62:D64"/>
    <mergeCell ref="C66:C67"/>
    <mergeCell ref="D66:D67"/>
    <mergeCell ref="C69:C83"/>
    <mergeCell ref="D69:D83"/>
    <mergeCell ref="L41:L42"/>
    <mergeCell ref="M41:M42"/>
    <mergeCell ref="C50:C55"/>
    <mergeCell ref="D50:D55"/>
    <mergeCell ref="C56:C61"/>
    <mergeCell ref="D56:D61"/>
    <mergeCell ref="C40:C49"/>
    <mergeCell ref="D40:D49"/>
    <mergeCell ref="E41:E42"/>
    <mergeCell ref="H41:H42"/>
    <mergeCell ref="G41:G42"/>
    <mergeCell ref="J41:J42"/>
    <mergeCell ref="O28:O29"/>
    <mergeCell ref="E34:E35"/>
    <mergeCell ref="H34:H35"/>
    <mergeCell ref="J34:J35"/>
    <mergeCell ref="L34:L35"/>
    <mergeCell ref="M34:M35"/>
    <mergeCell ref="N34:N35"/>
    <mergeCell ref="O34:O35"/>
    <mergeCell ref="L28:L29"/>
    <mergeCell ref="S4:S68"/>
    <mergeCell ref="E11:E12"/>
    <mergeCell ref="C13:C14"/>
    <mergeCell ref="D13:D14"/>
    <mergeCell ref="C15:C19"/>
    <mergeCell ref="D15:D18"/>
    <mergeCell ref="D19:D24"/>
    <mergeCell ref="C25:C27"/>
    <mergeCell ref="D25:D27"/>
    <mergeCell ref="C28:C39"/>
    <mergeCell ref="D28:D35"/>
    <mergeCell ref="E28:E29"/>
    <mergeCell ref="H28:H29"/>
    <mergeCell ref="G28:G29"/>
    <mergeCell ref="J28:J29"/>
    <mergeCell ref="M28:M29"/>
    <mergeCell ref="L2:L3"/>
    <mergeCell ref="M2:M3"/>
    <mergeCell ref="N2:O2"/>
    <mergeCell ref="B4:B68"/>
    <mergeCell ref="C4:C12"/>
    <mergeCell ref="D4:D12"/>
    <mergeCell ref="E4:E10"/>
    <mergeCell ref="F4:F6"/>
    <mergeCell ref="G4:G6"/>
    <mergeCell ref="B2:B3"/>
    <mergeCell ref="D2:D3"/>
    <mergeCell ref="E2:E3"/>
    <mergeCell ref="F2:F3"/>
    <mergeCell ref="H2:H3"/>
    <mergeCell ref="G2:G3"/>
    <mergeCell ref="N28:N29"/>
  </mergeCells>
  <phoneticPr fontId="1" type="noConversion"/>
  <pageMargins left="0.7" right="0.7" top="0.75" bottom="0.75" header="0" footer="0"/>
  <pageSetup paperSize="8" fitToWidth="0" orientation="landscape"/>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3AC1952402E0F740A262586A965FE534" ma:contentTypeVersion="1" ma:contentTypeDescription="새 문서를 만듭니다." ma:contentTypeScope="" ma:versionID="b560d467e7f6132cc88fef8f09cdeceb">
  <xsd:schema xmlns:xsd="http://www.w3.org/2001/XMLSchema" xmlns:xs="http://www.w3.org/2001/XMLSchema" xmlns:p="http://schemas.microsoft.com/office/2006/metadata/properties" xmlns:ns3="d974307c-4e1f-4e1e-9bbd-a80c59d76102" targetNamespace="http://schemas.microsoft.com/office/2006/metadata/properties" ma:root="true" ma:fieldsID="6488aeef3d551f182936b3234fa47d35" ns3:_="">
    <xsd:import namespace="d974307c-4e1f-4e1e-9bbd-a80c59d76102"/>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74307c-4e1f-4e1e-9bbd-a80c59d7610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51D0F5-63C1-4DB4-BFD3-3E10FCC368E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50253B7-D97F-421F-A081-ADDAC7E465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74307c-4e1f-4e1e-9bbd-a80c59d76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6D177A-DFD3-4324-907D-A8C7E4EF01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요구사항정의서 초안</vt:lpstr>
      <vt:lpstr>250325_요구사항정의서 </vt:lpstr>
      <vt:lpstr>250325_요구사항정의서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최윤규</cp:lastModifiedBy>
  <cp:revision/>
  <dcterms:created xsi:type="dcterms:W3CDTF">2024-12-12T06:39:24Z</dcterms:created>
  <dcterms:modified xsi:type="dcterms:W3CDTF">2026-05-12T05:17:52Z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0x0101003AC1952402E0F740A262586A965FE534</vt:lpwstr>
  </property>
</Properties>
</file>