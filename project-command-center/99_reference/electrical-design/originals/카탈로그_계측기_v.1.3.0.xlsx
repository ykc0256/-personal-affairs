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ookang-my.sharepoint.com/personal/ykc_bkt21_com/Documents/"/>
    </mc:Choice>
  </mc:AlternateContent>
  <xr:revisionPtr revIDLastSave="0" documentId="8_{141EC725-5D3B-47C2-BE25-17DFEC179623}" xr6:coauthVersionLast="47" xr6:coauthVersionMax="47" xr10:uidLastSave="{00000000-0000-0000-0000-000000000000}"/>
  <bookViews>
    <workbookView xWindow="28680" yWindow="-120" windowWidth="29040" windowHeight="15840" firstSheet="10" activeTab="10" xr2:uid="{00000000-000D-0000-FFFF-FFFF00000000}"/>
  </bookViews>
  <sheets>
    <sheet name="계측기코드" sheetId="15" r:id="rId1"/>
    <sheet name="재질(NEW)" sheetId="18" r:id="rId2"/>
    <sheet name="공급업체코드" sheetId="17" r:id="rId3"/>
    <sheet name="수위계" sheetId="8" r:id="rId4"/>
    <sheet name="유량계" sheetId="16" r:id="rId5"/>
    <sheet name="pH측정기" sheetId="10" r:id="rId6"/>
    <sheet name="ORP측정기" sheetId="11" r:id="rId7"/>
    <sheet name="DO 측정기" sheetId="13" r:id="rId8"/>
    <sheet name="압력계" sheetId="12" r:id="rId9"/>
    <sheet name="온도계" sheetId="14" r:id="rId10"/>
    <sheet name="MLSS계" sheetId="20" r:id="rId1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0" l="1"/>
  <c r="O4" i="14"/>
  <c r="O3" i="13"/>
  <c r="O3" i="11"/>
  <c r="O3" i="10"/>
  <c r="P8" i="8"/>
  <c r="P7" i="8"/>
  <c r="P6" i="8"/>
  <c r="P5" i="8"/>
  <c r="P4" i="8"/>
  <c r="P3" i="8"/>
  <c r="F3" i="14" a="1"/>
  <c r="F3" i="14"/>
  <c r="D3" i="14" a="1"/>
  <c r="D3" i="14" s="1"/>
  <c r="B3" i="14"/>
  <c r="D3" i="20" a="1"/>
  <c r="D3" i="20" s="1"/>
  <c r="B3" i="20"/>
  <c r="F3" i="11" a="1"/>
  <c r="F3" i="11" s="1"/>
  <c r="D3" i="11" a="1"/>
  <c r="D3" i="11" s="1"/>
  <c r="B3" i="11" s="1"/>
  <c r="D34" i="16" a="1"/>
  <c r="D34" i="16" s="1"/>
  <c r="D33" i="16" a="1"/>
  <c r="D33" i="16" s="1"/>
  <c r="D32" i="16" a="1"/>
  <c r="D32" i="16" s="1"/>
  <c r="D31" i="16" a="1"/>
  <c r="D31" i="16" s="1"/>
  <c r="D30" i="16" a="1"/>
  <c r="D30" i="16" s="1"/>
  <c r="D29" i="16" a="1"/>
  <c r="D29" i="16" s="1"/>
  <c r="D28" i="16" a="1"/>
  <c r="D28" i="16" s="1"/>
  <c r="D27" i="16" a="1"/>
  <c r="D27" i="16" s="1"/>
  <c r="F34" i="16" a="1"/>
  <c r="F34" i="16" s="1"/>
  <c r="F33" i="16" a="1"/>
  <c r="F33" i="16" s="1"/>
  <c r="F32" i="16" a="1"/>
  <c r="F32" i="16" s="1"/>
  <c r="F31" i="16" a="1"/>
  <c r="F31" i="16" s="1"/>
  <c r="F30" i="16" a="1"/>
  <c r="F30" i="16" s="1"/>
  <c r="F29" i="16" a="1"/>
  <c r="F29" i="16" s="1"/>
  <c r="F28" i="16" a="1"/>
  <c r="F28" i="16" s="1"/>
  <c r="F27" i="16" a="1"/>
  <c r="F27" i="16" s="1"/>
  <c r="F26" i="16" a="1"/>
  <c r="F26" i="16" s="1"/>
  <c r="D26" i="16" a="1"/>
  <c r="D26" i="16"/>
  <c r="B26" i="16" s="1"/>
  <c r="F8" i="8" a="1"/>
  <c r="F8" i="8" s="1"/>
  <c r="D8" i="8" a="1"/>
  <c r="D8" i="8" s="1"/>
  <c r="B8" i="8"/>
  <c r="F7" i="8" a="1"/>
  <c r="F7" i="8" s="1"/>
  <c r="D7" i="8" a="1"/>
  <c r="D7" i="8" s="1"/>
  <c r="B7" i="8"/>
  <c r="F6" i="8" a="1"/>
  <c r="F6" i="8" s="1"/>
  <c r="D6" i="8" a="1"/>
  <c r="D6" i="8" s="1"/>
  <c r="B6" i="8"/>
  <c r="F5" i="8" a="1"/>
  <c r="F5" i="8" s="1"/>
  <c r="D5" i="8" a="1"/>
  <c r="D5" i="8" s="1"/>
  <c r="B5" i="8" s="1"/>
  <c r="F4" i="8" a="1"/>
  <c r="F4" i="8" s="1"/>
  <c r="D4" i="8" a="1"/>
  <c r="D4" i="8" s="1"/>
  <c r="B4" i="8" s="1"/>
  <c r="F3" i="8" a="1"/>
  <c r="F3" i="8" s="1"/>
  <c r="D3" i="8" a="1"/>
  <c r="D3" i="8" s="1"/>
  <c r="B3" i="8"/>
  <c r="F25" i="16" a="1"/>
  <c r="F25" i="16" s="1"/>
  <c r="D25" i="16" a="1"/>
  <c r="D25" i="16" s="1"/>
  <c r="B25" i="16" s="1"/>
  <c r="F24" i="16" a="1"/>
  <c r="F24" i="16" s="1"/>
  <c r="D24" i="16" a="1"/>
  <c r="D24" i="16" s="1"/>
  <c r="B24" i="16" s="1"/>
  <c r="F23" i="16" a="1"/>
  <c r="F23" i="16" s="1"/>
  <c r="D23" i="16" a="1"/>
  <c r="D23" i="16" s="1"/>
  <c r="B23" i="16" s="1"/>
  <c r="F22" i="16" a="1"/>
  <c r="F22" i="16" s="1"/>
  <c r="D22" i="16" a="1"/>
  <c r="D22" i="16" s="1"/>
  <c r="B22" i="16" s="1"/>
  <c r="F21" i="16" a="1"/>
  <c r="F21" i="16" s="1"/>
  <c r="D21" i="16" a="1"/>
  <c r="D21" i="16" s="1"/>
  <c r="B21" i="16" s="1"/>
  <c r="F20" i="16" a="1"/>
  <c r="F20" i="16" s="1"/>
  <c r="D20" i="16" a="1"/>
  <c r="D20" i="16" s="1"/>
  <c r="B20" i="16" s="1"/>
  <c r="F19" i="16" a="1"/>
  <c r="F19" i="16" s="1"/>
  <c r="D19" i="16" a="1"/>
  <c r="D19" i="16" s="1"/>
  <c r="B19" i="16" s="1"/>
  <c r="F18" i="16" a="1"/>
  <c r="F18" i="16" s="1"/>
  <c r="D18" i="16" a="1"/>
  <c r="D18" i="16" s="1"/>
  <c r="B18" i="16" s="1"/>
  <c r="F17" i="16" a="1"/>
  <c r="F17" i="16" s="1"/>
  <c r="D17" i="16" a="1"/>
  <c r="D17" i="16" s="1"/>
  <c r="B17" i="16" s="1"/>
  <c r="F16" i="16" a="1"/>
  <c r="F16" i="16" s="1"/>
  <c r="D16" i="16" a="1"/>
  <c r="D16" i="16" s="1"/>
  <c r="B16" i="16" s="1"/>
  <c r="F15" i="16" a="1"/>
  <c r="F15" i="16" s="1"/>
  <c r="D15" i="16" a="1"/>
  <c r="D15" i="16" s="1"/>
  <c r="B15" i="16" s="1"/>
  <c r="F14" i="16" a="1"/>
  <c r="F14" i="16" s="1"/>
  <c r="D14" i="16" a="1"/>
  <c r="D14" i="16" s="1"/>
  <c r="B14" i="16" s="1"/>
  <c r="F13" i="16" a="1"/>
  <c r="F13" i="16" s="1"/>
  <c r="D13" i="16" a="1"/>
  <c r="D13" i="16" s="1"/>
  <c r="B13" i="16" s="1"/>
  <c r="F12" i="16" a="1"/>
  <c r="F12" i="16" s="1"/>
  <c r="D12" i="16" a="1"/>
  <c r="D12" i="16" s="1"/>
  <c r="B12" i="16" s="1"/>
  <c r="F11" i="16" a="1"/>
  <c r="F11" i="16" s="1"/>
  <c r="D11" i="16" a="1"/>
  <c r="D11" i="16" s="1"/>
  <c r="B11" i="16" s="1"/>
  <c r="F10" i="16" a="1"/>
  <c r="F10" i="16" s="1"/>
  <c r="D10" i="16" a="1"/>
  <c r="D10" i="16" s="1"/>
  <c r="B10" i="16" s="1"/>
  <c r="F9" i="16" a="1"/>
  <c r="F9" i="16" s="1"/>
  <c r="D9" i="16" a="1"/>
  <c r="D9" i="16" s="1"/>
  <c r="B9" i="16" s="1"/>
  <c r="F8" i="16" a="1"/>
  <c r="F8" i="16" s="1"/>
  <c r="D8" i="16" a="1"/>
  <c r="D8" i="16" s="1"/>
  <c r="B8" i="16" s="1"/>
  <c r="F7" i="16" a="1"/>
  <c r="F7" i="16" s="1"/>
  <c r="D7" i="16" a="1"/>
  <c r="D7" i="16" s="1"/>
  <c r="B7" i="16" s="1"/>
  <c r="F6" i="16" a="1"/>
  <c r="F6" i="16" s="1"/>
  <c r="D6" i="16" a="1"/>
  <c r="D6" i="16" s="1"/>
  <c r="B6" i="16" s="1"/>
  <c r="F5" i="16" a="1"/>
  <c r="F5" i="16" s="1"/>
  <c r="D5" i="16" a="1"/>
  <c r="D5" i="16" s="1"/>
  <c r="B5" i="16" s="1"/>
  <c r="F4" i="16" a="1"/>
  <c r="F4" i="16" s="1"/>
  <c r="D4" i="16" a="1"/>
  <c r="D4" i="16" s="1"/>
  <c r="B4" i="16" s="1"/>
  <c r="F3" i="16" a="1"/>
  <c r="F3" i="16" s="1"/>
  <c r="D3" i="16" a="1"/>
  <c r="D3" i="16" s="1"/>
  <c r="B3" i="16" s="1"/>
  <c r="F4" i="14" a="1"/>
  <c r="F4" i="14" s="1"/>
  <c r="D4" i="14" a="1"/>
  <c r="D4" i="14"/>
  <c r="B4" i="14" s="1"/>
  <c r="D3" i="12" a="1"/>
  <c r="D3" i="12"/>
  <c r="F3" i="12" a="1"/>
  <c r="F3" i="12"/>
  <c r="F3" i="13" a="1"/>
  <c r="F3" i="13"/>
  <c r="D3" i="13" a="1"/>
  <c r="D3" i="13"/>
  <c r="B3" i="13" s="1"/>
  <c r="F3" i="10" a="1"/>
  <c r="F3" i="10"/>
  <c r="D3" i="10" a="1"/>
  <c r="D3" i="10"/>
  <c r="B3" i="10"/>
  <c r="B3" i="12" l="1"/>
  <c r="B27" i="16"/>
  <c r="B28" i="16"/>
  <c r="B29" i="16"/>
  <c r="B30" i="16"/>
  <c r="B31" i="16"/>
  <c r="B32" i="16"/>
  <c r="B33" i="16"/>
  <c r="B34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<sst xmlns="http://schemas.openxmlformats.org/spreadsheetml/2006/main" count="1733" uniqueCount="787">
  <si>
    <t>system_code</t>
  </si>
  <si>
    <t>code_group</t>
  </si>
  <si>
    <t>code_key</t>
  </si>
  <si>
    <t>parent_key</t>
  </si>
  <si>
    <t>code_value</t>
  </si>
  <si>
    <t>code_value_en</t>
  </si>
  <si>
    <t>code_level</t>
  </si>
  <si>
    <t>is_leaf</t>
  </si>
  <si>
    <t>code_order</t>
  </si>
  <si>
    <t>iso15926_rdl</t>
  </si>
  <si>
    <t>description</t>
  </si>
  <si>
    <t>WAI_DESIGN_APP</t>
  </si>
  <si>
    <t>INSTRUMENT</t>
  </si>
  <si>
    <t>INSTRMT</t>
  </si>
  <si>
    <t>계측기</t>
  </si>
  <si>
    <t>Instruments</t>
  </si>
  <si>
    <t>WATER_GAUGE</t>
  </si>
  <si>
    <t>I_WTGG</t>
  </si>
  <si>
    <t>수위계</t>
  </si>
  <si>
    <t>Water Gauge</t>
  </si>
  <si>
    <t>I_WTG00</t>
  </si>
  <si>
    <t>미분류</t>
  </si>
  <si>
    <t>Unclassified</t>
  </si>
  <si>
    <t>　TRUE</t>
  </si>
  <si>
    <t>I_WTG01</t>
  </si>
  <si>
    <t>초음파식 수위계</t>
  </si>
  <si>
    <t>I_WTG02</t>
  </si>
  <si>
    <t>레이더식 수위계</t>
  </si>
  <si>
    <t>I_WTG03</t>
  </si>
  <si>
    <t>플로트식 수위계</t>
  </si>
  <si>
    <t>I_WTG04</t>
  </si>
  <si>
    <t>오뚜기식 수위스위치</t>
  </si>
  <si>
    <t>I_WTG05</t>
  </si>
  <si>
    <t>플로트식 수위스위치</t>
  </si>
  <si>
    <t>I_WTG06</t>
  </si>
  <si>
    <t>전극식 수위치</t>
  </si>
  <si>
    <t>FLOW_METER</t>
  </si>
  <si>
    <t>I_FLMT</t>
  </si>
  <si>
    <t>유량계</t>
  </si>
  <si>
    <t>Flow Meter</t>
  </si>
  <si>
    <t>I_FLM00</t>
  </si>
  <si>
    <t>미분류 유량계</t>
  </si>
  <si>
    <t>I_FLM01</t>
  </si>
  <si>
    <t>전자식 유량계</t>
  </si>
  <si>
    <t>I_FLM02</t>
  </si>
  <si>
    <t>초음파식 유량계</t>
    <phoneticPr fontId="1" type="noConversion"/>
  </si>
  <si>
    <t>I_FLM03</t>
  </si>
  <si>
    <t>가스식 유량계</t>
  </si>
  <si>
    <t>I_FLM04</t>
  </si>
  <si>
    <t>기계식 유량계</t>
  </si>
  <si>
    <t>I_FLM05</t>
  </si>
  <si>
    <t>차압식 유량계</t>
  </si>
  <si>
    <t>I_FLM06</t>
  </si>
  <si>
    <t>질량 유량계</t>
  </si>
  <si>
    <t>PH_METER</t>
  </si>
  <si>
    <t>I_PHMT</t>
  </si>
  <si>
    <t>pH 측정기</t>
  </si>
  <si>
    <t>pH Meter</t>
  </si>
  <si>
    <t>I_PHM00</t>
  </si>
  <si>
    <t>미분류 pH 측정기</t>
  </si>
  <si>
    <t>I_PHM01</t>
  </si>
  <si>
    <t>유리전극식 pH측정기</t>
  </si>
  <si>
    <t>I_PHM02</t>
  </si>
  <si>
    <t>고정전극식 PH측정기</t>
  </si>
  <si>
    <t>ORP_METER</t>
  </si>
  <si>
    <t>I_ORPM</t>
  </si>
  <si>
    <t>ORP 측정기</t>
  </si>
  <si>
    <t>ORP Meter</t>
  </si>
  <si>
    <t>I_ORP00</t>
  </si>
  <si>
    <t>미분류 ORP 측정기</t>
  </si>
  <si>
    <t>I_ORP01</t>
  </si>
  <si>
    <t>금속전극식 ORP 측정기</t>
  </si>
  <si>
    <t>I_ORP02</t>
  </si>
  <si>
    <t>고정전극식 ORP 측정기</t>
  </si>
  <si>
    <t>DO_METER</t>
  </si>
  <si>
    <t>I_DOMT</t>
  </si>
  <si>
    <t>DO 측정기</t>
  </si>
  <si>
    <t>DO Meter</t>
  </si>
  <si>
    <t>I_DOM00</t>
  </si>
  <si>
    <t>미분류 DO 측정기</t>
  </si>
  <si>
    <t>I_DOM01</t>
  </si>
  <si>
    <t>광학식 DO 측정기</t>
  </si>
  <si>
    <t>I_DOM02</t>
  </si>
  <si>
    <t>갈바닉식 DO 측정기</t>
  </si>
  <si>
    <t>I_DOM03</t>
  </si>
  <si>
    <t>폴라로그래픽식 DO 측정기</t>
  </si>
  <si>
    <t>PRESS_GAUGE</t>
  </si>
  <si>
    <t>I_PRESS</t>
  </si>
  <si>
    <t>압력계</t>
  </si>
  <si>
    <t xml:space="preserve">Pressure Gauge </t>
  </si>
  <si>
    <t>I_PRSS00</t>
  </si>
  <si>
    <t>미분류 압력계</t>
  </si>
  <si>
    <t>I_PRSS01</t>
  </si>
  <si>
    <t>전자식 압력계</t>
  </si>
  <si>
    <t>I_PRSS02</t>
  </si>
  <si>
    <t>격막식 압력계</t>
  </si>
  <si>
    <t>I_PRSS03</t>
  </si>
  <si>
    <t>기계식 압력계</t>
  </si>
  <si>
    <t>I_PRSS04</t>
  </si>
  <si>
    <t>디지털식 압력계</t>
  </si>
  <si>
    <t>I_PRSS05</t>
  </si>
  <si>
    <t>광섬유식 부압력계</t>
  </si>
  <si>
    <t>THERMO</t>
  </si>
  <si>
    <t>I_THMT</t>
  </si>
  <si>
    <t>온도계</t>
  </si>
  <si>
    <t>Thermometer</t>
  </si>
  <si>
    <t>THERMOMETER</t>
  </si>
  <si>
    <t>I_THM00</t>
  </si>
  <si>
    <t>미분류 온도계</t>
  </si>
  <si>
    <t>I_THM01</t>
  </si>
  <si>
    <t>RTD식 온도계</t>
  </si>
  <si>
    <t>I_THM02</t>
  </si>
  <si>
    <t>열전대식 온도계</t>
  </si>
  <si>
    <t>I_THM03</t>
  </si>
  <si>
    <t>바이메탈식 온도계</t>
  </si>
  <si>
    <t>I_THM04</t>
  </si>
  <si>
    <t>적외선식 온도계</t>
  </si>
  <si>
    <t>MLSS_GAUGE</t>
  </si>
  <si>
    <t>I_MLSS</t>
  </si>
  <si>
    <t>MLSS계</t>
  </si>
  <si>
    <t>MLSS METER</t>
  </si>
  <si>
    <t>I_MLS01</t>
  </si>
  <si>
    <t>미분류 MLSS계</t>
  </si>
  <si>
    <t>I_MLS02</t>
  </si>
  <si>
    <t>적외선 MLSS계</t>
  </si>
  <si>
    <t>MATERIALS</t>
  </si>
  <si>
    <t>MATER</t>
  </si>
  <si>
    <t>　</t>
  </si>
  <si>
    <t>재질</t>
  </si>
  <si>
    <t>Materials</t>
  </si>
  <si>
    <t>MATER_STEEL</t>
  </si>
  <si>
    <t>MATER_STL</t>
  </si>
  <si>
    <t>강재(미분류)</t>
  </si>
  <si>
    <t>STL</t>
  </si>
  <si>
    <t>Steel</t>
  </si>
  <si>
    <t>STEEL 전체 표시 약어</t>
  </si>
  <si>
    <t>한국규격(KS)에 의한 표시기호(symbolic notation)</t>
  </si>
  <si>
    <t>MATER_CARBON_STEEL</t>
  </si>
  <si>
    <t>MATER_CS</t>
  </si>
  <si>
    <t>탄소강</t>
  </si>
  <si>
    <t>CS</t>
  </si>
  <si>
    <t>Carbon Steel</t>
  </si>
  <si>
    <t>CS_SF</t>
  </si>
  <si>
    <t>SF</t>
  </si>
  <si>
    <t>Carbon Steel Forgings for General Use</t>
  </si>
  <si>
    <t>탄소강 단강품(SF)</t>
  </si>
  <si>
    <t>SF440A</t>
  </si>
  <si>
    <t>탄소강 단강품(SF440A)</t>
  </si>
  <si>
    <t>밸브 재질</t>
  </si>
  <si>
    <t>CS_SM</t>
  </si>
  <si>
    <t>SM</t>
  </si>
  <si>
    <t>Steel Machine Carbon</t>
  </si>
  <si>
    <t>기계 구조용 탄소강재(SM)</t>
  </si>
  <si>
    <t>SM45C</t>
  </si>
  <si>
    <t>기계 구조용 탄소강재(SM45C)</t>
  </si>
  <si>
    <t>모노펌프부품 재질</t>
  </si>
  <si>
    <t>MATER_CAST_IRON</t>
  </si>
  <si>
    <t>MATER_CI</t>
  </si>
  <si>
    <t>주철</t>
  </si>
  <si>
    <t>CI</t>
  </si>
  <si>
    <t>Cast Iron</t>
  </si>
  <si>
    <t>CI_GC</t>
  </si>
  <si>
    <t>회주철(GC)</t>
  </si>
  <si>
    <t>Gray Cast Iron</t>
  </si>
  <si>
    <t>GC200</t>
  </si>
  <si>
    <t>Gray Cast Iron(200)</t>
  </si>
  <si>
    <t>회주철(GC 200)</t>
  </si>
  <si>
    <t>스프르트펌프 재질</t>
  </si>
  <si>
    <t>GC250</t>
  </si>
  <si>
    <t>Gray Cast Iron(250)</t>
  </si>
  <si>
    <t>회주철(GC 250)</t>
  </si>
  <si>
    <t>일축스크류(모노)펌프 재질</t>
  </si>
  <si>
    <t>CI_GCD</t>
  </si>
  <si>
    <t>GCD</t>
  </si>
  <si>
    <t>Graphite Casting Ductile</t>
  </si>
  <si>
    <t>구상흑연주철(GCD)</t>
  </si>
  <si>
    <t>GCD450</t>
  </si>
  <si>
    <t>Graphite Casting Ductile(450)</t>
  </si>
  <si>
    <t>구상흑연주철(GCD 450)</t>
  </si>
  <si>
    <t>MATER_CAST_STEEL</t>
  </si>
  <si>
    <t>MATER_CAST</t>
  </si>
  <si>
    <t>주강</t>
  </si>
  <si>
    <t>Cast Steel</t>
  </si>
  <si>
    <t>MATERIALS_KS</t>
  </si>
  <si>
    <t>SCPH</t>
  </si>
  <si>
    <t>Steel Casting Pressure High Temperature</t>
  </si>
  <si>
    <t>고온고압용 주강(SCPH)</t>
  </si>
  <si>
    <t>SCPH2</t>
  </si>
  <si>
    <t>Steel Casting Pressure High Temperature(2)</t>
  </si>
  <si>
    <t>고온고압용 주강(SCPH2)</t>
  </si>
  <si>
    <t>SSC</t>
  </si>
  <si>
    <t>Stainless Steel Casting</t>
  </si>
  <si>
    <t>스테인리스 주강(SSC/SCS)</t>
  </si>
  <si>
    <t>SSC13</t>
  </si>
  <si>
    <t>Stainless Steel Casting(13)</t>
  </si>
  <si>
    <t>스테인리스 주강(SSC13/SCS13)</t>
  </si>
  <si>
    <t>밸브, 스프르트펌프 재질</t>
  </si>
  <si>
    <t>MATER_TOOL</t>
  </si>
  <si>
    <t>MATER_TS</t>
  </si>
  <si>
    <t>공구강</t>
  </si>
  <si>
    <t>TS</t>
  </si>
  <si>
    <t>Tool Steel(TS)</t>
  </si>
  <si>
    <t>STD</t>
  </si>
  <si>
    <t>Steel Tool Dies</t>
  </si>
  <si>
    <t>합금공구강(STD)</t>
  </si>
  <si>
    <t>STD11</t>
  </si>
  <si>
    <t>Steel Tool Dies(D2)</t>
  </si>
  <si>
    <t>합금공구강(STD11)</t>
  </si>
  <si>
    <t>STD11_STS304</t>
  </si>
  <si>
    <t>STD11/STS304</t>
  </si>
  <si>
    <t>합금공구강(STD11/STS304)</t>
  </si>
  <si>
    <t>MATER_STAINLESS</t>
  </si>
  <si>
    <t>MATER_SS</t>
  </si>
  <si>
    <t>스테인리스</t>
  </si>
  <si>
    <t>SS</t>
  </si>
  <si>
    <t>Stainless Steel(SS)</t>
  </si>
  <si>
    <t>STS</t>
  </si>
  <si>
    <t>스테인리스강(STS)</t>
  </si>
  <si>
    <t>Steel Type Stainless</t>
  </si>
  <si>
    <t>STS304</t>
  </si>
  <si>
    <t>Stainless Steel(304SS)</t>
  </si>
  <si>
    <t>STS304L</t>
  </si>
  <si>
    <t>Stainless Steel(304L) Low-carbon</t>
  </si>
  <si>
    <t>STS304L 저탄소</t>
  </si>
  <si>
    <t>STS304_HCr</t>
  </si>
  <si>
    <t>STS304 HCr</t>
  </si>
  <si>
    <t>Stainless Steel(304) High-chromium</t>
  </si>
  <si>
    <t>STS304 고크롬</t>
  </si>
  <si>
    <t>STS310S</t>
  </si>
  <si>
    <t>Stainless Steel(310S) Low-carbon</t>
  </si>
  <si>
    <t>STS310S 저탄소</t>
  </si>
  <si>
    <t>STS316</t>
  </si>
  <si>
    <t>Stainless Steel(316SS) Molybdenum</t>
  </si>
  <si>
    <t>STS316 몰리브덴</t>
  </si>
  <si>
    <t>STS316L</t>
  </si>
  <si>
    <t>Stainless Steel(316L) Molybdenum Low-carbon</t>
  </si>
  <si>
    <t>STS316L 몰리브덴 저탄소</t>
  </si>
  <si>
    <t>MATER_ALLOY</t>
  </si>
  <si>
    <t>합금강</t>
  </si>
  <si>
    <t>Alloy Steel</t>
  </si>
  <si>
    <t>SNCM</t>
  </si>
  <si>
    <t>니켈 크롬 몰리브덴강(SNCM)</t>
  </si>
  <si>
    <t>Steel Nickel Chromium Molybdenum</t>
  </si>
  <si>
    <t>SNCM21</t>
  </si>
  <si>
    <t>Steel Nickel Chromium Molybdenum(21)</t>
  </si>
  <si>
    <t>MATERIALS_COPPER</t>
  </si>
  <si>
    <t>MATER_BRONZE</t>
  </si>
  <si>
    <t>청동</t>
  </si>
  <si>
    <t>Bronze</t>
  </si>
  <si>
    <t>MATERIALS_RUBBER</t>
  </si>
  <si>
    <t>MATER_RUBBER</t>
  </si>
  <si>
    <t>고무</t>
  </si>
  <si>
    <t>Rubber</t>
  </si>
  <si>
    <t>NBR</t>
  </si>
  <si>
    <t>니트릴 고무(NBR)</t>
  </si>
  <si>
    <t>Nitrile Butadiene Rubber</t>
  </si>
  <si>
    <t>NBR_EPDM</t>
  </si>
  <si>
    <t>NBR/EPDM</t>
  </si>
  <si>
    <t>EPDM</t>
  </si>
  <si>
    <t>에틸렌 프로필렌 고무(EPDM)</t>
  </si>
  <si>
    <t>Rubber, ethylene-propylene-diene(EPDM)</t>
  </si>
  <si>
    <t>FKM</t>
  </si>
  <si>
    <t>불소화 엘라스토머(FKM)</t>
  </si>
  <si>
    <t>Fluoropolymer</t>
  </si>
  <si>
    <t>VITON</t>
  </si>
  <si>
    <t>Viton™</t>
  </si>
  <si>
    <t>듀퐁사 브랜드</t>
  </si>
  <si>
    <t>EBONITE</t>
  </si>
  <si>
    <t>경질고무(EBONITE)</t>
  </si>
  <si>
    <t>Ebonite</t>
  </si>
  <si>
    <t>MATERIALS_PLASTIC</t>
  </si>
  <si>
    <t>MATER_PLASTIC</t>
  </si>
  <si>
    <t>플라스틱</t>
  </si>
  <si>
    <t>Plastic</t>
  </si>
  <si>
    <t>PP</t>
  </si>
  <si>
    <t xml:space="preserve">폴리프로필렌(PP) </t>
  </si>
  <si>
    <t>Polypropylene</t>
  </si>
  <si>
    <t>다이아프램펌프 재질</t>
  </si>
  <si>
    <t>MATERIALS_PVC</t>
  </si>
  <si>
    <t>PVC</t>
  </si>
  <si>
    <t>폴리염화비닐(PVC)</t>
  </si>
  <si>
    <t>PVDF</t>
  </si>
  <si>
    <t>폴리비닐리덴 플루오라이드(PVDF)</t>
  </si>
  <si>
    <t>Polyvinylidene Fluoride</t>
  </si>
  <si>
    <t>테프론(PTFE)</t>
  </si>
  <si>
    <t>ABS</t>
  </si>
  <si>
    <t>아크릴로나이트릴, 뷰타다이엔, 스타이렌(ABS)</t>
  </si>
  <si>
    <t>Acrylonitrile Butadiene Styrene</t>
  </si>
  <si>
    <t>MATERIALS_JIS</t>
  </si>
  <si>
    <t>MATER_JIS</t>
  </si>
  <si>
    <t>일본규격(JIS)에 의한 표시기호</t>
  </si>
  <si>
    <t>SKD</t>
  </si>
  <si>
    <t>합금공구강(SKD)</t>
  </si>
  <si>
    <t>Steel Kougu Dice(SKD)</t>
  </si>
  <si>
    <t>KS규격 STD11과 매우 유사</t>
  </si>
  <si>
    <t>SKD11</t>
  </si>
  <si>
    <t>KS규격 STD12과 매우 유사</t>
  </si>
  <si>
    <t>SUS</t>
  </si>
  <si>
    <t>스테인리스강(SUS)</t>
  </si>
  <si>
    <t>Steel Use Stainless(SUS)</t>
  </si>
  <si>
    <t>SUS304</t>
  </si>
  <si>
    <t>KS규격 STS304와 동일</t>
  </si>
  <si>
    <t>MATER_ASTM</t>
  </si>
  <si>
    <t>ASTM 규격</t>
  </si>
  <si>
    <t>American Society for Testing and Materials (ASTM)</t>
  </si>
  <si>
    <t>MATER_ASME</t>
  </si>
  <si>
    <t>ASME에 규격</t>
  </si>
  <si>
    <t>American Society of Mechanical Engineers (ASME)</t>
  </si>
  <si>
    <t>MOB99</t>
  </si>
  <si>
    <t>기타 재질</t>
  </si>
  <si>
    <t>Other Types of Materials</t>
  </si>
  <si>
    <t>vendor_id</t>
  </si>
  <si>
    <t>vendor_name_en</t>
  </si>
  <si>
    <t>vendor_name_kr</t>
  </si>
  <si>
    <t>VM_0000</t>
  </si>
  <si>
    <t>Non-designated company</t>
  </si>
  <si>
    <t>미지정업체</t>
  </si>
  <si>
    <t>VM_BKT</t>
  </si>
  <si>
    <t>BKT</t>
  </si>
  <si>
    <t>(주)부강테크</t>
  </si>
  <si>
    <t>VM_BKT_TM</t>
  </si>
  <si>
    <t>BKT/TM</t>
  </si>
  <si>
    <t>(주)부강테크/터보맥스</t>
  </si>
  <si>
    <t>VM_BKT_CD_VM</t>
  </si>
  <si>
    <t>BKT/CS</t>
  </si>
  <si>
    <t>(주)부강테크/창신</t>
  </si>
  <si>
    <t>VM_BKT_SJ</t>
  </si>
  <si>
    <t>BKT/SJ</t>
  </si>
  <si>
    <t>(주)부강테크/삼진</t>
  </si>
  <si>
    <t>VM_BKT_HS</t>
  </si>
  <si>
    <t>BKT/HS</t>
  </si>
  <si>
    <t>(주)부강테크/한신테크노</t>
  </si>
  <si>
    <t>VM_BUMHAN</t>
  </si>
  <si>
    <t>Bumhan</t>
  </si>
  <si>
    <t>범한</t>
  </si>
  <si>
    <t>VM_CS_IND</t>
  </si>
  <si>
    <t>Cheonsei</t>
  </si>
  <si>
    <t>천세산업(주)</t>
  </si>
  <si>
    <t>VM_CB_ENG</t>
  </si>
  <si>
    <t>Cheonboe Engineering</t>
  </si>
  <si>
    <t>천보엔지니어링</t>
  </si>
  <si>
    <t>VM_CEIL_ELC</t>
  </si>
  <si>
    <t>Cheil electric</t>
  </si>
  <si>
    <t>제일일렉트릭</t>
  </si>
  <si>
    <t>VM_DH_ENG</t>
  </si>
  <si>
    <t>Donghai Engineering</t>
  </si>
  <si>
    <t>동해엔지니어링</t>
  </si>
  <si>
    <t>VM_DD_ENG</t>
  </si>
  <si>
    <t>Daibong Engineering</t>
  </si>
  <si>
    <t>대봉엔지니어링</t>
  </si>
  <si>
    <t>VM_DS_ENG</t>
  </si>
  <si>
    <t>DaeSeung Engineering</t>
  </si>
  <si>
    <t>대승엔지니어링</t>
  </si>
  <si>
    <t>VM_DJI_MACH</t>
  </si>
  <si>
    <t>Dongjin Industrial machinery</t>
  </si>
  <si>
    <t>동진기공</t>
  </si>
  <si>
    <t>VM_DA_ELC</t>
  </si>
  <si>
    <t>Dong-A electric</t>
  </si>
  <si>
    <t>동아전기공업(주)</t>
  </si>
  <si>
    <t>VM_DS_ELC</t>
  </si>
  <si>
    <t>DS ELC</t>
  </si>
  <si>
    <t>디에스이엘씨㈜</t>
  </si>
  <si>
    <t>VM_ECOWO</t>
    <phoneticPr fontId="1" type="noConversion"/>
  </si>
  <si>
    <t>Ecowo</t>
  </si>
  <si>
    <t>이코우</t>
  </si>
  <si>
    <t>VM_ECOSET</t>
  </si>
  <si>
    <t>Ecoset</t>
  </si>
  <si>
    <t>에코셋</t>
  </si>
  <si>
    <t>VM_EWH_SYS</t>
  </si>
  <si>
    <t>Ewha</t>
  </si>
  <si>
    <t>이화에코시스템</t>
  </si>
  <si>
    <t>VM_ENPR</t>
  </si>
  <si>
    <t>Electromagnetic Noise Pioneer Research</t>
  </si>
  <si>
    <t>이엔피알</t>
  </si>
  <si>
    <t>VM_HD_VALVE</t>
  </si>
  <si>
    <t>Hyundai Valve</t>
  </si>
  <si>
    <t>현대밸브</t>
  </si>
  <si>
    <t>VM_HDHD_ELC</t>
  </si>
  <si>
    <t>HD Hyundai electric</t>
  </si>
  <si>
    <t>HD현대일렉트릭</t>
  </si>
  <si>
    <t>VM_AILP_IND</t>
  </si>
  <si>
    <t>Ail Plastics industrial</t>
  </si>
  <si>
    <t>아일수지공업㈜</t>
  </si>
  <si>
    <t>VM_INTL_ELC</t>
  </si>
  <si>
    <t>International Electric Co.,Ltd</t>
  </si>
  <si>
    <t>국제전기</t>
  </si>
  <si>
    <t>VM_JF_TECH</t>
  </si>
  <si>
    <t>Jungsoo Flow Tech</t>
  </si>
  <si>
    <t>정수플로우텍</t>
  </si>
  <si>
    <t>VM_KF_MACH</t>
  </si>
  <si>
    <t xml:space="preserve">Korea Fluid Machinery Co.,Ltd </t>
  </si>
  <si>
    <t>한국유체기계</t>
  </si>
  <si>
    <t>VM_KW_TECH</t>
  </si>
  <si>
    <t>Korea Water Technology</t>
  </si>
  <si>
    <t>한국워터테크놀로지</t>
  </si>
  <si>
    <t>VM_KE_MACH</t>
  </si>
  <si>
    <t>Korea Environmental Machinery</t>
  </si>
  <si>
    <t>한국환경기계㈜</t>
  </si>
  <si>
    <t>VM_KJ_IND</t>
  </si>
  <si>
    <t>Kyungjin Industrial</t>
  </si>
  <si>
    <t>경진산업</t>
  </si>
  <si>
    <t>VM_KP_ELC</t>
  </si>
  <si>
    <t>케이피일렉트릭(주)</t>
  </si>
  <si>
    <t>VM_KB_ELC</t>
  </si>
  <si>
    <t>KyuongBo Electric</t>
  </si>
  <si>
    <t>경보전기</t>
  </si>
  <si>
    <t>VM_LS_ELC</t>
  </si>
  <si>
    <t>LS ELECTRIC</t>
  </si>
  <si>
    <t>VM_MONAS</t>
  </si>
  <si>
    <t>Monas</t>
  </si>
  <si>
    <t>모나스펌프(주)</t>
  </si>
  <si>
    <t>VM_PYUNGIL</t>
  </si>
  <si>
    <t>Pyungil</t>
  </si>
  <si>
    <t>평일</t>
  </si>
  <si>
    <t>VM_SH_IND</t>
  </si>
  <si>
    <t>SAMHEUNG Co., Ltd</t>
  </si>
  <si>
    <t>삼흥산업</t>
  </si>
  <si>
    <t>VM_SAMJIN</t>
  </si>
  <si>
    <t>Samjin Industrial Co., Ltd</t>
  </si>
  <si>
    <t>삼진공업</t>
  </si>
  <si>
    <t>VM_SAMJUNG</t>
  </si>
  <si>
    <t>Samjung</t>
  </si>
  <si>
    <t>삼정특장</t>
  </si>
  <si>
    <t>VM_SSH_ELC</t>
  </si>
  <si>
    <t>Samshin Heavt Electric Co., Ltd</t>
  </si>
  <si>
    <t>삼신중전기공업주식회사</t>
  </si>
  <si>
    <t>VM_SA_ELC</t>
  </si>
  <si>
    <t>Shina electric</t>
  </si>
  <si>
    <t>신아전기</t>
  </si>
  <si>
    <t>VM_TMAX</t>
  </si>
  <si>
    <t>Turbomax</t>
  </si>
  <si>
    <t>터보맥스</t>
  </si>
  <si>
    <t>VM_VITZRO_ELC</t>
  </si>
  <si>
    <t>Vitzro Electric</t>
  </si>
  <si>
    <t>비츠로이엠</t>
  </si>
  <si>
    <t>VM_WONJIN</t>
  </si>
  <si>
    <t>Wonjin</t>
  </si>
  <si>
    <t>원진</t>
  </si>
  <si>
    <t>VM_KW_COMP</t>
  </si>
  <si>
    <t>Kyungwon Compressor</t>
  </si>
  <si>
    <t>경원콤프레샤</t>
  </si>
  <si>
    <t>VM_DA_MACH</t>
  </si>
  <si>
    <t>Dong-A Machinery</t>
  </si>
  <si>
    <t>동아기공</t>
  </si>
  <si>
    <t>VM_BANDO_C</t>
  </si>
  <si>
    <t>Bando Crane</t>
  </si>
  <si>
    <t>반도 호이스트크레인</t>
  </si>
  <si>
    <t>VM_SEIN_ENC</t>
  </si>
  <si>
    <t>SEIN ENC</t>
  </si>
  <si>
    <t>세인이엔씨</t>
  </si>
  <si>
    <t>VM_KPAC_CO</t>
  </si>
  <si>
    <t>K-Pack Korea Co., Ltd</t>
  </si>
  <si>
    <t>케이팩코리아</t>
  </si>
  <si>
    <t>VM_KCIP_CO</t>
  </si>
  <si>
    <t>Korea Cast Iron Pipe Industry Co., Ltd.</t>
  </si>
  <si>
    <t>한국주철관공업(주)</t>
  </si>
  <si>
    <t>VM_NARAE_SAMWON</t>
  </si>
  <si>
    <t>NARAE STEEL/SAMWON</t>
  </si>
  <si>
    <t>나래스틸/삼원금속</t>
  </si>
  <si>
    <t>VM_WSP</t>
  </si>
  <si>
    <t>WORLD STEEL PIPE</t>
  </si>
  <si>
    <t>월드스틸파이프</t>
  </si>
  <si>
    <t>VM_COSMOIND</t>
  </si>
  <si>
    <t>COSMOIND</t>
  </si>
  <si>
    <t>코스모아이앤디㈜</t>
  </si>
  <si>
    <t>VM_YONGJEON</t>
  </si>
  <si>
    <t>YONGJEON</t>
  </si>
  <si>
    <t>용전㈜</t>
  </si>
  <si>
    <t>VM_KUPP</t>
  </si>
  <si>
    <t>KUPP</t>
  </si>
  <si>
    <t>케이유피피</t>
  </si>
  <si>
    <t>VM_SPACEPRO</t>
  </si>
  <si>
    <t>SPACEPRO</t>
  </si>
  <si>
    <t>스페이스프로</t>
  </si>
  <si>
    <t>HISTEN</t>
  </si>
  <si>
    <t>하이스텐</t>
  </si>
  <si>
    <t>VM_SUNWON_VAL</t>
  </si>
  <si>
    <t>Sunwonvalve</t>
  </si>
  <si>
    <t>선원밸브</t>
  </si>
  <si>
    <t>VM_POLYTEC</t>
  </si>
  <si>
    <t>POLYTEC</t>
  </si>
  <si>
    <t>폴리텍</t>
  </si>
  <si>
    <t>VM_COSMOS_VNP</t>
  </si>
  <si>
    <t>COSMOS</t>
  </si>
  <si>
    <t>코스모스브이앤피</t>
  </si>
  <si>
    <t>VM_JD_MACH</t>
  </si>
  <si>
    <t>JEONGDO Machinery</t>
  </si>
  <si>
    <t>정도기계</t>
  </si>
  <si>
    <t>VM_SOLVE</t>
  </si>
  <si>
    <t>Solve</t>
  </si>
  <si>
    <t>솔브</t>
  </si>
  <si>
    <t>VM_YH_CO</t>
  </si>
  <si>
    <t>YI-HWAN Industry co.</t>
  </si>
  <si>
    <t>이환산업</t>
  </si>
  <si>
    <t>VM_HYUNWOO</t>
  </si>
  <si>
    <t>HYUNWOO</t>
  </si>
  <si>
    <t>현우산업</t>
  </si>
  <si>
    <t>VM_TY_TRAY</t>
  </si>
  <si>
    <t>TAEYANG TRAY</t>
  </si>
  <si>
    <t>태양트레이</t>
  </si>
  <si>
    <t>VM_GT_INC</t>
  </si>
  <si>
    <t>GREENTECH INC.</t>
  </si>
  <si>
    <t>그린텍아이엔씨</t>
  </si>
  <si>
    <t>VM_HSCMT</t>
  </si>
  <si>
    <t>HSCMT</t>
  </si>
  <si>
    <t>에이치에스씨엠티</t>
  </si>
  <si>
    <t>VM_HANIL_ENV</t>
  </si>
  <si>
    <t>Hanil Environmental Tech.co.</t>
  </si>
  <si>
    <t>한일환경테크</t>
  </si>
  <si>
    <t>VM_WESS_GLOB</t>
  </si>
  <si>
    <t>WESS global</t>
  </si>
  <si>
    <t>웨스글로벌(주)</t>
  </si>
  <si>
    <t>VM_SUIN_TECH</t>
  </si>
  <si>
    <t>Suin Tech</t>
  </si>
  <si>
    <t>수인테크</t>
  </si>
  <si>
    <t>VM_ONLINE_INS</t>
  </si>
  <si>
    <t>Online-ins</t>
  </si>
  <si>
    <t>온라인인스트루먼트(주)</t>
  </si>
  <si>
    <t>VM_ECOMAC</t>
  </si>
  <si>
    <t>Ecomac</t>
  </si>
  <si>
    <t>에코맥</t>
  </si>
  <si>
    <t>VM_ECORBI</t>
  </si>
  <si>
    <t>H-CORBI</t>
  </si>
  <si>
    <t>에이치코비</t>
  </si>
  <si>
    <t>VM_EMERSON_KR</t>
  </si>
  <si>
    <t>Emerson KR</t>
  </si>
  <si>
    <t>에머슨 코리아</t>
  </si>
  <si>
    <t>VM_KENTMETERS</t>
  </si>
  <si>
    <t>Kent-meters KR</t>
  </si>
  <si>
    <t>한국켄트메타스</t>
  </si>
  <si>
    <t>VM_SMART_INS</t>
  </si>
  <si>
    <t>Smart Instrument</t>
  </si>
  <si>
    <t>스마트인스트루먼트</t>
  </si>
  <si>
    <t>VM_SEOYONG_ENG</t>
  </si>
  <si>
    <t>Seoyong Engineering co.</t>
  </si>
  <si>
    <t>서용엔지니어링</t>
  </si>
  <si>
    <t>VM_WINTEC_CORP</t>
  </si>
  <si>
    <t>WinTec</t>
  </si>
  <si>
    <t>윈텍</t>
  </si>
  <si>
    <t>VM_JAIN_TECH</t>
  </si>
  <si>
    <t>JAIN Tech</t>
  </si>
  <si>
    <t>자인테크놀로지</t>
  </si>
  <si>
    <t>VM_JINSUNG_ELC</t>
  </si>
  <si>
    <t>JINSUNG Electric</t>
  </si>
  <si>
    <t>진성산전(주)</t>
  </si>
  <si>
    <t>VM_HITROL_CO</t>
  </si>
  <si>
    <t>HITROL Co.</t>
  </si>
  <si>
    <t>하이트롤</t>
  </si>
  <si>
    <t>VM_GOLDENRULES_KR</t>
  </si>
  <si>
    <t>Golden Rules Korea</t>
  </si>
  <si>
    <t>골든룰</t>
  </si>
  <si>
    <t>VM_WATERMSYS</t>
  </si>
  <si>
    <t>Watermsys</t>
  </si>
  <si>
    <t>워터엠시스</t>
  </si>
  <si>
    <t>VM_GGK_CO</t>
  </si>
  <si>
    <t>GGK</t>
  </si>
  <si>
    <t>지지케이</t>
  </si>
  <si>
    <t>VM_SEUN_ENG</t>
  </si>
  <si>
    <t>Seun Engineering</t>
  </si>
  <si>
    <t>세운엔지니어링</t>
  </si>
  <si>
    <t>VM_BMT_INC</t>
  </si>
  <si>
    <t>Big Mountain Technology</t>
  </si>
  <si>
    <t>큰산기술(주)</t>
  </si>
  <si>
    <t>VM_HANWOOL_ENC</t>
  </si>
  <si>
    <t>Hanwool E&amp;C</t>
  </si>
  <si>
    <t>한울이앤씨(주)</t>
  </si>
  <si>
    <t>VM_DAEJIN_MACH</t>
  </si>
  <si>
    <t>DAEJIN Machinery</t>
  </si>
  <si>
    <t>대진기계</t>
  </si>
  <si>
    <t>VM_NANO_HITECH</t>
  </si>
  <si>
    <t>NONO Hi-Tech</t>
  </si>
  <si>
    <t>나노하이텍</t>
  </si>
  <si>
    <t>VM_GRUNDFOS_KR</t>
  </si>
  <si>
    <t>Grundfos Korea</t>
  </si>
  <si>
    <t>한국그런포스펌프㈜</t>
  </si>
  <si>
    <t>VM_SAMSAN_KR</t>
  </si>
  <si>
    <t>Samsan Korea</t>
  </si>
  <si>
    <t>삼산코리아㈜</t>
  </si>
  <si>
    <t>VM_JM_CORP</t>
  </si>
  <si>
    <t>KM Corporation</t>
  </si>
  <si>
    <t>제이엠코퍼레이션</t>
  </si>
  <si>
    <t>VM_MTTOLEDO_KR</t>
  </si>
  <si>
    <t>METTLER TOLEDO Korea</t>
  </si>
  <si>
    <t>METTLER TOLEDO 코리아</t>
  </si>
  <si>
    <t>VM_SEI_KI</t>
  </si>
  <si>
    <t>SEI-KI</t>
  </si>
  <si>
    <t>세기정밀</t>
  </si>
  <si>
    <t>VM_HANCHANG_HME</t>
  </si>
  <si>
    <t>HANCHANG</t>
  </si>
  <si>
    <t>한창기전주식회사</t>
  </si>
  <si>
    <t>VM_HORIBA_KR</t>
  </si>
  <si>
    <t>HORIBA Korea</t>
  </si>
  <si>
    <t>HORIBA 코리아</t>
  </si>
  <si>
    <t>VM_JMENB</t>
  </si>
  <si>
    <t>JMENB</t>
  </si>
  <si>
    <t>제이엠이엔비</t>
  </si>
  <si>
    <t>VM_SECHANG_INS</t>
  </si>
  <si>
    <t>SECHANG Ins</t>
  </si>
  <si>
    <t>세창 인스트루먼트㈜</t>
  </si>
  <si>
    <t>VM_BACKKWANG_IST</t>
  </si>
  <si>
    <t>BACKKWANG I.S.T</t>
  </si>
  <si>
    <t>백광아이에스티</t>
  </si>
  <si>
    <t>VM_FBG_KR</t>
  </si>
  <si>
    <t>FBG Korea</t>
  </si>
  <si>
    <t>에프비지코리아</t>
  </si>
  <si>
    <t>VM_BOB_KR</t>
  </si>
  <si>
    <t>BOB Korea</t>
  </si>
  <si>
    <t>밥코리아</t>
  </si>
  <si>
    <t>VM_OMEGA_ENG_KR</t>
  </si>
  <si>
    <t>OMEGA Engineering Korea</t>
  </si>
  <si>
    <t>OMEGA 엔지니어링 코리아</t>
  </si>
  <si>
    <t>VM_KOMETS</t>
  </si>
  <si>
    <t>KOMETS</t>
  </si>
  <si>
    <t>코메츠</t>
  </si>
  <si>
    <t>VM_YUYU_INS</t>
  </si>
  <si>
    <t>YUYU Instruments</t>
  </si>
  <si>
    <t>유유계기교역상사</t>
  </si>
  <si>
    <t>VM_SUPMEA_KR</t>
  </si>
  <si>
    <t>SUPMEA Korea</t>
  </si>
  <si>
    <t>SUPMEA 코리아</t>
  </si>
  <si>
    <t>VM_KOEM_SYS</t>
  </si>
  <si>
    <t>KO-EM SYSTEM</t>
  </si>
  <si>
    <t>코엠시스템</t>
  </si>
  <si>
    <t>VM_MS_HYODA</t>
  </si>
  <si>
    <t>Myungsung Hyoda</t>
  </si>
  <si>
    <t>명성효다계기㈜</t>
  </si>
  <si>
    <t>VM_SHUENCHARNG</t>
  </si>
  <si>
    <t>Chuen Charng Co.,Ltd</t>
  </si>
  <si>
    <t>Chuen Charng</t>
  </si>
  <si>
    <t>VM_SENSECA_DH</t>
  </si>
  <si>
    <t>SENSECA</t>
  </si>
  <si>
    <t>대현테크놀로지</t>
  </si>
  <si>
    <t>VM_ENDRESSHAUSER</t>
  </si>
  <si>
    <t xml:space="preserve">Endress+Hauser </t>
  </si>
  <si>
    <t>Endress+Hauser 코리아</t>
  </si>
  <si>
    <t>VM_SENSORO</t>
  </si>
  <si>
    <t>SENSORO</t>
  </si>
  <si>
    <t>센서로</t>
  </si>
  <si>
    <t>VM_HACH_KR</t>
  </si>
  <si>
    <t>Hach Korea, LLC</t>
  </si>
  <si>
    <t>하크코리아(유)</t>
  </si>
  <si>
    <t>장비코드</t>
  </si>
  <si>
    <t>장비유형</t>
  </si>
  <si>
    <t>공급업체명</t>
  </si>
  <si>
    <t>모델명</t>
  </si>
  <si>
    <t>최대 측정 범위 (m)</t>
    <phoneticPr fontId="1" type="noConversion"/>
  </si>
  <si>
    <t>보호등급</t>
  </si>
  <si>
    <t>센서재질</t>
  </si>
  <si>
    <t>단위</t>
  </si>
  <si>
    <t>단가(원)</t>
  </si>
  <si>
    <t>견적가(원)</t>
  </si>
  <si>
    <t>단가출처</t>
    <phoneticPr fontId="1" type="noConversion"/>
  </si>
  <si>
    <t>사용여부</t>
  </si>
  <si>
    <t xml:space="preserve">  품명</t>
  </si>
  <si>
    <t>규격</t>
  </si>
  <si>
    <t>장비설명</t>
  </si>
  <si>
    <t>단위시스템코드</t>
    <phoneticPr fontId="1" type="noConversion"/>
  </si>
  <si>
    <t>equipment_code</t>
    <phoneticPr fontId="1" type="noConversion"/>
  </si>
  <si>
    <t>작업용 필드</t>
    <phoneticPr fontId="1" type="noConversion"/>
  </si>
  <si>
    <t>equipment_type</t>
    <phoneticPr fontId="1" type="noConversion"/>
  </si>
  <si>
    <t>model_number</t>
  </si>
  <si>
    <t>i_meas_range_m</t>
    <phoneticPr fontId="1" type="noConversion"/>
  </si>
  <si>
    <t>s_ingress_protection_NONE</t>
  </si>
  <si>
    <t>s_sensor_material_NONE</t>
  </si>
  <si>
    <t>s_unit_NONE</t>
  </si>
  <si>
    <t>o_unit_price_KRW</t>
  </si>
  <si>
    <t>o_invoice_price_KRW</t>
  </si>
  <si>
    <t>o_price_reference</t>
    <phoneticPr fontId="1" type="noConversion"/>
  </si>
  <si>
    <t>is_active</t>
  </si>
  <si>
    <t>s_productnm_NONE</t>
  </si>
  <si>
    <t>s_easpecific_NONE</t>
  </si>
  <si>
    <t>unit_system_code</t>
    <phoneticPr fontId="1" type="noConversion"/>
  </si>
  <si>
    <t>LEV100-S</t>
  </si>
  <si>
    <t>EA</t>
  </si>
  <si>
    <t>물가자료25년9월호1401page</t>
    <phoneticPr fontId="1" type="noConversion"/>
  </si>
  <si>
    <t>초음파 수위계 (분리형) LEV100-S(싱글형) 15m</t>
    <phoneticPr fontId="1" type="noConversion"/>
  </si>
  <si>
    <t>HWP-200</t>
  </si>
  <si>
    <t>물가자료25년10월호861page</t>
  </si>
  <si>
    <t>레이다 수위 전송기 (케이블 몰딩 타입)</t>
  </si>
  <si>
    <t>HT-100F</t>
  </si>
  <si>
    <t>플로트식 수위전송기</t>
  </si>
  <si>
    <t>HQ-66</t>
  </si>
  <si>
    <t>오뚜기식 수위스위치 (2-접점)</t>
  </si>
  <si>
    <t>HR-30S</t>
  </si>
  <si>
    <t>플로트식 수위스위치 (2-접점), STS316L, TEFLON, PVC</t>
  </si>
  <si>
    <t>HE-5V</t>
  </si>
  <si>
    <t>전극식 수위스위치 (4-접점)</t>
  </si>
  <si>
    <t>모델명</t>
    <phoneticPr fontId="1" type="noConversion"/>
  </si>
  <si>
    <t>관경 (mm)</t>
    <phoneticPr fontId="1" type="noConversion"/>
  </si>
  <si>
    <t>라이닝재질</t>
  </si>
  <si>
    <t>단가출처</t>
  </si>
  <si>
    <t>단위시스템코드</t>
  </si>
  <si>
    <t>3D파일 유형명</t>
  </si>
  <si>
    <t>vendor_id</t>
    <phoneticPr fontId="1" type="noConversion"/>
  </si>
  <si>
    <t>model_number</t>
    <phoneticPr fontId="1" type="noConversion"/>
  </si>
  <si>
    <t>i_dia_mm</t>
    <phoneticPr fontId="1" type="noConversion"/>
  </si>
  <si>
    <t>s_lining_material_NONE</t>
  </si>
  <si>
    <t>o_price_reference</t>
  </si>
  <si>
    <t>unit_system_code</t>
  </si>
  <si>
    <t>EM1000/1100</t>
  </si>
  <si>
    <t>물가자료25년9월호862page</t>
    <phoneticPr fontId="1" type="noConversion"/>
  </si>
  <si>
    <t>전자유량계</t>
  </si>
  <si>
    <t>3A</t>
  </si>
  <si>
    <t>전자유량계 EM1000/1100</t>
    <phoneticPr fontId="1" type="noConversion"/>
  </si>
  <si>
    <t>5A</t>
  </si>
  <si>
    <t>10A</t>
  </si>
  <si>
    <t>전자식 유량계, 15A</t>
  </si>
  <si>
    <t>15A</t>
  </si>
  <si>
    <t>20A</t>
  </si>
  <si>
    <t>전자식 유량계, 25A</t>
  </si>
  <si>
    <t>25A</t>
  </si>
  <si>
    <t>전자식 유량계, 32A</t>
  </si>
  <si>
    <t>32A</t>
  </si>
  <si>
    <t>전자식 유량계, 40A</t>
  </si>
  <si>
    <t>40A</t>
  </si>
  <si>
    <t>전자식 유량계, 50A</t>
  </si>
  <si>
    <t>50A</t>
  </si>
  <si>
    <t>전자식 유량계, 65A</t>
  </si>
  <si>
    <t>65A</t>
  </si>
  <si>
    <t>전자식 유량계, 80A</t>
  </si>
  <si>
    <t>80A</t>
  </si>
  <si>
    <t>전자식 유량계, 100A</t>
  </si>
  <si>
    <t>100A</t>
  </si>
  <si>
    <t>전자식 유량계, 125A</t>
  </si>
  <si>
    <t>125A</t>
  </si>
  <si>
    <t>전자식 유량계, 150A</t>
  </si>
  <si>
    <t>150A</t>
  </si>
  <si>
    <t>전자식 유량계, 200A</t>
  </si>
  <si>
    <t>200A</t>
  </si>
  <si>
    <t>전자식 유량계, 250A</t>
  </si>
  <si>
    <t>250A</t>
  </si>
  <si>
    <t>전자식 유량계, 300A</t>
  </si>
  <si>
    <t>300A</t>
  </si>
  <si>
    <t>전자식 유량계, 350A</t>
  </si>
  <si>
    <t>350A</t>
  </si>
  <si>
    <t>전자식 유량계, 400A</t>
  </si>
  <si>
    <t>400A</t>
  </si>
  <si>
    <t>전자식 유량계, 450A</t>
  </si>
  <si>
    <t>450A</t>
  </si>
  <si>
    <t>전자식 유량계, 500A</t>
  </si>
  <si>
    <t>500A</t>
  </si>
  <si>
    <t>전자식 유량계, 600A</t>
  </si>
  <si>
    <t>600A</t>
  </si>
  <si>
    <t>전자식 유량계, 700A</t>
  </si>
  <si>
    <t>700A</t>
  </si>
  <si>
    <t>HFV-0100</t>
  </si>
  <si>
    <t>물가자료25년9월호861page</t>
  </si>
  <si>
    <t>차압유량계</t>
  </si>
  <si>
    <t>차압식 Venturi Cone Meter HFV-0100</t>
    <phoneticPr fontId="1" type="noConversion"/>
  </si>
  <si>
    <t>HFV-0200</t>
  </si>
  <si>
    <t>차압식 Venturi Cone Meter HFV-0200</t>
    <phoneticPr fontId="1" type="noConversion"/>
  </si>
  <si>
    <t>HFV-0250</t>
  </si>
  <si>
    <t>차압식 Venturi Cone Meter HFV-0250</t>
    <phoneticPr fontId="1" type="noConversion"/>
  </si>
  <si>
    <t>HFV-0300</t>
  </si>
  <si>
    <t>차압식 Venturi Cone Meter HFV-0300</t>
    <phoneticPr fontId="1" type="noConversion"/>
  </si>
  <si>
    <t>HFV-0400</t>
  </si>
  <si>
    <t>차압식 Venturi Cone Meter HFV-0400</t>
    <phoneticPr fontId="1" type="noConversion"/>
  </si>
  <si>
    <t>HFV-0500</t>
  </si>
  <si>
    <t>차압식 Venturi Cone Meter HFV-0500</t>
    <phoneticPr fontId="1" type="noConversion"/>
  </si>
  <si>
    <t>HFV-0600</t>
  </si>
  <si>
    <t>차압식 Venturi Cone Meter HFV-0600</t>
    <phoneticPr fontId="1" type="noConversion"/>
  </si>
  <si>
    <t>HFV-0700</t>
  </si>
  <si>
    <t>차압식 Venturi Cone Meter HFV-0700</t>
    <phoneticPr fontId="1" type="noConversion"/>
  </si>
  <si>
    <t>HFV-0800</t>
  </si>
  <si>
    <t>차압식 Venturi Cone Meter HFV-0800</t>
    <phoneticPr fontId="1" type="noConversion"/>
  </si>
  <si>
    <t>접액부재질</t>
  </si>
  <si>
    <t>s_wettedpart_material_NONE</t>
  </si>
  <si>
    <t>유리전극식 pH측정기</t>
    <phoneticPr fontId="1" type="noConversion"/>
  </si>
  <si>
    <t>nanoCHEM3000</t>
  </si>
  <si>
    <t>물가자료25년9월호 1040page</t>
    <phoneticPr fontId="1" type="noConversion"/>
  </si>
  <si>
    <t>유리복합전극 수소이온농도(pH) 측정기 nanoCHEM3000</t>
    <phoneticPr fontId="1" type="noConversion"/>
  </si>
  <si>
    <t>금속복합전극 산화전위차 (ORP) 측정기 nanoCHEM3000</t>
    <phoneticPr fontId="1" type="noConversion"/>
  </si>
  <si>
    <t>모델명 (품명)</t>
  </si>
  <si>
    <t>nanoCHEM9000</t>
  </si>
  <si>
    <t>물가자료25년9월호 862page</t>
  </si>
  <si>
    <t>용존산소계(DO) 수질계측기(현장설치용) nanoCHEM9000, 광학식</t>
  </si>
  <si>
    <t>최대 측정 압력 (bar)</t>
  </si>
  <si>
    <t>3D모델 유형명</t>
  </si>
  <si>
    <t>i_max_meas_press_bar</t>
    <phoneticPr fontId="1" type="noConversion"/>
  </si>
  <si>
    <t>물가자료25년9월호996page</t>
  </si>
  <si>
    <t>격막식압력계</t>
  </si>
  <si>
    <t>격막식압력계 2.5Mpa/탄탈륨</t>
    <phoneticPr fontId="1" type="noConversion"/>
  </si>
  <si>
    <t>pH계(온도)</t>
  </si>
  <si>
    <t>Pt 100 ohm, L=150mm</t>
  </si>
  <si>
    <t>NanoCHEM 7000</t>
  </si>
  <si>
    <t>물가자료25년9월호 1040page</t>
  </si>
  <si>
    <t>혼합부유물농도(MLSS)측정기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</si>
</sst>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rgb="FF215C9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FF0000"/>
      <name val="Arial"/>
      <family val="2"/>
    </font>
    <font>
      <sz val="10"/>
      <name val="맑은 고딕"/>
      <family val="3"/>
      <charset val="129"/>
    </font>
    <font>
      <b/>
      <sz val="11"/>
      <color theme="3" tint="0.249977111117893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3" fontId="2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0" fontId="2" fillId="7" borderId="0" xfId="0" applyFont="1" applyFill="1">
      <alignment vertical="center"/>
    </xf>
    <xf numFmtId="0" fontId="2" fillId="7" borderId="0" xfId="0" applyFont="1" applyFill="1" applyAlignment="1">
      <alignment vertical="center" wrapText="1"/>
    </xf>
    <xf numFmtId="0" fontId="3" fillId="7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10" fillId="8" borderId="3" xfId="0" applyFont="1" applyFill="1" applyBorder="1" applyAlignment="1">
      <alignment horizontal="center" vertical="center"/>
    </xf>
    <xf numFmtId="0" fontId="2" fillId="11" borderId="4" xfId="0" applyFont="1" applyFill="1" applyBorder="1">
      <alignment vertical="center"/>
    </xf>
    <xf numFmtId="0" fontId="2" fillId="10" borderId="4" xfId="0" applyFont="1" applyFill="1" applyBorder="1">
      <alignment vertical="center"/>
    </xf>
    <xf numFmtId="0" fontId="9" fillId="0" borderId="0" xfId="0" applyFont="1">
      <alignment vertical="center"/>
    </xf>
    <xf numFmtId="0" fontId="12" fillId="5" borderId="0" xfId="0" applyFont="1" applyFill="1">
      <alignment vertical="center"/>
    </xf>
    <xf numFmtId="0" fontId="13" fillId="0" borderId="0" xfId="0" applyFont="1">
      <alignment vertical="center"/>
    </xf>
    <xf numFmtId="0" fontId="9" fillId="6" borderId="0" xfId="0" applyFont="1" applyFill="1">
      <alignment vertical="center"/>
    </xf>
    <xf numFmtId="0" fontId="9" fillId="6" borderId="0" xfId="0" applyFont="1" applyFill="1" applyAlignment="1">
      <alignment vertical="center" wrapText="1"/>
    </xf>
    <xf numFmtId="0" fontId="14" fillId="6" borderId="0" xfId="0" applyFont="1" applyFill="1">
      <alignment vertical="center"/>
    </xf>
    <xf numFmtId="0" fontId="9" fillId="7" borderId="0" xfId="0" applyFont="1" applyFill="1">
      <alignment vertical="center"/>
    </xf>
    <xf numFmtId="0" fontId="9" fillId="7" borderId="0" xfId="0" applyFont="1" applyFill="1" applyAlignment="1">
      <alignment vertical="center" wrapText="1"/>
    </xf>
    <xf numFmtId="0" fontId="14" fillId="7" borderId="0" xfId="0" applyFont="1" applyFill="1">
      <alignment vertical="center"/>
    </xf>
    <xf numFmtId="0" fontId="14" fillId="0" borderId="0" xfId="0" applyFont="1">
      <alignment vertical="center"/>
    </xf>
    <xf numFmtId="0" fontId="9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5" fillId="0" borderId="0" xfId="0" applyFont="1">
      <alignment vertical="center"/>
    </xf>
    <xf numFmtId="0" fontId="9" fillId="12" borderId="0" xfId="0" applyFont="1" applyFill="1">
      <alignment vertical="center"/>
    </xf>
    <xf numFmtId="0" fontId="16" fillId="0" borderId="0" xfId="0" applyFont="1">
      <alignment vertical="center"/>
    </xf>
    <xf numFmtId="0" fontId="9" fillId="12" borderId="0" xfId="0" applyFont="1" applyFill="1" applyAlignment="1">
      <alignment vertical="center" wrapText="1"/>
    </xf>
    <xf numFmtId="0" fontId="14" fillId="12" borderId="0" xfId="0" applyFont="1" applyFill="1">
      <alignment vertical="center"/>
    </xf>
    <xf numFmtId="0" fontId="9" fillId="4" borderId="0" xfId="0" applyFont="1" applyFill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top"/>
    </xf>
    <xf numFmtId="0" fontId="10" fillId="10" borderId="5" xfId="0" applyFont="1" applyFill="1" applyBorder="1" applyAlignment="1">
      <alignment horizontal="center" vertical="top"/>
    </xf>
    <xf numFmtId="0" fontId="0" fillId="4" borderId="0" xfId="0" applyFill="1">
      <alignment vertical="center"/>
    </xf>
    <xf numFmtId="0" fontId="10" fillId="8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top"/>
    </xf>
    <xf numFmtId="0" fontId="17" fillId="1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2" fillId="4" borderId="0" xfId="0" applyFont="1" applyFill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17" fillId="13" borderId="1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top"/>
    </xf>
    <xf numFmtId="0" fontId="2" fillId="4" borderId="8" xfId="0" applyFont="1" applyFill="1" applyBorder="1">
      <alignment vertical="center"/>
    </xf>
    <xf numFmtId="0" fontId="0" fillId="0" borderId="8" xfId="0" applyBorder="1">
      <alignment vertical="center"/>
    </xf>
    <xf numFmtId="0" fontId="2" fillId="0" borderId="8" xfId="0" applyFont="1" applyBorder="1">
      <alignment vertical="center"/>
    </xf>
    <xf numFmtId="3" fontId="2" fillId="0" borderId="8" xfId="0" applyNumberFormat="1" applyFont="1" applyBorder="1">
      <alignment vertical="center"/>
    </xf>
    <xf numFmtId="14" fontId="2" fillId="0" borderId="8" xfId="0" applyNumberFormat="1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4" fillId="0" borderId="0" xfId="0" applyFont="1">
      <alignment vertical="center"/>
    </xf>
    <xf numFmtId="0" fontId="11" fillId="9" borderId="4" xfId="0" applyFont="1" applyFill="1" applyBorder="1" applyAlignment="1">
      <alignment horizontal="center" vertical="top"/>
    </xf>
    <xf numFmtId="0" fontId="10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14" borderId="0" xfId="0" applyFill="1">
      <alignment vertical="center"/>
    </xf>
    <xf numFmtId="0" fontId="0" fillId="1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98D6-1F49-4B8C-B5EA-BB99327A8B46}">
  <sheetPr>
    <tabColor theme="1" tint="0.499984740745262"/>
  </sheetPr>
  <dimension ref="B1:L47"/>
  <sheetViews>
    <sheetView zoomScale="85" zoomScaleNormal="85" workbookViewId="0">
      <selection activeCell="E56" sqref="E56"/>
    </sheetView>
  </sheetViews>
  <sheetFormatPr defaultRowHeight="16.5"/>
  <cols>
    <col min="2" max="2" width="19" customWidth="1"/>
    <col min="3" max="3" width="15.625" bestFit="1" customWidth="1"/>
    <col min="4" max="4" width="13.375" customWidth="1"/>
    <col min="5" max="5" width="14.75" customWidth="1"/>
    <col min="6" max="7" width="41.375" bestFit="1" customWidth="1"/>
  </cols>
  <sheetData>
    <row r="1" spans="2:12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</row>
    <row r="2" spans="2:12">
      <c r="B2" s="12" t="s">
        <v>11</v>
      </c>
      <c r="C2" s="13" t="s">
        <v>12</v>
      </c>
      <c r="D2" s="14" t="s">
        <v>13</v>
      </c>
      <c r="E2" s="15"/>
      <c r="F2" s="14" t="s">
        <v>14</v>
      </c>
      <c r="G2" s="14" t="s">
        <v>15</v>
      </c>
      <c r="H2" s="16">
        <v>1</v>
      </c>
      <c r="I2" s="16"/>
      <c r="J2" s="16">
        <v>1</v>
      </c>
      <c r="K2" s="15"/>
      <c r="L2" s="15"/>
    </row>
    <row r="3" spans="2:12">
      <c r="B3" s="17" t="s">
        <v>11</v>
      </c>
      <c r="C3" s="18" t="s">
        <v>16</v>
      </c>
      <c r="D3" s="17" t="s">
        <v>17</v>
      </c>
      <c r="E3" s="17" t="s">
        <v>13</v>
      </c>
      <c r="F3" s="17" t="s">
        <v>18</v>
      </c>
      <c r="G3" s="17" t="s">
        <v>19</v>
      </c>
      <c r="H3" s="17">
        <v>2</v>
      </c>
      <c r="I3" s="17"/>
      <c r="J3" s="17">
        <v>1</v>
      </c>
      <c r="K3" s="17"/>
      <c r="L3" s="19"/>
    </row>
    <row r="4" spans="2:12">
      <c r="B4" s="2" t="s">
        <v>11</v>
      </c>
      <c r="C4" s="2" t="s">
        <v>16</v>
      </c>
      <c r="D4" s="2" t="s">
        <v>20</v>
      </c>
      <c r="E4" s="2" t="s">
        <v>17</v>
      </c>
      <c r="F4" s="2" t="s">
        <v>21</v>
      </c>
      <c r="G4" s="2" t="s">
        <v>22</v>
      </c>
      <c r="H4" s="2">
        <v>3</v>
      </c>
      <c r="I4" s="2" t="s">
        <v>23</v>
      </c>
      <c r="J4" s="2">
        <v>1</v>
      </c>
      <c r="K4" s="2"/>
      <c r="L4" s="20"/>
    </row>
    <row r="5" spans="2:12">
      <c r="B5" s="2" t="s">
        <v>11</v>
      </c>
      <c r="C5" s="2" t="s">
        <v>16</v>
      </c>
      <c r="D5" s="2" t="s">
        <v>24</v>
      </c>
      <c r="E5" s="2" t="s">
        <v>17</v>
      </c>
      <c r="F5" s="2" t="s">
        <v>25</v>
      </c>
      <c r="G5" s="2" t="s">
        <v>25</v>
      </c>
      <c r="H5" s="2">
        <v>3</v>
      </c>
      <c r="I5" s="2" t="s">
        <v>23</v>
      </c>
      <c r="J5" s="2">
        <v>2</v>
      </c>
      <c r="K5" s="2"/>
      <c r="L5" s="2"/>
    </row>
    <row r="6" spans="2:12">
      <c r="B6" s="2" t="s">
        <v>11</v>
      </c>
      <c r="C6" s="2" t="s">
        <v>16</v>
      </c>
      <c r="D6" s="2" t="s">
        <v>26</v>
      </c>
      <c r="E6" s="2" t="s">
        <v>17</v>
      </c>
      <c r="F6" s="2" t="s">
        <v>27</v>
      </c>
      <c r="G6" s="2" t="s">
        <v>27</v>
      </c>
      <c r="H6" s="2">
        <v>3</v>
      </c>
      <c r="I6" s="2" t="s">
        <v>23</v>
      </c>
      <c r="J6" s="2">
        <v>3</v>
      </c>
      <c r="K6" s="2"/>
      <c r="L6" s="2"/>
    </row>
    <row r="7" spans="2:12">
      <c r="B7" s="2" t="s">
        <v>11</v>
      </c>
      <c r="C7" s="2" t="s">
        <v>16</v>
      </c>
      <c r="D7" s="2" t="s">
        <v>28</v>
      </c>
      <c r="E7" s="2" t="s">
        <v>17</v>
      </c>
      <c r="F7" s="2" t="s">
        <v>29</v>
      </c>
      <c r="G7" s="2" t="s">
        <v>29</v>
      </c>
      <c r="H7" s="2">
        <v>3</v>
      </c>
      <c r="I7" s="2" t="s">
        <v>23</v>
      </c>
      <c r="J7" s="2">
        <v>4</v>
      </c>
      <c r="K7" s="2"/>
      <c r="L7" s="2"/>
    </row>
    <row r="8" spans="2:12">
      <c r="B8" s="2" t="s">
        <v>11</v>
      </c>
      <c r="C8" s="2" t="s">
        <v>16</v>
      </c>
      <c r="D8" s="2" t="s">
        <v>30</v>
      </c>
      <c r="E8" s="2" t="s">
        <v>17</v>
      </c>
      <c r="F8" s="2" t="s">
        <v>31</v>
      </c>
      <c r="G8" s="2" t="s">
        <v>31</v>
      </c>
      <c r="H8" s="2">
        <v>3</v>
      </c>
      <c r="I8" s="2" t="s">
        <v>23</v>
      </c>
      <c r="J8" s="2">
        <v>5</v>
      </c>
      <c r="K8" s="2"/>
      <c r="L8" s="2"/>
    </row>
    <row r="9" spans="2:12">
      <c r="B9" s="2" t="s">
        <v>11</v>
      </c>
      <c r="C9" s="2" t="s">
        <v>16</v>
      </c>
      <c r="D9" s="2" t="s">
        <v>32</v>
      </c>
      <c r="E9" s="2" t="s">
        <v>17</v>
      </c>
      <c r="F9" s="2" t="s">
        <v>33</v>
      </c>
      <c r="G9" s="2" t="s">
        <v>33</v>
      </c>
      <c r="H9" s="2">
        <v>3</v>
      </c>
      <c r="I9" s="2" t="s">
        <v>23</v>
      </c>
      <c r="J9" s="2">
        <v>6</v>
      </c>
      <c r="K9" s="2"/>
      <c r="L9" s="2"/>
    </row>
    <row r="10" spans="2:12">
      <c r="B10" s="2" t="s">
        <v>11</v>
      </c>
      <c r="C10" s="2" t="s">
        <v>16</v>
      </c>
      <c r="D10" s="2" t="s">
        <v>34</v>
      </c>
      <c r="E10" s="2" t="s">
        <v>17</v>
      </c>
      <c r="F10" s="2" t="s">
        <v>35</v>
      </c>
      <c r="G10" s="2" t="s">
        <v>35</v>
      </c>
      <c r="H10" s="2">
        <v>3</v>
      </c>
      <c r="I10" s="2" t="s">
        <v>23</v>
      </c>
      <c r="J10" s="2">
        <v>7</v>
      </c>
      <c r="K10" s="2"/>
      <c r="L10" s="2"/>
    </row>
    <row r="11" spans="2:12">
      <c r="B11" s="17" t="s">
        <v>11</v>
      </c>
      <c r="C11" s="18" t="s">
        <v>36</v>
      </c>
      <c r="D11" s="17" t="s">
        <v>37</v>
      </c>
      <c r="E11" s="17" t="s">
        <v>13</v>
      </c>
      <c r="F11" s="17" t="s">
        <v>38</v>
      </c>
      <c r="G11" s="17" t="s">
        <v>39</v>
      </c>
      <c r="H11" s="17">
        <v>2</v>
      </c>
      <c r="I11" s="17"/>
      <c r="J11" s="17">
        <v>2</v>
      </c>
      <c r="K11" s="17"/>
      <c r="L11" s="19"/>
    </row>
    <row r="12" spans="2:12">
      <c r="B12" s="2" t="s">
        <v>11</v>
      </c>
      <c r="C12" s="2" t="s">
        <v>36</v>
      </c>
      <c r="D12" s="2" t="s">
        <v>40</v>
      </c>
      <c r="E12" s="2" t="s">
        <v>37</v>
      </c>
      <c r="F12" s="2" t="s">
        <v>41</v>
      </c>
      <c r="G12" s="2" t="s">
        <v>22</v>
      </c>
      <c r="H12" s="2">
        <v>3</v>
      </c>
      <c r="I12" s="2" t="s">
        <v>23</v>
      </c>
      <c r="J12" s="2">
        <v>1</v>
      </c>
      <c r="K12" s="2"/>
      <c r="L12" s="2"/>
    </row>
    <row r="13" spans="2:12">
      <c r="B13" s="2" t="s">
        <v>11</v>
      </c>
      <c r="C13" s="2" t="s">
        <v>36</v>
      </c>
      <c r="D13" s="2" t="s">
        <v>42</v>
      </c>
      <c r="E13" s="2" t="s">
        <v>37</v>
      </c>
      <c r="F13" s="2" t="s">
        <v>43</v>
      </c>
      <c r="G13" s="2" t="s">
        <v>43</v>
      </c>
      <c r="H13" s="2">
        <v>3</v>
      </c>
      <c r="I13" s="2" t="s">
        <v>23</v>
      </c>
      <c r="J13" s="2">
        <v>2</v>
      </c>
      <c r="K13" s="2"/>
      <c r="L13" s="2"/>
    </row>
    <row r="14" spans="2:12">
      <c r="B14" s="2" t="s">
        <v>11</v>
      </c>
      <c r="C14" s="2" t="s">
        <v>36</v>
      </c>
      <c r="D14" s="2" t="s">
        <v>44</v>
      </c>
      <c r="E14" s="2" t="s">
        <v>37</v>
      </c>
      <c r="F14" s="2" t="s">
        <v>45</v>
      </c>
      <c r="G14" s="2" t="s">
        <v>45</v>
      </c>
      <c r="H14" s="2">
        <v>3</v>
      </c>
      <c r="I14" s="2" t="s">
        <v>23</v>
      </c>
      <c r="J14" s="2">
        <v>3</v>
      </c>
      <c r="K14" s="2"/>
      <c r="L14" s="2"/>
    </row>
    <row r="15" spans="2:12">
      <c r="B15" s="2" t="s">
        <v>11</v>
      </c>
      <c r="C15" s="2" t="s">
        <v>36</v>
      </c>
      <c r="D15" s="2" t="s">
        <v>46</v>
      </c>
      <c r="E15" s="2" t="s">
        <v>37</v>
      </c>
      <c r="F15" s="2" t="s">
        <v>47</v>
      </c>
      <c r="G15" s="2" t="s">
        <v>47</v>
      </c>
      <c r="H15" s="2">
        <v>3</v>
      </c>
      <c r="I15" s="2" t="b">
        <v>0</v>
      </c>
      <c r="J15" s="2">
        <v>4</v>
      </c>
      <c r="K15" s="2"/>
      <c r="L15" s="2"/>
    </row>
    <row r="16" spans="2:12">
      <c r="B16" s="2" t="s">
        <v>11</v>
      </c>
      <c r="C16" s="2" t="s">
        <v>36</v>
      </c>
      <c r="D16" s="2" t="s">
        <v>48</v>
      </c>
      <c r="E16" s="2" t="s">
        <v>37</v>
      </c>
      <c r="F16" s="2" t="s">
        <v>49</v>
      </c>
      <c r="G16" s="2" t="s">
        <v>49</v>
      </c>
      <c r="H16" s="2">
        <v>3</v>
      </c>
      <c r="I16" s="2" t="b">
        <v>0</v>
      </c>
      <c r="J16" s="2">
        <v>5</v>
      </c>
      <c r="K16" s="2"/>
      <c r="L16" s="20"/>
    </row>
    <row r="17" spans="2:12">
      <c r="B17" s="2" t="s">
        <v>11</v>
      </c>
      <c r="C17" s="2" t="s">
        <v>36</v>
      </c>
      <c r="D17" s="2" t="s">
        <v>50</v>
      </c>
      <c r="E17" s="2" t="s">
        <v>37</v>
      </c>
      <c r="F17" s="2" t="s">
        <v>51</v>
      </c>
      <c r="G17" s="2" t="s">
        <v>51</v>
      </c>
      <c r="H17" s="2">
        <v>3</v>
      </c>
      <c r="I17" s="2" t="b">
        <v>0</v>
      </c>
      <c r="J17" s="2">
        <v>6</v>
      </c>
      <c r="K17" s="2"/>
      <c r="L17" s="2"/>
    </row>
    <row r="18" spans="2:12">
      <c r="B18" s="2" t="s">
        <v>11</v>
      </c>
      <c r="C18" s="2" t="s">
        <v>36</v>
      </c>
      <c r="D18" s="2" t="s">
        <v>52</v>
      </c>
      <c r="E18" s="2" t="s">
        <v>37</v>
      </c>
      <c r="F18" s="2" t="s">
        <v>53</v>
      </c>
      <c r="G18" s="2" t="s">
        <v>53</v>
      </c>
      <c r="H18" s="2">
        <v>3</v>
      </c>
      <c r="I18" s="2" t="s">
        <v>23</v>
      </c>
      <c r="J18" s="2">
        <v>7</v>
      </c>
      <c r="K18" s="2"/>
      <c r="L18" s="2"/>
    </row>
    <row r="19" spans="2:12">
      <c r="B19" s="17" t="s">
        <v>11</v>
      </c>
      <c r="C19" s="18" t="s">
        <v>54</v>
      </c>
      <c r="D19" s="17" t="s">
        <v>55</v>
      </c>
      <c r="E19" s="17" t="s">
        <v>13</v>
      </c>
      <c r="F19" s="17" t="s">
        <v>56</v>
      </c>
      <c r="G19" s="17" t="s">
        <v>57</v>
      </c>
      <c r="H19" s="17">
        <v>2</v>
      </c>
      <c r="I19" s="17"/>
      <c r="J19" s="17">
        <v>3</v>
      </c>
      <c r="K19" s="17"/>
      <c r="L19" s="19"/>
    </row>
    <row r="20" spans="2:12">
      <c r="B20" s="2" t="s">
        <v>11</v>
      </c>
      <c r="C20" s="2" t="s">
        <v>54</v>
      </c>
      <c r="D20" s="2" t="s">
        <v>58</v>
      </c>
      <c r="E20" s="2" t="s">
        <v>55</v>
      </c>
      <c r="F20" s="2" t="s">
        <v>59</v>
      </c>
      <c r="G20" s="2" t="s">
        <v>22</v>
      </c>
      <c r="H20" s="2">
        <v>3</v>
      </c>
      <c r="I20" s="2" t="s">
        <v>23</v>
      </c>
      <c r="J20" s="2">
        <v>1</v>
      </c>
      <c r="K20" s="2"/>
      <c r="L20" s="20"/>
    </row>
    <row r="21" spans="2:12">
      <c r="B21" s="2" t="s">
        <v>11</v>
      </c>
      <c r="C21" s="2" t="s">
        <v>54</v>
      </c>
      <c r="D21" s="2" t="s">
        <v>60</v>
      </c>
      <c r="E21" s="2" t="s">
        <v>55</v>
      </c>
      <c r="F21" s="2" t="s">
        <v>61</v>
      </c>
      <c r="G21" s="2" t="s">
        <v>61</v>
      </c>
      <c r="H21" s="2">
        <v>3</v>
      </c>
      <c r="I21" s="2" t="s">
        <v>23</v>
      </c>
      <c r="J21" s="2">
        <v>2</v>
      </c>
      <c r="K21" s="2"/>
      <c r="L21" s="2"/>
    </row>
    <row r="22" spans="2:12">
      <c r="B22" s="2" t="s">
        <v>11</v>
      </c>
      <c r="C22" s="2" t="s">
        <v>54</v>
      </c>
      <c r="D22" s="2" t="s">
        <v>62</v>
      </c>
      <c r="E22" s="2" t="s">
        <v>55</v>
      </c>
      <c r="F22" s="2" t="s">
        <v>63</v>
      </c>
      <c r="G22" s="2" t="s">
        <v>63</v>
      </c>
      <c r="H22" s="2">
        <v>3</v>
      </c>
      <c r="I22" s="2" t="b">
        <v>0</v>
      </c>
      <c r="J22" s="2">
        <v>3</v>
      </c>
      <c r="K22" s="2"/>
      <c r="L22" s="2"/>
    </row>
    <row r="23" spans="2:12">
      <c r="B23" s="17" t="s">
        <v>11</v>
      </c>
      <c r="C23" s="18" t="s">
        <v>64</v>
      </c>
      <c r="D23" s="17" t="s">
        <v>65</v>
      </c>
      <c r="E23" s="17" t="s">
        <v>13</v>
      </c>
      <c r="F23" s="17" t="s">
        <v>66</v>
      </c>
      <c r="G23" s="17" t="s">
        <v>67</v>
      </c>
      <c r="H23" s="17">
        <v>2</v>
      </c>
      <c r="I23" s="17"/>
      <c r="J23" s="17">
        <v>4</v>
      </c>
      <c r="K23" s="17"/>
      <c r="L23" s="19"/>
    </row>
    <row r="24" spans="2:12">
      <c r="B24" s="2" t="s">
        <v>11</v>
      </c>
      <c r="C24" s="21" t="s">
        <v>64</v>
      </c>
      <c r="D24" s="2" t="s">
        <v>68</v>
      </c>
      <c r="E24" s="2" t="s">
        <v>65</v>
      </c>
      <c r="F24" s="2" t="s">
        <v>69</v>
      </c>
      <c r="G24" s="2" t="s">
        <v>22</v>
      </c>
      <c r="H24" s="2">
        <v>3</v>
      </c>
      <c r="I24" s="2" t="s">
        <v>23</v>
      </c>
      <c r="J24" s="2">
        <v>1</v>
      </c>
      <c r="K24" s="2"/>
      <c r="L24" s="20"/>
    </row>
    <row r="25" spans="2:12">
      <c r="B25" s="2" t="s">
        <v>11</v>
      </c>
      <c r="C25" s="21" t="s">
        <v>64</v>
      </c>
      <c r="D25" s="2" t="s">
        <v>70</v>
      </c>
      <c r="E25" s="2" t="s">
        <v>65</v>
      </c>
      <c r="F25" s="2" t="s">
        <v>71</v>
      </c>
      <c r="G25" s="2" t="s">
        <v>71</v>
      </c>
      <c r="H25" s="2">
        <v>3</v>
      </c>
      <c r="I25" s="2" t="s">
        <v>23</v>
      </c>
      <c r="J25" s="2">
        <v>2</v>
      </c>
      <c r="K25" s="2"/>
      <c r="L25" s="20"/>
    </row>
    <row r="26" spans="2:12">
      <c r="B26" s="2" t="s">
        <v>11</v>
      </c>
      <c r="C26" s="21" t="s">
        <v>64</v>
      </c>
      <c r="D26" s="2" t="s">
        <v>72</v>
      </c>
      <c r="E26" s="2" t="s">
        <v>65</v>
      </c>
      <c r="F26" s="2" t="s">
        <v>73</v>
      </c>
      <c r="G26" s="2" t="s">
        <v>73</v>
      </c>
      <c r="H26" s="2">
        <v>3</v>
      </c>
      <c r="I26" s="2" t="s">
        <v>23</v>
      </c>
      <c r="J26" s="2">
        <v>3</v>
      </c>
      <c r="K26" s="2"/>
      <c r="L26" s="20"/>
    </row>
    <row r="27" spans="2:12">
      <c r="B27" s="17" t="s">
        <v>11</v>
      </c>
      <c r="C27" s="18" t="s">
        <v>74</v>
      </c>
      <c r="D27" s="17" t="s">
        <v>75</v>
      </c>
      <c r="E27" s="17" t="s">
        <v>13</v>
      </c>
      <c r="F27" s="17" t="s">
        <v>76</v>
      </c>
      <c r="G27" s="17" t="s">
        <v>77</v>
      </c>
      <c r="H27" s="17">
        <v>2</v>
      </c>
      <c r="I27" s="17"/>
      <c r="J27" s="17">
        <v>5</v>
      </c>
      <c r="K27" s="17"/>
      <c r="L27" s="19"/>
    </row>
    <row r="28" spans="2:12">
      <c r="B28" s="2" t="s">
        <v>11</v>
      </c>
      <c r="C28" s="21" t="s">
        <v>74</v>
      </c>
      <c r="D28" s="2" t="s">
        <v>78</v>
      </c>
      <c r="E28" s="2" t="s">
        <v>75</v>
      </c>
      <c r="F28" s="2" t="s">
        <v>79</v>
      </c>
      <c r="G28" s="2" t="s">
        <v>22</v>
      </c>
      <c r="H28" s="2">
        <v>3</v>
      </c>
      <c r="I28" s="2" t="s">
        <v>23</v>
      </c>
      <c r="J28" s="2">
        <v>1</v>
      </c>
      <c r="K28" s="2"/>
      <c r="L28" s="20"/>
    </row>
    <row r="29" spans="2:12">
      <c r="B29" s="2" t="s">
        <v>11</v>
      </c>
      <c r="C29" s="21" t="s">
        <v>74</v>
      </c>
      <c r="D29" s="2" t="s">
        <v>80</v>
      </c>
      <c r="E29" s="2" t="s">
        <v>75</v>
      </c>
      <c r="F29" s="2" t="s">
        <v>81</v>
      </c>
      <c r="G29" s="2" t="s">
        <v>81</v>
      </c>
      <c r="H29" s="2">
        <v>3</v>
      </c>
      <c r="I29" s="2" t="s">
        <v>23</v>
      </c>
      <c r="J29" s="2">
        <v>2</v>
      </c>
      <c r="K29" s="2"/>
      <c r="L29" s="20"/>
    </row>
    <row r="30" spans="2:12">
      <c r="B30" s="2" t="s">
        <v>11</v>
      </c>
      <c r="C30" s="21" t="s">
        <v>74</v>
      </c>
      <c r="D30" s="2" t="s">
        <v>82</v>
      </c>
      <c r="E30" s="2" t="s">
        <v>75</v>
      </c>
      <c r="F30" s="2" t="s">
        <v>83</v>
      </c>
      <c r="G30" s="2" t="s">
        <v>83</v>
      </c>
      <c r="H30" s="2">
        <v>3</v>
      </c>
      <c r="I30" s="2" t="b">
        <v>0</v>
      </c>
      <c r="J30" s="2">
        <v>3</v>
      </c>
      <c r="K30" s="2"/>
      <c r="L30" s="20"/>
    </row>
    <row r="31" spans="2:12">
      <c r="B31" s="2" t="s">
        <v>11</v>
      </c>
      <c r="C31" s="21" t="s">
        <v>74</v>
      </c>
      <c r="D31" s="2" t="s">
        <v>84</v>
      </c>
      <c r="E31" s="2" t="s">
        <v>75</v>
      </c>
      <c r="F31" s="2" t="s">
        <v>85</v>
      </c>
      <c r="G31" s="2" t="s">
        <v>85</v>
      </c>
      <c r="H31" s="2">
        <v>3</v>
      </c>
      <c r="I31" s="2" t="s">
        <v>23</v>
      </c>
      <c r="J31" s="2">
        <v>4</v>
      </c>
      <c r="K31" s="2"/>
      <c r="L31" s="20"/>
    </row>
    <row r="32" spans="2:12">
      <c r="B32" s="17" t="s">
        <v>11</v>
      </c>
      <c r="C32" s="18" t="s">
        <v>86</v>
      </c>
      <c r="D32" s="17" t="s">
        <v>87</v>
      </c>
      <c r="E32" s="17" t="s">
        <v>13</v>
      </c>
      <c r="F32" s="17" t="s">
        <v>88</v>
      </c>
      <c r="G32" s="17" t="s">
        <v>89</v>
      </c>
      <c r="H32" s="17">
        <v>2</v>
      </c>
      <c r="I32" s="17"/>
      <c r="J32" s="17">
        <v>6</v>
      </c>
      <c r="K32" s="17"/>
      <c r="L32" s="19"/>
    </row>
    <row r="33" spans="2:12">
      <c r="B33" s="2" t="s">
        <v>11</v>
      </c>
      <c r="C33" s="2" t="s">
        <v>86</v>
      </c>
      <c r="D33" s="2" t="s">
        <v>90</v>
      </c>
      <c r="E33" s="2" t="s">
        <v>87</v>
      </c>
      <c r="F33" s="2" t="s">
        <v>91</v>
      </c>
      <c r="G33" s="2" t="s">
        <v>22</v>
      </c>
      <c r="H33" s="2">
        <v>3</v>
      </c>
      <c r="I33" s="2" t="s">
        <v>23</v>
      </c>
      <c r="J33" s="2">
        <v>1</v>
      </c>
      <c r="K33" s="2"/>
      <c r="L33" s="20"/>
    </row>
    <row r="34" spans="2:12">
      <c r="B34" s="2" t="s">
        <v>11</v>
      </c>
      <c r="C34" s="2" t="s">
        <v>86</v>
      </c>
      <c r="D34" s="2" t="s">
        <v>92</v>
      </c>
      <c r="E34" s="2" t="s">
        <v>87</v>
      </c>
      <c r="F34" s="2" t="s">
        <v>93</v>
      </c>
      <c r="G34" s="2" t="s">
        <v>93</v>
      </c>
      <c r="H34" s="2">
        <v>3</v>
      </c>
      <c r="I34" s="2" t="b">
        <v>0</v>
      </c>
      <c r="J34" s="2">
        <v>2</v>
      </c>
      <c r="K34" s="2"/>
      <c r="L34" s="20"/>
    </row>
    <row r="35" spans="2:12">
      <c r="B35" s="2" t="s">
        <v>11</v>
      </c>
      <c r="C35" s="2" t="s">
        <v>86</v>
      </c>
      <c r="D35" s="2" t="s">
        <v>94</v>
      </c>
      <c r="E35" s="2" t="s">
        <v>87</v>
      </c>
      <c r="F35" s="2" t="s">
        <v>95</v>
      </c>
      <c r="G35" s="2" t="s">
        <v>95</v>
      </c>
      <c r="H35" s="2">
        <v>3</v>
      </c>
      <c r="I35" s="2" t="s">
        <v>23</v>
      </c>
      <c r="J35" s="2">
        <v>3</v>
      </c>
      <c r="K35" s="2"/>
      <c r="L35" s="20"/>
    </row>
    <row r="36" spans="2:12">
      <c r="B36" s="2" t="s">
        <v>11</v>
      </c>
      <c r="C36" s="2" t="s">
        <v>86</v>
      </c>
      <c r="D36" s="2" t="s">
        <v>96</v>
      </c>
      <c r="E36" s="2" t="s">
        <v>87</v>
      </c>
      <c r="F36" s="2" t="s">
        <v>97</v>
      </c>
      <c r="G36" s="2" t="s">
        <v>97</v>
      </c>
      <c r="H36" s="2">
        <v>3</v>
      </c>
      <c r="I36" s="2" t="b">
        <v>0</v>
      </c>
      <c r="J36" s="2">
        <v>4</v>
      </c>
      <c r="K36" s="2"/>
      <c r="L36" s="2"/>
    </row>
    <row r="37" spans="2:12">
      <c r="B37" s="2" t="s">
        <v>11</v>
      </c>
      <c r="C37" s="2" t="s">
        <v>86</v>
      </c>
      <c r="D37" s="2" t="s">
        <v>98</v>
      </c>
      <c r="E37" s="2" t="s">
        <v>87</v>
      </c>
      <c r="F37" s="2" t="s">
        <v>99</v>
      </c>
      <c r="G37" s="2" t="s">
        <v>99</v>
      </c>
      <c r="H37" s="2">
        <v>3</v>
      </c>
      <c r="I37" s="2" t="b">
        <v>0</v>
      </c>
      <c r="J37" s="2">
        <v>5</v>
      </c>
      <c r="K37" s="2"/>
      <c r="L37" s="2"/>
    </row>
    <row r="38" spans="2:12">
      <c r="B38" s="2" t="s">
        <v>11</v>
      </c>
      <c r="C38" s="2" t="s">
        <v>86</v>
      </c>
      <c r="D38" s="2" t="s">
        <v>100</v>
      </c>
      <c r="E38" s="2" t="s">
        <v>87</v>
      </c>
      <c r="F38" s="2" t="s">
        <v>101</v>
      </c>
      <c r="G38" s="2" t="s">
        <v>101</v>
      </c>
      <c r="H38" s="2">
        <v>3</v>
      </c>
      <c r="I38" s="2" t="b">
        <v>0</v>
      </c>
      <c r="J38" s="2">
        <v>6</v>
      </c>
      <c r="K38" s="2"/>
      <c r="L38" s="2"/>
    </row>
    <row r="39" spans="2:12">
      <c r="B39" s="17" t="s">
        <v>11</v>
      </c>
      <c r="C39" s="19" t="s">
        <v>102</v>
      </c>
      <c r="D39" s="19" t="s">
        <v>103</v>
      </c>
      <c r="E39" s="17" t="s">
        <v>13</v>
      </c>
      <c r="F39" s="19" t="s">
        <v>104</v>
      </c>
      <c r="G39" s="19" t="s">
        <v>105</v>
      </c>
      <c r="H39" s="19">
        <v>2</v>
      </c>
      <c r="I39" s="19"/>
      <c r="J39" s="19">
        <v>7</v>
      </c>
      <c r="K39" s="19"/>
      <c r="L39" s="19"/>
    </row>
    <row r="40" spans="2:12">
      <c r="B40" s="2" t="s">
        <v>11</v>
      </c>
      <c r="C40" s="20" t="s">
        <v>106</v>
      </c>
      <c r="D40" s="20" t="s">
        <v>107</v>
      </c>
      <c r="E40" s="20" t="s">
        <v>103</v>
      </c>
      <c r="F40" s="2" t="s">
        <v>108</v>
      </c>
      <c r="G40" s="2" t="s">
        <v>22</v>
      </c>
      <c r="H40" s="20">
        <v>3</v>
      </c>
      <c r="I40" s="2" t="s">
        <v>23</v>
      </c>
      <c r="J40" s="20">
        <v>1</v>
      </c>
      <c r="K40" s="20"/>
      <c r="L40" s="20"/>
    </row>
    <row r="41" spans="2:12">
      <c r="B41" s="2" t="s">
        <v>11</v>
      </c>
      <c r="C41" s="20" t="s">
        <v>106</v>
      </c>
      <c r="D41" s="20" t="s">
        <v>109</v>
      </c>
      <c r="E41" s="20" t="s">
        <v>103</v>
      </c>
      <c r="F41" s="2" t="s">
        <v>110</v>
      </c>
      <c r="G41" s="2" t="s">
        <v>110</v>
      </c>
      <c r="H41" s="20">
        <v>3</v>
      </c>
      <c r="I41" s="2" t="s">
        <v>23</v>
      </c>
      <c r="J41" s="20">
        <v>2</v>
      </c>
      <c r="K41" s="20"/>
      <c r="L41" s="20"/>
    </row>
    <row r="42" spans="2:12">
      <c r="B42" s="2" t="s">
        <v>11</v>
      </c>
      <c r="C42" s="20" t="s">
        <v>106</v>
      </c>
      <c r="D42" s="20" t="s">
        <v>111</v>
      </c>
      <c r="E42" s="20" t="s">
        <v>103</v>
      </c>
      <c r="F42" s="2" t="s">
        <v>112</v>
      </c>
      <c r="G42" s="2" t="s">
        <v>112</v>
      </c>
      <c r="H42" s="20">
        <v>3</v>
      </c>
      <c r="I42" s="2" t="b">
        <v>0</v>
      </c>
      <c r="J42" s="20">
        <v>3</v>
      </c>
      <c r="K42" s="20"/>
      <c r="L42" s="20"/>
    </row>
    <row r="43" spans="2:12">
      <c r="B43" s="2" t="s">
        <v>11</v>
      </c>
      <c r="C43" s="20" t="s">
        <v>106</v>
      </c>
      <c r="D43" s="20" t="s">
        <v>113</v>
      </c>
      <c r="E43" s="20" t="s">
        <v>103</v>
      </c>
      <c r="F43" s="2" t="s">
        <v>114</v>
      </c>
      <c r="G43" s="2" t="s">
        <v>114</v>
      </c>
      <c r="H43" s="20">
        <v>3</v>
      </c>
      <c r="I43" s="2" t="b">
        <v>0</v>
      </c>
      <c r="J43" s="20">
        <v>4</v>
      </c>
      <c r="K43" s="20"/>
      <c r="L43" s="20"/>
    </row>
    <row r="44" spans="2:12">
      <c r="B44" s="2" t="s">
        <v>11</v>
      </c>
      <c r="C44" s="20" t="s">
        <v>106</v>
      </c>
      <c r="D44" s="20" t="s">
        <v>115</v>
      </c>
      <c r="E44" s="20" t="s">
        <v>103</v>
      </c>
      <c r="F44" s="2" t="s">
        <v>116</v>
      </c>
      <c r="G44" s="2" t="s">
        <v>116</v>
      </c>
      <c r="H44" s="20">
        <v>3</v>
      </c>
      <c r="I44" s="2" t="b">
        <v>0</v>
      </c>
      <c r="J44" s="20">
        <v>5</v>
      </c>
      <c r="K44" s="20"/>
      <c r="L44" s="20"/>
    </row>
    <row r="45" spans="2:12">
      <c r="B45" s="17" t="s">
        <v>11</v>
      </c>
      <c r="C45" s="19" t="s">
        <v>117</v>
      </c>
      <c r="D45" s="19" t="s">
        <v>118</v>
      </c>
      <c r="E45" s="17" t="s">
        <v>13</v>
      </c>
      <c r="F45" s="19" t="s">
        <v>119</v>
      </c>
      <c r="G45" s="19" t="s">
        <v>120</v>
      </c>
      <c r="H45" s="19">
        <v>2</v>
      </c>
      <c r="I45" s="19"/>
      <c r="J45" s="19">
        <v>8</v>
      </c>
      <c r="K45" s="19"/>
      <c r="L45" s="19"/>
    </row>
    <row r="46" spans="2:12">
      <c r="B46" s="2" t="s">
        <v>11</v>
      </c>
      <c r="C46" s="20" t="s">
        <v>117</v>
      </c>
      <c r="D46" s="20" t="s">
        <v>121</v>
      </c>
      <c r="E46" s="20" t="s">
        <v>118</v>
      </c>
      <c r="F46" s="2" t="s">
        <v>122</v>
      </c>
      <c r="G46" s="2" t="s">
        <v>22</v>
      </c>
      <c r="H46" s="20">
        <v>3</v>
      </c>
      <c r="I46" s="2" t="s">
        <v>23</v>
      </c>
      <c r="J46" s="20">
        <v>1</v>
      </c>
      <c r="K46" s="20"/>
      <c r="L46" s="20"/>
    </row>
    <row r="47" spans="2:12">
      <c r="B47" s="2" t="s">
        <v>11</v>
      </c>
      <c r="C47" s="20" t="s">
        <v>117</v>
      </c>
      <c r="D47" s="20" t="s">
        <v>123</v>
      </c>
      <c r="E47" s="20" t="s">
        <v>118</v>
      </c>
      <c r="F47" s="2" t="s">
        <v>124</v>
      </c>
      <c r="G47" s="2" t="s">
        <v>124</v>
      </c>
      <c r="H47" s="20">
        <v>3</v>
      </c>
      <c r="I47" s="2" t="s">
        <v>23</v>
      </c>
      <c r="J47" s="20">
        <v>2</v>
      </c>
      <c r="K47" s="20"/>
      <c r="L47" s="2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AD95-A2C3-4EAF-9E30-C267BD4AC843}">
  <sheetPr>
    <tabColor theme="1" tint="0.499984740745262"/>
  </sheetPr>
  <dimension ref="A1:N55"/>
  <sheetViews>
    <sheetView workbookViewId="0">
      <selection activeCell="D46" sqref="D46"/>
    </sheetView>
  </sheetViews>
  <sheetFormatPr defaultRowHeight="16.5"/>
  <cols>
    <col min="2" max="2" width="17.75" customWidth="1"/>
    <col min="3" max="3" width="22.75" customWidth="1"/>
    <col min="4" max="4" width="20" customWidth="1"/>
    <col min="5" max="5" width="19.125" customWidth="1"/>
    <col min="6" max="6" width="35.125" customWidth="1"/>
    <col min="7" max="7" width="41.875" customWidth="1"/>
    <col min="8" max="8" width="11" bestFit="1" customWidth="1"/>
    <col min="9" max="9" width="7.75" customWidth="1"/>
    <col min="10" max="10" width="10.375" customWidth="1"/>
    <col min="12" max="12" width="42.375" customWidth="1"/>
  </cols>
  <sheetData>
    <row r="1" spans="1:14">
      <c r="A1" s="27"/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9"/>
    </row>
    <row r="2" spans="1:14">
      <c r="A2" s="27"/>
      <c r="B2" s="30" t="s">
        <v>11</v>
      </c>
      <c r="C2" s="31" t="s">
        <v>125</v>
      </c>
      <c r="D2" s="30" t="s">
        <v>126</v>
      </c>
      <c r="E2" s="30" t="s">
        <v>127</v>
      </c>
      <c r="F2" s="30" t="s">
        <v>128</v>
      </c>
      <c r="G2" s="30" t="s">
        <v>129</v>
      </c>
      <c r="H2" s="30">
        <v>1</v>
      </c>
      <c r="I2" s="30" t="s">
        <v>127</v>
      </c>
      <c r="J2" s="30">
        <v>1</v>
      </c>
      <c r="K2" s="30" t="s">
        <v>127</v>
      </c>
      <c r="L2" s="32" t="s">
        <v>127</v>
      </c>
      <c r="M2" s="29"/>
    </row>
    <row r="3" spans="1:14">
      <c r="A3" s="27"/>
      <c r="B3" s="33" t="s">
        <v>11</v>
      </c>
      <c r="C3" s="34" t="s">
        <v>130</v>
      </c>
      <c r="D3" s="33" t="s">
        <v>131</v>
      </c>
      <c r="E3" s="33" t="s">
        <v>126</v>
      </c>
      <c r="F3" s="33" t="s">
        <v>132</v>
      </c>
      <c r="G3" s="33" t="s">
        <v>133</v>
      </c>
      <c r="H3" s="33">
        <v>2</v>
      </c>
      <c r="I3" s="33"/>
      <c r="J3" s="33">
        <v>1</v>
      </c>
      <c r="K3" s="33" t="s">
        <v>127</v>
      </c>
      <c r="L3" s="35" t="s">
        <v>134</v>
      </c>
      <c r="M3" s="29" t="s">
        <v>135</v>
      </c>
      <c r="N3" s="27" t="s">
        <v>136</v>
      </c>
    </row>
    <row r="4" spans="1:14" ht="18" customHeight="1">
      <c r="A4" s="27"/>
      <c r="B4" s="33" t="s">
        <v>11</v>
      </c>
      <c r="C4" s="34" t="s">
        <v>137</v>
      </c>
      <c r="D4" s="33" t="s">
        <v>138</v>
      </c>
      <c r="E4" s="33" t="s">
        <v>126</v>
      </c>
      <c r="F4" s="33" t="s">
        <v>139</v>
      </c>
      <c r="G4" s="33" t="s">
        <v>140</v>
      </c>
      <c r="H4" s="33">
        <v>2</v>
      </c>
      <c r="I4" s="33" t="s">
        <v>127</v>
      </c>
      <c r="J4" s="33">
        <v>2</v>
      </c>
      <c r="K4" s="33" t="s">
        <v>127</v>
      </c>
      <c r="L4" s="35" t="s">
        <v>141</v>
      </c>
    </row>
    <row r="5" spans="1:14">
      <c r="A5" s="36"/>
      <c r="B5" s="37" t="s">
        <v>11</v>
      </c>
      <c r="C5" s="37" t="s">
        <v>137</v>
      </c>
      <c r="D5" s="37" t="s">
        <v>142</v>
      </c>
      <c r="E5" s="40" t="s">
        <v>138</v>
      </c>
      <c r="F5" s="37" t="s">
        <v>143</v>
      </c>
      <c r="G5" s="37" t="s">
        <v>144</v>
      </c>
      <c r="H5" s="37">
        <v>3</v>
      </c>
      <c r="I5" s="37" t="s">
        <v>127</v>
      </c>
      <c r="J5" s="37">
        <v>1</v>
      </c>
      <c r="K5" s="37" t="s">
        <v>127</v>
      </c>
      <c r="L5" s="37" t="s">
        <v>145</v>
      </c>
      <c r="M5" s="29"/>
    </row>
    <row r="6" spans="1:14">
      <c r="A6" s="36"/>
      <c r="B6" s="27" t="s">
        <v>11</v>
      </c>
      <c r="C6" s="27" t="s">
        <v>137</v>
      </c>
      <c r="D6" s="27" t="s">
        <v>146</v>
      </c>
      <c r="E6" s="27" t="s">
        <v>142</v>
      </c>
      <c r="F6" s="27" t="s">
        <v>146</v>
      </c>
      <c r="G6" s="27" t="s">
        <v>146</v>
      </c>
      <c r="H6" s="27">
        <v>4</v>
      </c>
      <c r="I6" s="27" t="b">
        <v>1</v>
      </c>
      <c r="J6" s="27">
        <v>1</v>
      </c>
      <c r="K6" s="27"/>
      <c r="L6" s="36" t="s">
        <v>147</v>
      </c>
      <c r="M6" s="29" t="s">
        <v>148</v>
      </c>
    </row>
    <row r="7" spans="1:14">
      <c r="A7" s="36"/>
      <c r="B7" s="37" t="s">
        <v>11</v>
      </c>
      <c r="C7" s="37" t="s">
        <v>137</v>
      </c>
      <c r="D7" s="37" t="s">
        <v>149</v>
      </c>
      <c r="E7" s="40" t="s">
        <v>138</v>
      </c>
      <c r="F7" s="37" t="s">
        <v>150</v>
      </c>
      <c r="G7" s="37" t="s">
        <v>151</v>
      </c>
      <c r="H7" s="37">
        <v>3</v>
      </c>
      <c r="I7" s="37" t="s">
        <v>127</v>
      </c>
      <c r="J7" s="37">
        <v>2</v>
      </c>
      <c r="K7" s="37" t="s">
        <v>127</v>
      </c>
      <c r="L7" s="37" t="s">
        <v>152</v>
      </c>
      <c r="M7" s="29"/>
    </row>
    <row r="8" spans="1:14">
      <c r="A8" s="36"/>
      <c r="B8" s="27" t="s">
        <v>11</v>
      </c>
      <c r="C8" s="27" t="s">
        <v>137</v>
      </c>
      <c r="D8" s="27" t="s">
        <v>153</v>
      </c>
      <c r="E8" s="27" t="s">
        <v>149</v>
      </c>
      <c r="F8" s="27" t="s">
        <v>153</v>
      </c>
      <c r="G8" s="27" t="s">
        <v>153</v>
      </c>
      <c r="H8" s="27">
        <v>4</v>
      </c>
      <c r="I8" s="27" t="b">
        <v>1</v>
      </c>
      <c r="J8" s="27">
        <v>1</v>
      </c>
      <c r="K8" s="27"/>
      <c r="L8" s="36" t="s">
        <v>154</v>
      </c>
      <c r="M8" s="29" t="s">
        <v>155</v>
      </c>
    </row>
    <row r="9" spans="1:14">
      <c r="A9" s="27"/>
      <c r="B9" s="33" t="s">
        <v>11</v>
      </c>
      <c r="C9" s="34" t="s">
        <v>156</v>
      </c>
      <c r="D9" s="33" t="s">
        <v>157</v>
      </c>
      <c r="E9" s="33" t="s">
        <v>126</v>
      </c>
      <c r="F9" s="33" t="s">
        <v>158</v>
      </c>
      <c r="G9" s="33" t="s">
        <v>159</v>
      </c>
      <c r="H9" s="33">
        <v>2</v>
      </c>
      <c r="I9" s="33" t="s">
        <v>127</v>
      </c>
      <c r="J9" s="33">
        <v>3</v>
      </c>
      <c r="K9" s="33" t="s">
        <v>127</v>
      </c>
      <c r="L9" s="33" t="s">
        <v>160</v>
      </c>
      <c r="M9" s="29"/>
    </row>
    <row r="10" spans="1:14">
      <c r="A10" s="36"/>
      <c r="B10" s="37" t="s">
        <v>11</v>
      </c>
      <c r="C10" s="37" t="s">
        <v>156</v>
      </c>
      <c r="D10" s="37" t="s">
        <v>161</v>
      </c>
      <c r="E10" s="37" t="s">
        <v>157</v>
      </c>
      <c r="F10" s="37" t="s">
        <v>162</v>
      </c>
      <c r="G10" s="37" t="s">
        <v>163</v>
      </c>
      <c r="H10" s="37">
        <v>3</v>
      </c>
      <c r="I10" s="37" t="s">
        <v>127</v>
      </c>
      <c r="J10" s="37">
        <v>1</v>
      </c>
      <c r="K10" s="37" t="s">
        <v>127</v>
      </c>
      <c r="L10" s="37" t="s">
        <v>162</v>
      </c>
      <c r="M10" s="29"/>
    </row>
    <row r="11" spans="1:14">
      <c r="A11" s="36"/>
      <c r="B11" s="27" t="s">
        <v>11</v>
      </c>
      <c r="C11" s="27" t="s">
        <v>156</v>
      </c>
      <c r="D11" s="27" t="s">
        <v>164</v>
      </c>
      <c r="E11" s="27" t="s">
        <v>161</v>
      </c>
      <c r="F11" s="27" t="s">
        <v>164</v>
      </c>
      <c r="G11" s="27" t="s">
        <v>165</v>
      </c>
      <c r="H11" s="27">
        <v>4</v>
      </c>
      <c r="I11" s="27" t="b">
        <v>1</v>
      </c>
      <c r="J11" s="27">
        <v>1</v>
      </c>
      <c r="K11" s="27"/>
      <c r="L11" s="36" t="s">
        <v>166</v>
      </c>
      <c r="M11" s="36" t="s">
        <v>167</v>
      </c>
    </row>
    <row r="12" spans="1:14">
      <c r="A12" s="27"/>
      <c r="B12" s="27" t="s">
        <v>11</v>
      </c>
      <c r="C12" s="27" t="s">
        <v>156</v>
      </c>
      <c r="D12" s="27" t="s">
        <v>168</v>
      </c>
      <c r="E12" s="27" t="s">
        <v>161</v>
      </c>
      <c r="F12" s="27" t="s">
        <v>168</v>
      </c>
      <c r="G12" s="27" t="s">
        <v>169</v>
      </c>
      <c r="H12" s="27">
        <v>4</v>
      </c>
      <c r="I12" s="27" t="b">
        <v>1</v>
      </c>
      <c r="J12" s="27">
        <v>2</v>
      </c>
      <c r="K12" s="27"/>
      <c r="L12" s="36" t="s">
        <v>170</v>
      </c>
      <c r="M12" s="36" t="s">
        <v>171</v>
      </c>
    </row>
    <row r="13" spans="1:14">
      <c r="A13" s="36"/>
      <c r="B13" s="37" t="s">
        <v>11</v>
      </c>
      <c r="C13" s="37" t="s">
        <v>156</v>
      </c>
      <c r="D13" s="37" t="s">
        <v>172</v>
      </c>
      <c r="E13" s="37" t="s">
        <v>157</v>
      </c>
      <c r="F13" s="37" t="s">
        <v>173</v>
      </c>
      <c r="G13" s="37" t="s">
        <v>174</v>
      </c>
      <c r="H13" s="37">
        <v>3</v>
      </c>
      <c r="I13" s="37" t="s">
        <v>127</v>
      </c>
      <c r="J13" s="37">
        <v>2</v>
      </c>
      <c r="K13" s="37" t="s">
        <v>127</v>
      </c>
      <c r="L13" s="38" t="s">
        <v>175</v>
      </c>
      <c r="M13" s="39"/>
    </row>
    <row r="14" spans="1:14">
      <c r="A14" s="36"/>
      <c r="B14" s="27" t="s">
        <v>11</v>
      </c>
      <c r="C14" s="27" t="s">
        <v>156</v>
      </c>
      <c r="D14" s="27" t="s">
        <v>176</v>
      </c>
      <c r="E14" s="27" t="s">
        <v>172</v>
      </c>
      <c r="F14" s="27" t="s">
        <v>176</v>
      </c>
      <c r="G14" s="27" t="s">
        <v>177</v>
      </c>
      <c r="H14" s="27">
        <v>4</v>
      </c>
      <c r="I14" s="27" t="b">
        <v>1</v>
      </c>
      <c r="J14" s="27">
        <v>1</v>
      </c>
      <c r="K14" s="27"/>
      <c r="L14" s="27" t="s">
        <v>178</v>
      </c>
      <c r="M14" s="29" t="s">
        <v>148</v>
      </c>
    </row>
    <row r="15" spans="1:14">
      <c r="A15" s="27"/>
      <c r="B15" s="33" t="s">
        <v>11</v>
      </c>
      <c r="C15" s="34" t="s">
        <v>179</v>
      </c>
      <c r="D15" s="33" t="s">
        <v>180</v>
      </c>
      <c r="E15" s="33" t="s">
        <v>126</v>
      </c>
      <c r="F15" s="33" t="s">
        <v>181</v>
      </c>
      <c r="G15" s="33" t="s">
        <v>182</v>
      </c>
      <c r="H15" s="33">
        <v>2</v>
      </c>
      <c r="I15" s="33" t="s">
        <v>127</v>
      </c>
      <c r="J15" s="33">
        <v>4</v>
      </c>
      <c r="K15" s="33" t="s">
        <v>127</v>
      </c>
      <c r="L15" s="35"/>
      <c r="M15" s="29"/>
    </row>
    <row r="16" spans="1:14">
      <c r="A16" s="36"/>
      <c r="B16" s="37" t="s">
        <v>11</v>
      </c>
      <c r="C16" s="37" t="s">
        <v>183</v>
      </c>
      <c r="D16" s="37" t="s">
        <v>184</v>
      </c>
      <c r="E16" s="37" t="s">
        <v>180</v>
      </c>
      <c r="F16" s="40" t="s">
        <v>184</v>
      </c>
      <c r="G16" s="37" t="s">
        <v>185</v>
      </c>
      <c r="H16" s="37">
        <v>3</v>
      </c>
      <c r="I16" s="37" t="s">
        <v>127</v>
      </c>
      <c r="J16" s="37">
        <v>1</v>
      </c>
      <c r="K16" s="37" t="s">
        <v>127</v>
      </c>
      <c r="L16" s="37" t="s">
        <v>186</v>
      </c>
      <c r="M16" s="29"/>
    </row>
    <row r="17" spans="1:13">
      <c r="A17" s="36"/>
      <c r="B17" s="27" t="s">
        <v>11</v>
      </c>
      <c r="C17" s="27" t="s">
        <v>183</v>
      </c>
      <c r="D17" s="27" t="s">
        <v>187</v>
      </c>
      <c r="E17" s="27" t="s">
        <v>184</v>
      </c>
      <c r="F17" s="27" t="s">
        <v>187</v>
      </c>
      <c r="G17" s="27" t="s">
        <v>188</v>
      </c>
      <c r="H17" s="27">
        <v>4</v>
      </c>
      <c r="I17" s="27" t="b">
        <v>1</v>
      </c>
      <c r="J17" s="27">
        <v>1</v>
      </c>
      <c r="K17" s="27"/>
      <c r="L17" s="27" t="s">
        <v>189</v>
      </c>
      <c r="M17" s="29"/>
    </row>
    <row r="18" spans="1:13">
      <c r="A18" s="36"/>
      <c r="B18" s="37" t="s">
        <v>11</v>
      </c>
      <c r="C18" s="37" t="s">
        <v>183</v>
      </c>
      <c r="D18" s="37" t="s">
        <v>190</v>
      </c>
      <c r="E18" s="37" t="s">
        <v>180</v>
      </c>
      <c r="F18" s="37" t="s">
        <v>190</v>
      </c>
      <c r="G18" s="37" t="s">
        <v>191</v>
      </c>
      <c r="H18" s="37">
        <v>3</v>
      </c>
      <c r="I18" s="37" t="s">
        <v>127</v>
      </c>
      <c r="J18" s="37">
        <v>2</v>
      </c>
      <c r="K18" s="37" t="s">
        <v>127</v>
      </c>
      <c r="L18" s="37" t="s">
        <v>192</v>
      </c>
      <c r="M18" s="29"/>
    </row>
    <row r="19" spans="1:13">
      <c r="A19" s="36"/>
      <c r="B19" s="27" t="s">
        <v>11</v>
      </c>
      <c r="C19" s="27" t="s">
        <v>183</v>
      </c>
      <c r="D19" s="27" t="s">
        <v>193</v>
      </c>
      <c r="E19" s="27" t="s">
        <v>190</v>
      </c>
      <c r="F19" s="27" t="s">
        <v>193</v>
      </c>
      <c r="G19" s="27" t="s">
        <v>194</v>
      </c>
      <c r="H19" s="27">
        <v>4</v>
      </c>
      <c r="I19" s="27" t="b">
        <v>1</v>
      </c>
      <c r="J19" s="27">
        <v>1</v>
      </c>
      <c r="K19" s="27"/>
      <c r="L19" t="s">
        <v>195</v>
      </c>
      <c r="M19" s="41" t="s">
        <v>196</v>
      </c>
    </row>
    <row r="20" spans="1:13">
      <c r="A20" s="36"/>
      <c r="B20" s="33" t="s">
        <v>11</v>
      </c>
      <c r="C20" s="33" t="s">
        <v>197</v>
      </c>
      <c r="D20" s="33" t="s">
        <v>198</v>
      </c>
      <c r="E20" s="33" t="s">
        <v>126</v>
      </c>
      <c r="F20" s="33" t="s">
        <v>199</v>
      </c>
      <c r="G20" s="33" t="s">
        <v>200</v>
      </c>
      <c r="H20" s="33">
        <v>2</v>
      </c>
      <c r="I20" s="33" t="s">
        <v>127</v>
      </c>
      <c r="J20" s="33">
        <v>5</v>
      </c>
      <c r="K20" s="33" t="s">
        <v>127</v>
      </c>
      <c r="L20" s="33" t="s">
        <v>201</v>
      </c>
      <c r="M20" s="29"/>
    </row>
    <row r="21" spans="1:13">
      <c r="A21" s="36"/>
      <c r="B21" s="37" t="s">
        <v>11</v>
      </c>
      <c r="C21" s="37" t="s">
        <v>183</v>
      </c>
      <c r="D21" s="37" t="s">
        <v>202</v>
      </c>
      <c r="E21" s="37" t="s">
        <v>198</v>
      </c>
      <c r="F21" s="37" t="s">
        <v>202</v>
      </c>
      <c r="G21" s="37" t="s">
        <v>203</v>
      </c>
      <c r="H21" s="37">
        <v>3</v>
      </c>
      <c r="I21" s="37" t="s">
        <v>127</v>
      </c>
      <c r="J21" s="37">
        <v>1</v>
      </c>
      <c r="K21" s="37" t="s">
        <v>127</v>
      </c>
      <c r="L21" s="37" t="s">
        <v>204</v>
      </c>
      <c r="M21" s="29"/>
    </row>
    <row r="22" spans="1:13">
      <c r="A22" s="36"/>
      <c r="B22" s="27" t="s">
        <v>11</v>
      </c>
      <c r="C22" s="27" t="s">
        <v>183</v>
      </c>
      <c r="D22" s="27" t="s">
        <v>205</v>
      </c>
      <c r="E22" s="27" t="s">
        <v>202</v>
      </c>
      <c r="F22" s="27" t="s">
        <v>205</v>
      </c>
      <c r="G22" s="27" t="s">
        <v>206</v>
      </c>
      <c r="H22" s="27">
        <v>4</v>
      </c>
      <c r="I22" s="27" t="b">
        <v>1</v>
      </c>
      <c r="J22" s="27">
        <v>1</v>
      </c>
      <c r="K22" s="27"/>
      <c r="L22" s="27" t="s">
        <v>207</v>
      </c>
      <c r="M22" s="29" t="s">
        <v>155</v>
      </c>
    </row>
    <row r="23" spans="1:13">
      <c r="A23" s="36"/>
      <c r="B23" s="27" t="s">
        <v>11</v>
      </c>
      <c r="C23" s="27" t="s">
        <v>183</v>
      </c>
      <c r="D23" s="27" t="s">
        <v>208</v>
      </c>
      <c r="E23" s="27" t="s">
        <v>202</v>
      </c>
      <c r="F23" s="27" t="s">
        <v>209</v>
      </c>
      <c r="G23" s="27" t="s">
        <v>209</v>
      </c>
      <c r="H23" s="27">
        <v>4</v>
      </c>
      <c r="I23" s="27" t="b">
        <v>1</v>
      </c>
      <c r="J23" s="27">
        <v>2</v>
      </c>
      <c r="K23" s="27"/>
      <c r="L23" s="27" t="s">
        <v>210</v>
      </c>
      <c r="M23" s="29" t="s">
        <v>155</v>
      </c>
    </row>
    <row r="24" spans="1:13">
      <c r="A24" s="27"/>
      <c r="B24" s="33" t="s">
        <v>11</v>
      </c>
      <c r="C24" s="34" t="s">
        <v>211</v>
      </c>
      <c r="D24" s="33" t="s">
        <v>212</v>
      </c>
      <c r="E24" s="33" t="s">
        <v>126</v>
      </c>
      <c r="F24" s="33" t="s">
        <v>213</v>
      </c>
      <c r="G24" s="33" t="s">
        <v>214</v>
      </c>
      <c r="H24" s="33">
        <v>2</v>
      </c>
      <c r="I24" s="33" t="s">
        <v>127</v>
      </c>
      <c r="J24" s="33">
        <v>6</v>
      </c>
      <c r="K24" s="33" t="s">
        <v>127</v>
      </c>
      <c r="L24" s="33" t="s">
        <v>215</v>
      </c>
      <c r="M24" s="29"/>
    </row>
    <row r="25" spans="1:13">
      <c r="A25" s="36"/>
      <c r="B25" s="37" t="s">
        <v>11</v>
      </c>
      <c r="C25" s="37" t="s">
        <v>183</v>
      </c>
      <c r="D25" s="37" t="s">
        <v>216</v>
      </c>
      <c r="E25" s="37" t="s">
        <v>212</v>
      </c>
      <c r="F25" s="37" t="s">
        <v>217</v>
      </c>
      <c r="G25" s="37" t="s">
        <v>218</v>
      </c>
      <c r="H25" s="37">
        <v>3</v>
      </c>
      <c r="I25" s="37" t="s">
        <v>127</v>
      </c>
      <c r="J25" s="37">
        <v>1</v>
      </c>
      <c r="K25" s="37" t="s">
        <v>127</v>
      </c>
      <c r="L25" s="38" t="s">
        <v>127</v>
      </c>
      <c r="M25" s="29"/>
    </row>
    <row r="26" spans="1:13">
      <c r="A26" s="36"/>
      <c r="B26" s="27" t="s">
        <v>11</v>
      </c>
      <c r="C26" s="27" t="s">
        <v>183</v>
      </c>
      <c r="D26" s="27" t="s">
        <v>219</v>
      </c>
      <c r="E26" s="27" t="s">
        <v>216</v>
      </c>
      <c r="F26" s="27" t="s">
        <v>219</v>
      </c>
      <c r="G26" s="27" t="s">
        <v>220</v>
      </c>
      <c r="H26" s="27">
        <v>4</v>
      </c>
      <c r="I26" s="27" t="b">
        <v>1</v>
      </c>
      <c r="J26" s="27">
        <v>1</v>
      </c>
      <c r="K26" s="27"/>
      <c r="L26" s="36"/>
      <c r="M26" s="29" t="s">
        <v>155</v>
      </c>
    </row>
    <row r="27" spans="1:13">
      <c r="A27" s="36"/>
      <c r="B27" s="27" t="s">
        <v>11</v>
      </c>
      <c r="C27" s="27" t="s">
        <v>183</v>
      </c>
      <c r="D27" s="27" t="s">
        <v>221</v>
      </c>
      <c r="E27" s="27" t="s">
        <v>216</v>
      </c>
      <c r="F27" s="27" t="s">
        <v>221</v>
      </c>
      <c r="G27" s="27" t="s">
        <v>222</v>
      </c>
      <c r="H27" s="27">
        <v>4</v>
      </c>
      <c r="I27" s="27" t="b">
        <v>1</v>
      </c>
      <c r="J27" s="27">
        <v>2</v>
      </c>
      <c r="K27" s="27"/>
      <c r="L27" s="27" t="s">
        <v>223</v>
      </c>
      <c r="M27" s="29"/>
    </row>
    <row r="28" spans="1:13">
      <c r="A28" s="36"/>
      <c r="B28" s="27" t="s">
        <v>11</v>
      </c>
      <c r="C28" s="27" t="s">
        <v>183</v>
      </c>
      <c r="D28" s="27" t="s">
        <v>224</v>
      </c>
      <c r="E28" s="27" t="s">
        <v>216</v>
      </c>
      <c r="F28" s="27" t="s">
        <v>225</v>
      </c>
      <c r="G28" s="27" t="s">
        <v>226</v>
      </c>
      <c r="H28" s="27">
        <v>4</v>
      </c>
      <c r="I28" s="27" t="b">
        <v>1</v>
      </c>
      <c r="J28" s="27">
        <v>3</v>
      </c>
      <c r="K28" s="27"/>
      <c r="L28" s="27" t="s">
        <v>227</v>
      </c>
      <c r="M28" s="29" t="s">
        <v>155</v>
      </c>
    </row>
    <row r="29" spans="1:13">
      <c r="A29" s="36"/>
      <c r="B29" s="27" t="s">
        <v>11</v>
      </c>
      <c r="C29" s="27" t="s">
        <v>183</v>
      </c>
      <c r="D29" s="27" t="s">
        <v>228</v>
      </c>
      <c r="E29" s="27" t="s">
        <v>216</v>
      </c>
      <c r="F29" s="27" t="s">
        <v>228</v>
      </c>
      <c r="G29" s="27" t="s">
        <v>229</v>
      </c>
      <c r="H29" s="27">
        <v>4</v>
      </c>
      <c r="I29" s="27" t="b">
        <v>1</v>
      </c>
      <c r="J29" s="27">
        <v>4</v>
      </c>
      <c r="K29" s="27"/>
      <c r="L29" s="27" t="s">
        <v>230</v>
      </c>
      <c r="M29" s="29"/>
    </row>
    <row r="30" spans="1:13">
      <c r="A30" s="36"/>
      <c r="B30" s="27" t="s">
        <v>11</v>
      </c>
      <c r="C30" s="27" t="s">
        <v>183</v>
      </c>
      <c r="D30" s="27" t="s">
        <v>231</v>
      </c>
      <c r="E30" s="27" t="s">
        <v>216</v>
      </c>
      <c r="F30" s="27" t="s">
        <v>231</v>
      </c>
      <c r="G30" s="27" t="s">
        <v>232</v>
      </c>
      <c r="H30" s="27">
        <v>4</v>
      </c>
      <c r="I30" s="27" t="b">
        <v>1</v>
      </c>
      <c r="J30" s="27">
        <v>5</v>
      </c>
      <c r="K30" s="27"/>
      <c r="L30" s="27" t="s">
        <v>233</v>
      </c>
      <c r="M30" s="29"/>
    </row>
    <row r="31" spans="1:13">
      <c r="A31" s="36"/>
      <c r="B31" s="27" t="s">
        <v>11</v>
      </c>
      <c r="C31" s="27" t="s">
        <v>183</v>
      </c>
      <c r="D31" s="27" t="s">
        <v>234</v>
      </c>
      <c r="E31" s="27" t="s">
        <v>216</v>
      </c>
      <c r="F31" s="27" t="s">
        <v>234</v>
      </c>
      <c r="G31" s="27" t="s">
        <v>235</v>
      </c>
      <c r="H31" s="27">
        <v>4</v>
      </c>
      <c r="I31" s="27" t="b">
        <v>1</v>
      </c>
      <c r="J31" s="27">
        <v>6</v>
      </c>
      <c r="K31" s="27"/>
      <c r="L31" s="27" t="s">
        <v>236</v>
      </c>
      <c r="M31" s="29" t="s">
        <v>155</v>
      </c>
    </row>
    <row r="32" spans="1:13">
      <c r="A32" s="36"/>
      <c r="B32" s="33" t="s">
        <v>11</v>
      </c>
      <c r="C32" s="33" t="s">
        <v>237</v>
      </c>
      <c r="D32" s="33" t="s">
        <v>237</v>
      </c>
      <c r="E32" s="33" t="s">
        <v>126</v>
      </c>
      <c r="F32" s="33" t="s">
        <v>238</v>
      </c>
      <c r="G32" s="33" t="s">
        <v>239</v>
      </c>
      <c r="H32" s="33">
        <v>2</v>
      </c>
      <c r="I32" s="33" t="s">
        <v>127</v>
      </c>
      <c r="J32" s="33">
        <v>7</v>
      </c>
      <c r="K32" s="33" t="s">
        <v>127</v>
      </c>
      <c r="L32" s="35" t="s">
        <v>136</v>
      </c>
      <c r="M32" s="29"/>
    </row>
    <row r="33" spans="1:13">
      <c r="A33" s="36"/>
      <c r="B33" s="37" t="s">
        <v>11</v>
      </c>
      <c r="C33" s="37" t="s">
        <v>183</v>
      </c>
      <c r="D33" s="37" t="s">
        <v>240</v>
      </c>
      <c r="E33" s="37" t="s">
        <v>237</v>
      </c>
      <c r="F33" s="37" t="s">
        <v>241</v>
      </c>
      <c r="G33" s="37" t="s">
        <v>242</v>
      </c>
      <c r="H33" s="37">
        <v>3</v>
      </c>
      <c r="I33" s="37" t="s">
        <v>127</v>
      </c>
      <c r="J33" s="37">
        <v>1</v>
      </c>
      <c r="K33" s="37" t="s">
        <v>127</v>
      </c>
      <c r="L33" s="38" t="s">
        <v>127</v>
      </c>
      <c r="M33" s="29"/>
    </row>
    <row r="34" spans="1:13">
      <c r="A34" s="36"/>
      <c r="B34" s="27" t="s">
        <v>11</v>
      </c>
      <c r="C34" s="27" t="s">
        <v>183</v>
      </c>
      <c r="D34" s="27" t="s">
        <v>243</v>
      </c>
      <c r="E34" s="27" t="s">
        <v>240</v>
      </c>
      <c r="F34" s="27" t="s">
        <v>243</v>
      </c>
      <c r="G34" s="27" t="s">
        <v>244</v>
      </c>
      <c r="H34" s="27">
        <v>4</v>
      </c>
      <c r="I34" s="27" t="b">
        <v>1</v>
      </c>
      <c r="J34" s="27">
        <v>1</v>
      </c>
      <c r="K34" s="27"/>
      <c r="L34" s="36"/>
      <c r="M34" s="29" t="s">
        <v>155</v>
      </c>
    </row>
    <row r="35" spans="1:13">
      <c r="A35" s="36"/>
      <c r="B35" s="33" t="s">
        <v>11</v>
      </c>
      <c r="C35" s="34" t="s">
        <v>245</v>
      </c>
      <c r="D35" s="33" t="s">
        <v>246</v>
      </c>
      <c r="E35" s="33" t="s">
        <v>126</v>
      </c>
      <c r="F35" s="33" t="s">
        <v>247</v>
      </c>
      <c r="G35" s="33" t="s">
        <v>248</v>
      </c>
      <c r="H35" s="33">
        <v>2</v>
      </c>
      <c r="I35" s="33" t="b">
        <v>1</v>
      </c>
      <c r="J35" s="33">
        <v>9</v>
      </c>
      <c r="K35" s="33" t="s">
        <v>127</v>
      </c>
      <c r="L35" s="35" t="s">
        <v>127</v>
      </c>
      <c r="M35" s="29"/>
    </row>
    <row r="36" spans="1:13">
      <c r="A36" s="36"/>
      <c r="B36" s="33" t="s">
        <v>11</v>
      </c>
      <c r="C36" s="34" t="s">
        <v>249</v>
      </c>
      <c r="D36" s="33" t="s">
        <v>250</v>
      </c>
      <c r="E36" s="33" t="s">
        <v>126</v>
      </c>
      <c r="F36" s="33" t="s">
        <v>251</v>
      </c>
      <c r="G36" s="33" t="s">
        <v>252</v>
      </c>
      <c r="H36" s="33">
        <v>2</v>
      </c>
      <c r="I36" s="33" t="s">
        <v>127</v>
      </c>
      <c r="J36" s="33">
        <v>10</v>
      </c>
      <c r="K36" s="33" t="s">
        <v>127</v>
      </c>
      <c r="L36" s="35" t="s">
        <v>127</v>
      </c>
      <c r="M36" s="29"/>
    </row>
    <row r="37" spans="1:13">
      <c r="A37" s="36"/>
      <c r="B37" s="37" t="s">
        <v>11</v>
      </c>
      <c r="C37" s="37" t="s">
        <v>249</v>
      </c>
      <c r="D37" s="37" t="s">
        <v>253</v>
      </c>
      <c r="E37" s="37" t="s">
        <v>250</v>
      </c>
      <c r="F37" s="37" t="s">
        <v>254</v>
      </c>
      <c r="G37" s="37" t="s">
        <v>255</v>
      </c>
      <c r="H37" s="37">
        <v>3</v>
      </c>
      <c r="I37" s="37" t="b">
        <v>1</v>
      </c>
      <c r="J37" s="37">
        <v>1</v>
      </c>
      <c r="K37" s="37" t="s">
        <v>127</v>
      </c>
      <c r="L37" s="38"/>
      <c r="M37" s="29" t="s">
        <v>155</v>
      </c>
    </row>
    <row r="38" spans="1:13">
      <c r="A38" s="36"/>
      <c r="B38" s="37" t="s">
        <v>11</v>
      </c>
      <c r="C38" s="37" t="s">
        <v>249</v>
      </c>
      <c r="D38" s="37" t="s">
        <v>256</v>
      </c>
      <c r="E38" s="37" t="s">
        <v>250</v>
      </c>
      <c r="F38" s="37" t="s">
        <v>257</v>
      </c>
      <c r="G38" s="37" t="s">
        <v>257</v>
      </c>
      <c r="H38" s="37">
        <v>3</v>
      </c>
      <c r="I38" s="37" t="b">
        <v>1</v>
      </c>
      <c r="J38" s="37">
        <v>2</v>
      </c>
      <c r="K38" s="37" t="s">
        <v>127</v>
      </c>
      <c r="L38" s="38"/>
      <c r="M38" s="29" t="s">
        <v>155</v>
      </c>
    </row>
    <row r="39" spans="1:13">
      <c r="A39" s="36"/>
      <c r="B39" s="37" t="s">
        <v>11</v>
      </c>
      <c r="C39" s="37" t="s">
        <v>249</v>
      </c>
      <c r="D39" s="37" t="s">
        <v>258</v>
      </c>
      <c r="E39" s="37" t="s">
        <v>250</v>
      </c>
      <c r="F39" s="37" t="s">
        <v>259</v>
      </c>
      <c r="G39" s="37" t="s">
        <v>260</v>
      </c>
      <c r="H39" s="37">
        <v>3</v>
      </c>
      <c r="I39" s="37" t="b">
        <v>1</v>
      </c>
      <c r="J39" s="37">
        <v>3</v>
      </c>
      <c r="K39" s="37" t="s">
        <v>127</v>
      </c>
      <c r="L39" s="38"/>
      <c r="M39" s="29" t="s">
        <v>155</v>
      </c>
    </row>
    <row r="40" spans="1:13">
      <c r="A40" s="36"/>
      <c r="B40" s="37" t="s">
        <v>11</v>
      </c>
      <c r="C40" s="37" t="s">
        <v>249</v>
      </c>
      <c r="D40" s="37" t="s">
        <v>261</v>
      </c>
      <c r="E40" s="37" t="s">
        <v>250</v>
      </c>
      <c r="F40" s="37" t="s">
        <v>262</v>
      </c>
      <c r="G40" s="37" t="s">
        <v>263</v>
      </c>
      <c r="H40" s="37">
        <v>3</v>
      </c>
      <c r="I40" s="37" t="s">
        <v>127</v>
      </c>
      <c r="J40" s="37">
        <v>4</v>
      </c>
      <c r="K40" s="37" t="s">
        <v>127</v>
      </c>
      <c r="L40" s="38" t="s">
        <v>127</v>
      </c>
      <c r="M40" s="29"/>
    </row>
    <row r="41" spans="1:13">
      <c r="A41" s="36"/>
      <c r="B41" s="27" t="s">
        <v>11</v>
      </c>
      <c r="C41" s="27" t="s">
        <v>249</v>
      </c>
      <c r="D41" s="27" t="s">
        <v>264</v>
      </c>
      <c r="E41" s="27" t="s">
        <v>261</v>
      </c>
      <c r="F41" s="27" t="s">
        <v>265</v>
      </c>
      <c r="G41" s="27" t="s">
        <v>265</v>
      </c>
      <c r="H41" s="27">
        <v>4</v>
      </c>
      <c r="I41" s="27" t="b">
        <v>1</v>
      </c>
      <c r="J41" s="27">
        <v>1</v>
      </c>
      <c r="K41" s="27"/>
      <c r="L41" s="36" t="s">
        <v>266</v>
      </c>
      <c r="M41" s="29"/>
    </row>
    <row r="42" spans="1:13">
      <c r="A42" s="36"/>
      <c r="B42" s="44" t="s">
        <v>11</v>
      </c>
      <c r="C42" s="37" t="s">
        <v>249</v>
      </c>
      <c r="D42" s="37" t="s">
        <v>267</v>
      </c>
      <c r="E42" s="37" t="s">
        <v>250</v>
      </c>
      <c r="F42" s="37" t="s">
        <v>268</v>
      </c>
      <c r="G42" s="37" t="s">
        <v>269</v>
      </c>
      <c r="H42" s="37">
        <v>3</v>
      </c>
      <c r="I42" s="37" t="b">
        <v>1</v>
      </c>
      <c r="J42" s="37">
        <v>5</v>
      </c>
      <c r="K42" s="37" t="s">
        <v>127</v>
      </c>
      <c r="L42" s="38" t="s">
        <v>127</v>
      </c>
      <c r="M42" s="29"/>
    </row>
    <row r="43" spans="1:13">
      <c r="A43" s="36"/>
      <c r="B43" s="33" t="s">
        <v>11</v>
      </c>
      <c r="C43" s="34" t="s">
        <v>270</v>
      </c>
      <c r="D43" s="33" t="s">
        <v>271</v>
      </c>
      <c r="E43" s="33" t="s">
        <v>126</v>
      </c>
      <c r="F43" s="33" t="s">
        <v>272</v>
      </c>
      <c r="G43" s="33" t="s">
        <v>273</v>
      </c>
      <c r="H43" s="33">
        <v>2</v>
      </c>
      <c r="I43" s="33" t="s">
        <v>127</v>
      </c>
      <c r="J43" s="33">
        <v>11</v>
      </c>
      <c r="K43" s="33" t="s">
        <v>127</v>
      </c>
      <c r="L43" s="35" t="s">
        <v>127</v>
      </c>
      <c r="M43" s="29"/>
    </row>
    <row r="44" spans="1:13">
      <c r="A44" s="36"/>
      <c r="B44" s="37" t="s">
        <v>11</v>
      </c>
      <c r="C44" s="37" t="s">
        <v>270</v>
      </c>
      <c r="D44" s="37" t="s">
        <v>274</v>
      </c>
      <c r="E44" s="37" t="s">
        <v>271</v>
      </c>
      <c r="F44" s="37" t="s">
        <v>275</v>
      </c>
      <c r="G44" s="37" t="s">
        <v>276</v>
      </c>
      <c r="H44" s="37">
        <v>3</v>
      </c>
      <c r="I44" s="37" t="b">
        <v>1</v>
      </c>
      <c r="J44" s="37">
        <v>1</v>
      </c>
      <c r="K44" s="37" t="s">
        <v>127</v>
      </c>
      <c r="L44" s="38"/>
      <c r="M44" s="29" t="s">
        <v>277</v>
      </c>
    </row>
    <row r="45" spans="1:13">
      <c r="A45" s="36"/>
      <c r="B45" s="40" t="s">
        <v>11</v>
      </c>
      <c r="C45" s="42" t="s">
        <v>278</v>
      </c>
      <c r="D45" s="42" t="s">
        <v>279</v>
      </c>
      <c r="E45" s="37" t="s">
        <v>271</v>
      </c>
      <c r="F45" s="40" t="s">
        <v>280</v>
      </c>
      <c r="G45" s="40" t="s">
        <v>279</v>
      </c>
      <c r="H45" s="40">
        <v>3</v>
      </c>
      <c r="I45" s="40" t="b">
        <v>1</v>
      </c>
      <c r="J45" s="40">
        <v>2</v>
      </c>
      <c r="K45" s="40" t="s">
        <v>127</v>
      </c>
      <c r="L45" s="43" t="s">
        <v>127</v>
      </c>
      <c r="M45" s="29"/>
    </row>
    <row r="46" spans="1:13">
      <c r="A46" s="36"/>
      <c r="B46" s="37" t="s">
        <v>11</v>
      </c>
      <c r="C46" s="37" t="s">
        <v>270</v>
      </c>
      <c r="D46" s="37" t="s">
        <v>281</v>
      </c>
      <c r="E46" s="37" t="s">
        <v>271</v>
      </c>
      <c r="F46" s="37" t="s">
        <v>282</v>
      </c>
      <c r="G46" s="37" t="s">
        <v>283</v>
      </c>
      <c r="H46" s="37">
        <v>3</v>
      </c>
      <c r="I46" s="37" t="b">
        <v>1</v>
      </c>
      <c r="J46" s="37">
        <v>3</v>
      </c>
      <c r="K46" s="37" t="s">
        <v>127</v>
      </c>
      <c r="L46" s="38" t="s">
        <v>284</v>
      </c>
      <c r="M46" s="29" t="s">
        <v>277</v>
      </c>
    </row>
    <row r="47" spans="1:13">
      <c r="A47" s="36"/>
      <c r="B47" s="44" t="s">
        <v>11</v>
      </c>
      <c r="C47" s="37" t="s">
        <v>270</v>
      </c>
      <c r="D47" s="37" t="s">
        <v>285</v>
      </c>
      <c r="E47" s="37" t="s">
        <v>271</v>
      </c>
      <c r="F47" s="37" t="s">
        <v>286</v>
      </c>
      <c r="G47" s="37" t="s">
        <v>287</v>
      </c>
      <c r="H47" s="37">
        <v>3</v>
      </c>
      <c r="I47" s="37" t="b">
        <v>1</v>
      </c>
      <c r="J47" s="37">
        <v>4</v>
      </c>
      <c r="K47" s="37" t="s">
        <v>127</v>
      </c>
      <c r="L47" s="38"/>
      <c r="M47" s="29"/>
    </row>
    <row r="48" spans="1:13">
      <c r="A48" s="27"/>
      <c r="B48" s="33" t="s">
        <v>11</v>
      </c>
      <c r="C48" s="34" t="s">
        <v>288</v>
      </c>
      <c r="D48" s="33" t="s">
        <v>289</v>
      </c>
      <c r="E48" s="33" t="s">
        <v>126</v>
      </c>
      <c r="F48" s="33" t="s">
        <v>290</v>
      </c>
      <c r="G48" s="33" t="s">
        <v>290</v>
      </c>
      <c r="H48" s="33">
        <v>2</v>
      </c>
      <c r="I48" s="33" t="s">
        <v>127</v>
      </c>
      <c r="J48" s="33">
        <v>12</v>
      </c>
      <c r="K48" s="33" t="s">
        <v>127</v>
      </c>
      <c r="L48" s="35" t="s">
        <v>127</v>
      </c>
      <c r="M48" s="29"/>
    </row>
    <row r="49" spans="1:13">
      <c r="A49" s="36"/>
      <c r="B49" s="37" t="s">
        <v>11</v>
      </c>
      <c r="C49" s="37" t="s">
        <v>288</v>
      </c>
      <c r="D49" s="37" t="s">
        <v>291</v>
      </c>
      <c r="E49" s="37" t="s">
        <v>289</v>
      </c>
      <c r="F49" s="37" t="s">
        <v>292</v>
      </c>
      <c r="G49" s="37" t="s">
        <v>293</v>
      </c>
      <c r="H49" s="37">
        <v>3</v>
      </c>
      <c r="I49" s="37" t="s">
        <v>127</v>
      </c>
      <c r="J49" s="37">
        <v>1</v>
      </c>
      <c r="K49" s="37" t="s">
        <v>127</v>
      </c>
      <c r="L49" s="38" t="s">
        <v>294</v>
      </c>
      <c r="M49" s="29" t="s">
        <v>155</v>
      </c>
    </row>
    <row r="50" spans="1:13">
      <c r="A50" s="36"/>
      <c r="B50" s="27" t="s">
        <v>11</v>
      </c>
      <c r="C50" s="27" t="s">
        <v>288</v>
      </c>
      <c r="D50" s="27" t="s">
        <v>295</v>
      </c>
      <c r="E50" s="27" t="s">
        <v>291</v>
      </c>
      <c r="F50" s="27" t="s">
        <v>295</v>
      </c>
      <c r="G50" s="27" t="s">
        <v>295</v>
      </c>
      <c r="H50" s="27">
        <v>4</v>
      </c>
      <c r="I50" s="27" t="b">
        <v>1</v>
      </c>
      <c r="J50" s="27">
        <v>1</v>
      </c>
      <c r="K50" s="27"/>
      <c r="L50" s="36" t="s">
        <v>296</v>
      </c>
      <c r="M50" s="29" t="s">
        <v>155</v>
      </c>
    </row>
    <row r="51" spans="1:13">
      <c r="A51" s="36"/>
      <c r="B51" s="37" t="s">
        <v>11</v>
      </c>
      <c r="C51" s="37" t="s">
        <v>288</v>
      </c>
      <c r="D51" s="37" t="s">
        <v>297</v>
      </c>
      <c r="E51" s="37" t="s">
        <v>289</v>
      </c>
      <c r="F51" s="37" t="s">
        <v>298</v>
      </c>
      <c r="G51" s="37" t="s">
        <v>299</v>
      </c>
      <c r="H51" s="37">
        <v>3</v>
      </c>
      <c r="I51" s="37" t="s">
        <v>127</v>
      </c>
      <c r="J51" s="37">
        <v>2</v>
      </c>
      <c r="K51" s="37" t="s">
        <v>127</v>
      </c>
      <c r="L51" s="38" t="s">
        <v>127</v>
      </c>
      <c r="M51" s="29"/>
    </row>
    <row r="52" spans="1:13">
      <c r="A52" s="36"/>
      <c r="B52" s="27" t="s">
        <v>11</v>
      </c>
      <c r="C52" s="27" t="s">
        <v>288</v>
      </c>
      <c r="D52" s="27" t="s">
        <v>300</v>
      </c>
      <c r="E52" s="27" t="s">
        <v>297</v>
      </c>
      <c r="F52" s="27" t="s">
        <v>300</v>
      </c>
      <c r="G52" s="27" t="s">
        <v>220</v>
      </c>
      <c r="H52" s="27">
        <v>4</v>
      </c>
      <c r="I52" s="27" t="b">
        <v>1</v>
      </c>
      <c r="J52" s="27">
        <v>1</v>
      </c>
      <c r="K52" s="27"/>
      <c r="L52" s="36" t="s">
        <v>301</v>
      </c>
      <c r="M52" s="29" t="s">
        <v>155</v>
      </c>
    </row>
    <row r="53" spans="1:13">
      <c r="A53" s="27"/>
      <c r="B53" s="33" t="s">
        <v>11</v>
      </c>
      <c r="C53" s="33" t="s">
        <v>302</v>
      </c>
      <c r="D53" s="33" t="s">
        <v>302</v>
      </c>
      <c r="E53" s="33" t="s">
        <v>126</v>
      </c>
      <c r="F53" s="33" t="s">
        <v>303</v>
      </c>
      <c r="G53" s="33" t="s">
        <v>304</v>
      </c>
      <c r="H53" s="33">
        <v>2</v>
      </c>
      <c r="I53" s="33" t="s">
        <v>127</v>
      </c>
      <c r="J53" s="33">
        <v>13</v>
      </c>
      <c r="K53" s="33" t="s">
        <v>127</v>
      </c>
      <c r="L53" s="35" t="s">
        <v>127</v>
      </c>
      <c r="M53" s="29"/>
    </row>
    <row r="54" spans="1:13">
      <c r="A54" s="27"/>
      <c r="B54" s="33" t="s">
        <v>11</v>
      </c>
      <c r="C54" s="33" t="s">
        <v>305</v>
      </c>
      <c r="D54" s="33" t="s">
        <v>305</v>
      </c>
      <c r="E54" s="33" t="s">
        <v>126</v>
      </c>
      <c r="F54" s="33" t="s">
        <v>306</v>
      </c>
      <c r="G54" s="33" t="s">
        <v>307</v>
      </c>
      <c r="H54" s="33">
        <v>2</v>
      </c>
      <c r="I54" s="33" t="s">
        <v>127</v>
      </c>
      <c r="J54" s="33">
        <v>14</v>
      </c>
      <c r="K54" s="33" t="s">
        <v>127</v>
      </c>
      <c r="L54" s="35" t="s">
        <v>127</v>
      </c>
      <c r="M54" s="29"/>
    </row>
    <row r="55" spans="1:13">
      <c r="A55" s="36"/>
      <c r="B55" s="33" t="s">
        <v>11</v>
      </c>
      <c r="C55" s="33" t="s">
        <v>125</v>
      </c>
      <c r="D55" s="33" t="s">
        <v>308</v>
      </c>
      <c r="E55" s="33" t="s">
        <v>126</v>
      </c>
      <c r="F55" s="33" t="s">
        <v>309</v>
      </c>
      <c r="G55" s="33" t="s">
        <v>310</v>
      </c>
      <c r="H55" s="33">
        <v>2</v>
      </c>
      <c r="I55" s="33" t="s">
        <v>127</v>
      </c>
      <c r="J55" s="33">
        <v>15</v>
      </c>
      <c r="K55" s="33" t="s">
        <v>127</v>
      </c>
      <c r="L55" s="35" t="s">
        <v>127</v>
      </c>
      <c r="M55" s="2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C3AE-BAC9-44CA-85DB-272EC18BC736}">
  <sheetPr>
    <tabColor theme="1" tint="0.499984740745262"/>
  </sheetPr>
  <dimension ref="B2:D112"/>
  <sheetViews>
    <sheetView workbookViewId="0">
      <selection activeCell="D3" sqref="D3"/>
    </sheetView>
  </sheetViews>
  <sheetFormatPr defaultRowHeight="16.5"/>
  <cols>
    <col min="2" max="2" width="22.375" bestFit="1" customWidth="1"/>
    <col min="3" max="3" width="38.5" bestFit="1" customWidth="1"/>
    <col min="4" max="4" width="26.25" bestFit="1" customWidth="1"/>
  </cols>
  <sheetData>
    <row r="2" spans="2:4">
      <c r="B2" s="25" t="s">
        <v>311</v>
      </c>
      <c r="C2" s="26" t="s">
        <v>312</v>
      </c>
      <c r="D2" s="26" t="s">
        <v>313</v>
      </c>
    </row>
    <row r="3" spans="2:4">
      <c r="B3" s="6" t="s">
        <v>314</v>
      </c>
      <c r="C3" s="6" t="s">
        <v>315</v>
      </c>
      <c r="D3" s="6" t="s">
        <v>316</v>
      </c>
    </row>
    <row r="4" spans="2:4">
      <c r="B4" s="6" t="s">
        <v>317</v>
      </c>
      <c r="C4" s="6" t="s">
        <v>318</v>
      </c>
      <c r="D4" s="6" t="s">
        <v>319</v>
      </c>
    </row>
    <row r="5" spans="2:4">
      <c r="B5" s="6" t="s">
        <v>320</v>
      </c>
      <c r="C5" s="6" t="s">
        <v>321</v>
      </c>
      <c r="D5" s="6" t="s">
        <v>322</v>
      </c>
    </row>
    <row r="6" spans="2:4">
      <c r="B6" s="6" t="s">
        <v>323</v>
      </c>
      <c r="C6" s="6" t="s">
        <v>324</v>
      </c>
      <c r="D6" s="6" t="s">
        <v>325</v>
      </c>
    </row>
    <row r="7" spans="2:4">
      <c r="B7" s="6" t="s">
        <v>326</v>
      </c>
      <c r="C7" s="6" t="s">
        <v>327</v>
      </c>
      <c r="D7" s="6" t="s">
        <v>328</v>
      </c>
    </row>
    <row r="8" spans="2:4">
      <c r="B8" s="6" t="s">
        <v>329</v>
      </c>
      <c r="C8" s="6" t="s">
        <v>330</v>
      </c>
      <c r="D8" s="6" t="s">
        <v>331</v>
      </c>
    </row>
    <row r="9" spans="2:4">
      <c r="B9" s="6" t="s">
        <v>332</v>
      </c>
      <c r="C9" s="23" t="s">
        <v>333</v>
      </c>
      <c r="D9" s="23" t="s">
        <v>334</v>
      </c>
    </row>
    <row r="10" spans="2:4">
      <c r="B10" s="6" t="s">
        <v>335</v>
      </c>
      <c r="C10" s="6" t="s">
        <v>336</v>
      </c>
      <c r="D10" s="6" t="s">
        <v>337</v>
      </c>
    </row>
    <row r="11" spans="2:4">
      <c r="B11" s="6" t="s">
        <v>338</v>
      </c>
      <c r="C11" s="6" t="s">
        <v>339</v>
      </c>
      <c r="D11" s="6" t="s">
        <v>340</v>
      </c>
    </row>
    <row r="12" spans="2:4">
      <c r="B12" s="6" t="s">
        <v>341</v>
      </c>
      <c r="C12" s="23" t="s">
        <v>342</v>
      </c>
      <c r="D12" s="23" t="s">
        <v>343</v>
      </c>
    </row>
    <row r="13" spans="2:4">
      <c r="B13" s="6" t="s">
        <v>344</v>
      </c>
      <c r="C13" s="6" t="s">
        <v>345</v>
      </c>
      <c r="D13" s="6" t="s">
        <v>346</v>
      </c>
    </row>
    <row r="14" spans="2:4">
      <c r="B14" s="6" t="s">
        <v>347</v>
      </c>
      <c r="C14" s="6" t="s">
        <v>348</v>
      </c>
      <c r="D14" s="6" t="s">
        <v>349</v>
      </c>
    </row>
    <row r="15" spans="2:4">
      <c r="B15" s="6" t="s">
        <v>350</v>
      </c>
      <c r="C15" s="6" t="s">
        <v>351</v>
      </c>
      <c r="D15" s="6" t="s">
        <v>352</v>
      </c>
    </row>
    <row r="16" spans="2:4">
      <c r="B16" s="6" t="s">
        <v>353</v>
      </c>
      <c r="C16" s="6" t="s">
        <v>354</v>
      </c>
      <c r="D16" s="6" t="s">
        <v>355</v>
      </c>
    </row>
    <row r="17" spans="2:4">
      <c r="B17" s="6" t="s">
        <v>356</v>
      </c>
      <c r="C17" s="23" t="s">
        <v>357</v>
      </c>
      <c r="D17" s="23" t="s">
        <v>358</v>
      </c>
    </row>
    <row r="18" spans="2:4">
      <c r="B18" s="6" t="s">
        <v>359</v>
      </c>
      <c r="C18" s="23" t="s">
        <v>360</v>
      </c>
      <c r="D18" s="23" t="s">
        <v>361</v>
      </c>
    </row>
    <row r="19" spans="2:4">
      <c r="B19" s="6" t="s">
        <v>362</v>
      </c>
      <c r="C19" s="6" t="s">
        <v>363</v>
      </c>
      <c r="D19" s="6" t="s">
        <v>364</v>
      </c>
    </row>
    <row r="20" spans="2:4">
      <c r="B20" s="6" t="s">
        <v>365</v>
      </c>
      <c r="C20" s="6" t="s">
        <v>366</v>
      </c>
      <c r="D20" s="6" t="s">
        <v>367</v>
      </c>
    </row>
    <row r="21" spans="2:4">
      <c r="B21" s="6" t="s">
        <v>368</v>
      </c>
      <c r="C21" s="6" t="s">
        <v>369</v>
      </c>
      <c r="D21" s="6" t="s">
        <v>370</v>
      </c>
    </row>
    <row r="22" spans="2:4">
      <c r="B22" s="6" t="s">
        <v>371</v>
      </c>
      <c r="C22" s="23" t="s">
        <v>372</v>
      </c>
      <c r="D22" s="23" t="s">
        <v>373</v>
      </c>
    </row>
    <row r="23" spans="2:4">
      <c r="B23" s="6" t="s">
        <v>374</v>
      </c>
      <c r="C23" s="6" t="s">
        <v>375</v>
      </c>
      <c r="D23" s="6" t="s">
        <v>376</v>
      </c>
    </row>
    <row r="24" spans="2:4">
      <c r="B24" s="6" t="s">
        <v>377</v>
      </c>
      <c r="C24" s="23" t="s">
        <v>378</v>
      </c>
      <c r="D24" s="23" t="s">
        <v>379</v>
      </c>
    </row>
    <row r="25" spans="2:4">
      <c r="B25" s="6" t="s">
        <v>380</v>
      </c>
      <c r="C25" s="6" t="s">
        <v>381</v>
      </c>
      <c r="D25" s="6" t="s">
        <v>382</v>
      </c>
    </row>
    <row r="26" spans="2:4">
      <c r="B26" s="6" t="s">
        <v>383</v>
      </c>
      <c r="C26" s="23" t="s">
        <v>384</v>
      </c>
      <c r="D26" s="23" t="s">
        <v>385</v>
      </c>
    </row>
    <row r="27" spans="2:4">
      <c r="B27" s="6" t="s">
        <v>386</v>
      </c>
      <c r="C27" s="6" t="s">
        <v>387</v>
      </c>
      <c r="D27" s="6" t="s">
        <v>388</v>
      </c>
    </row>
    <row r="28" spans="2:4">
      <c r="B28" s="6" t="s">
        <v>389</v>
      </c>
      <c r="C28" s="6" t="s">
        <v>390</v>
      </c>
      <c r="D28" s="6" t="s">
        <v>391</v>
      </c>
    </row>
    <row r="29" spans="2:4">
      <c r="B29" s="6" t="s">
        <v>392</v>
      </c>
      <c r="C29" s="6" t="s">
        <v>393</v>
      </c>
      <c r="D29" s="6" t="s">
        <v>394</v>
      </c>
    </row>
    <row r="30" spans="2:4">
      <c r="B30" s="6" t="s">
        <v>395</v>
      </c>
      <c r="C30" s="6" t="s">
        <v>396</v>
      </c>
      <c r="D30" s="6" t="s">
        <v>397</v>
      </c>
    </row>
    <row r="31" spans="2:4">
      <c r="B31" s="6" t="s">
        <v>398</v>
      </c>
      <c r="C31" s="6" t="s">
        <v>399</v>
      </c>
      <c r="D31" s="6" t="s">
        <v>400</v>
      </c>
    </row>
    <row r="32" spans="2:4">
      <c r="B32" s="6" t="s">
        <v>401</v>
      </c>
      <c r="C32" s="6" t="s">
        <v>401</v>
      </c>
      <c r="D32" s="23" t="s">
        <v>402</v>
      </c>
    </row>
    <row r="33" spans="2:4">
      <c r="B33" s="6" t="s">
        <v>403</v>
      </c>
      <c r="C33" s="23" t="s">
        <v>404</v>
      </c>
      <c r="D33" s="23" t="s">
        <v>405</v>
      </c>
    </row>
    <row r="34" spans="2:4">
      <c r="B34" s="23" t="s">
        <v>406</v>
      </c>
      <c r="C34" s="23" t="s">
        <v>407</v>
      </c>
      <c r="D34" s="23" t="s">
        <v>407</v>
      </c>
    </row>
    <row r="35" spans="2:4">
      <c r="B35" s="6" t="s">
        <v>408</v>
      </c>
      <c r="C35" s="6" t="s">
        <v>409</v>
      </c>
      <c r="D35" s="6" t="s">
        <v>410</v>
      </c>
    </row>
    <row r="36" spans="2:4">
      <c r="B36" s="23" t="s">
        <v>411</v>
      </c>
      <c r="C36" s="23" t="s">
        <v>412</v>
      </c>
      <c r="D36" s="23" t="s">
        <v>413</v>
      </c>
    </row>
    <row r="37" spans="2:4">
      <c r="B37" s="6" t="s">
        <v>414</v>
      </c>
      <c r="C37" s="6" t="s">
        <v>415</v>
      </c>
      <c r="D37" s="6" t="s">
        <v>416</v>
      </c>
    </row>
    <row r="38" spans="2:4">
      <c r="B38" s="6" t="s">
        <v>417</v>
      </c>
      <c r="C38" s="6" t="s">
        <v>418</v>
      </c>
      <c r="D38" s="6" t="s">
        <v>419</v>
      </c>
    </row>
    <row r="39" spans="2:4">
      <c r="B39" s="6" t="s">
        <v>420</v>
      </c>
      <c r="C39" s="6" t="s">
        <v>421</v>
      </c>
      <c r="D39" s="6" t="s">
        <v>422</v>
      </c>
    </row>
    <row r="40" spans="2:4">
      <c r="B40" s="6" t="s">
        <v>423</v>
      </c>
      <c r="C40" s="23" t="s">
        <v>424</v>
      </c>
      <c r="D40" s="23" t="s">
        <v>425</v>
      </c>
    </row>
    <row r="41" spans="2:4">
      <c r="B41" s="6" t="s">
        <v>426</v>
      </c>
      <c r="C41" s="23" t="s">
        <v>427</v>
      </c>
      <c r="D41" s="23" t="s">
        <v>428</v>
      </c>
    </row>
    <row r="42" spans="2:4">
      <c r="B42" s="6" t="s">
        <v>429</v>
      </c>
      <c r="C42" s="6" t="s">
        <v>430</v>
      </c>
      <c r="D42" s="6" t="s">
        <v>431</v>
      </c>
    </row>
    <row r="43" spans="2:4">
      <c r="B43" s="23" t="s">
        <v>432</v>
      </c>
      <c r="C43" s="23" t="s">
        <v>433</v>
      </c>
      <c r="D43" s="23" t="s">
        <v>434</v>
      </c>
    </row>
    <row r="44" spans="2:4">
      <c r="B44" s="6" t="s">
        <v>435</v>
      </c>
      <c r="C44" s="6" t="s">
        <v>436</v>
      </c>
      <c r="D44" s="6" t="s">
        <v>437</v>
      </c>
    </row>
    <row r="45" spans="2:4">
      <c r="B45" s="6" t="s">
        <v>438</v>
      </c>
      <c r="C45" s="6" t="s">
        <v>439</v>
      </c>
      <c r="D45" s="6" t="s">
        <v>440</v>
      </c>
    </row>
    <row r="46" spans="2:4">
      <c r="B46" s="6" t="s">
        <v>441</v>
      </c>
      <c r="C46" s="6" t="s">
        <v>442</v>
      </c>
      <c r="D46" s="6" t="s">
        <v>443</v>
      </c>
    </row>
    <row r="47" spans="2:4">
      <c r="B47" s="23" t="s">
        <v>444</v>
      </c>
      <c r="C47" s="23" t="s">
        <v>445</v>
      </c>
      <c r="D47" s="23" t="s">
        <v>446</v>
      </c>
    </row>
    <row r="48" spans="2:4">
      <c r="B48" s="6" t="s">
        <v>447</v>
      </c>
      <c r="C48" s="6" t="s">
        <v>448</v>
      </c>
      <c r="D48" s="6" t="s">
        <v>449</v>
      </c>
    </row>
    <row r="49" spans="2:4">
      <c r="B49" s="6" t="s">
        <v>450</v>
      </c>
      <c r="C49" s="6" t="s">
        <v>451</v>
      </c>
      <c r="D49" s="6" t="s">
        <v>452</v>
      </c>
    </row>
    <row r="50" spans="2:4">
      <c r="B50" s="23" t="s">
        <v>453</v>
      </c>
      <c r="C50" s="23" t="s">
        <v>454</v>
      </c>
      <c r="D50" s="23" t="s">
        <v>455</v>
      </c>
    </row>
    <row r="51" spans="2:4">
      <c r="B51" s="23" t="s">
        <v>456</v>
      </c>
      <c r="C51" s="23" t="s">
        <v>457</v>
      </c>
      <c r="D51" s="23" t="s">
        <v>458</v>
      </c>
    </row>
    <row r="52" spans="2:4">
      <c r="B52" s="23" t="s">
        <v>459</v>
      </c>
      <c r="C52" s="23" t="s">
        <v>460</v>
      </c>
      <c r="D52" s="23" t="s">
        <v>461</v>
      </c>
    </row>
    <row r="53" spans="2:4">
      <c r="B53" s="23" t="s">
        <v>462</v>
      </c>
      <c r="C53" s="23" t="s">
        <v>463</v>
      </c>
      <c r="D53" s="23" t="s">
        <v>464</v>
      </c>
    </row>
    <row r="54" spans="2:4">
      <c r="B54" s="23" t="s">
        <v>465</v>
      </c>
      <c r="C54" s="23" t="s">
        <v>466</v>
      </c>
      <c r="D54" s="23" t="s">
        <v>467</v>
      </c>
    </row>
    <row r="55" spans="2:4">
      <c r="B55" s="23" t="s">
        <v>468</v>
      </c>
      <c r="C55" s="23" t="s">
        <v>469</v>
      </c>
      <c r="D55" s="23" t="s">
        <v>470</v>
      </c>
    </row>
    <row r="56" spans="2:4">
      <c r="B56" s="23" t="s">
        <v>471</v>
      </c>
      <c r="C56" s="23" t="s">
        <v>472</v>
      </c>
      <c r="D56" s="23" t="s">
        <v>473</v>
      </c>
    </row>
    <row r="57" spans="2:4">
      <c r="B57" s="23" t="s">
        <v>459</v>
      </c>
      <c r="C57" s="23" t="s">
        <v>474</v>
      </c>
      <c r="D57" s="23" t="s">
        <v>475</v>
      </c>
    </row>
    <row r="58" spans="2:4">
      <c r="B58" s="23" t="s">
        <v>476</v>
      </c>
      <c r="C58" s="23" t="s">
        <v>477</v>
      </c>
      <c r="D58" s="23" t="s">
        <v>478</v>
      </c>
    </row>
    <row r="59" spans="2:4">
      <c r="B59" s="23" t="s">
        <v>479</v>
      </c>
      <c r="C59" s="23" t="s">
        <v>480</v>
      </c>
      <c r="D59" s="23" t="s">
        <v>481</v>
      </c>
    </row>
    <row r="60" spans="2:4">
      <c r="B60" s="23" t="s">
        <v>482</v>
      </c>
      <c r="C60" s="23" t="s">
        <v>483</v>
      </c>
      <c r="D60" s="23" t="s">
        <v>484</v>
      </c>
    </row>
    <row r="61" spans="2:4">
      <c r="B61" s="23" t="s">
        <v>485</v>
      </c>
      <c r="C61" s="23" t="s">
        <v>486</v>
      </c>
      <c r="D61" s="23" t="s">
        <v>487</v>
      </c>
    </row>
    <row r="62" spans="2:4">
      <c r="B62" s="23" t="s">
        <v>488</v>
      </c>
      <c r="C62" s="23" t="s">
        <v>489</v>
      </c>
      <c r="D62" s="23" t="s">
        <v>490</v>
      </c>
    </row>
    <row r="63" spans="2:4">
      <c r="B63" s="23" t="s">
        <v>491</v>
      </c>
      <c r="C63" s="23" t="s">
        <v>492</v>
      </c>
      <c r="D63" s="23" t="s">
        <v>493</v>
      </c>
    </row>
    <row r="64" spans="2:4">
      <c r="B64" s="23" t="s">
        <v>494</v>
      </c>
      <c r="C64" s="23" t="s">
        <v>495</v>
      </c>
      <c r="D64" s="23" t="s">
        <v>496</v>
      </c>
    </row>
    <row r="65" spans="2:4">
      <c r="B65" s="23" t="s">
        <v>497</v>
      </c>
      <c r="C65" s="23" t="s">
        <v>498</v>
      </c>
      <c r="D65" s="23" t="s">
        <v>499</v>
      </c>
    </row>
    <row r="66" spans="2:4">
      <c r="B66" s="23" t="s">
        <v>500</v>
      </c>
      <c r="C66" s="23" t="s">
        <v>501</v>
      </c>
      <c r="D66" s="23" t="s">
        <v>502</v>
      </c>
    </row>
    <row r="67" spans="2:4">
      <c r="B67" s="23" t="s">
        <v>503</v>
      </c>
      <c r="C67" s="23" t="s">
        <v>504</v>
      </c>
      <c r="D67" s="23" t="s">
        <v>505</v>
      </c>
    </row>
    <row r="68" spans="2:4">
      <c r="B68" s="23" t="s">
        <v>506</v>
      </c>
      <c r="C68" s="23" t="s">
        <v>507</v>
      </c>
      <c r="D68" s="23" t="s">
        <v>508</v>
      </c>
    </row>
    <row r="69" spans="2:4">
      <c r="B69" s="23" t="s">
        <v>509</v>
      </c>
      <c r="C69" s="23" t="s">
        <v>510</v>
      </c>
      <c r="D69" s="23" t="s">
        <v>511</v>
      </c>
    </row>
    <row r="70" spans="2:4">
      <c r="B70" s="23" t="s">
        <v>512</v>
      </c>
      <c r="C70" s="23" t="s">
        <v>513</v>
      </c>
      <c r="D70" s="23" t="s">
        <v>514</v>
      </c>
    </row>
    <row r="71" spans="2:4">
      <c r="B71" s="23" t="s">
        <v>515</v>
      </c>
      <c r="C71" s="23" t="s">
        <v>516</v>
      </c>
      <c r="D71" s="23" t="s">
        <v>517</v>
      </c>
    </row>
    <row r="72" spans="2:4">
      <c r="B72" s="23" t="s">
        <v>518</v>
      </c>
      <c r="C72" s="23" t="s">
        <v>519</v>
      </c>
      <c r="D72" s="23" t="s">
        <v>520</v>
      </c>
    </row>
    <row r="73" spans="2:4">
      <c r="B73" s="23" t="s">
        <v>521</v>
      </c>
      <c r="C73" s="23" t="s">
        <v>522</v>
      </c>
      <c r="D73" s="23" t="s">
        <v>523</v>
      </c>
    </row>
    <row r="74" spans="2:4">
      <c r="B74" s="23" t="s">
        <v>524</v>
      </c>
      <c r="C74" s="23" t="s">
        <v>525</v>
      </c>
      <c r="D74" s="23" t="s">
        <v>526</v>
      </c>
    </row>
    <row r="75" spans="2:4">
      <c r="B75" s="23" t="s">
        <v>527</v>
      </c>
      <c r="C75" s="23" t="s">
        <v>528</v>
      </c>
      <c r="D75" s="23" t="s">
        <v>529</v>
      </c>
    </row>
    <row r="76" spans="2:4">
      <c r="B76" s="23" t="s">
        <v>530</v>
      </c>
      <c r="C76" s="23" t="s">
        <v>531</v>
      </c>
      <c r="D76" s="23" t="s">
        <v>532</v>
      </c>
    </row>
    <row r="77" spans="2:4">
      <c r="B77" s="23" t="s">
        <v>533</v>
      </c>
      <c r="C77" s="23" t="s">
        <v>534</v>
      </c>
      <c r="D77" s="23" t="s">
        <v>535</v>
      </c>
    </row>
    <row r="78" spans="2:4">
      <c r="B78" s="23" t="s">
        <v>536</v>
      </c>
      <c r="C78" s="23" t="s">
        <v>537</v>
      </c>
      <c r="D78" s="23" t="s">
        <v>538</v>
      </c>
    </row>
    <row r="79" spans="2:4">
      <c r="B79" s="23" t="s">
        <v>539</v>
      </c>
      <c r="C79" s="23" t="s">
        <v>540</v>
      </c>
      <c r="D79" s="23" t="s">
        <v>541</v>
      </c>
    </row>
    <row r="80" spans="2:4">
      <c r="B80" s="23" t="s">
        <v>542</v>
      </c>
      <c r="C80" s="23" t="s">
        <v>543</v>
      </c>
      <c r="D80" s="23" t="s">
        <v>544</v>
      </c>
    </row>
    <row r="81" spans="2:4">
      <c r="B81" s="23" t="s">
        <v>545</v>
      </c>
      <c r="C81" s="23" t="s">
        <v>546</v>
      </c>
      <c r="D81" s="23" t="s">
        <v>547</v>
      </c>
    </row>
    <row r="82" spans="2:4">
      <c r="B82" s="23" t="s">
        <v>548</v>
      </c>
      <c r="C82" s="23" t="s">
        <v>549</v>
      </c>
      <c r="D82" s="23" t="s">
        <v>550</v>
      </c>
    </row>
    <row r="83" spans="2:4">
      <c r="B83" s="23" t="s">
        <v>551</v>
      </c>
      <c r="C83" s="23" t="s">
        <v>552</v>
      </c>
      <c r="D83" s="23" t="s">
        <v>553</v>
      </c>
    </row>
    <row r="84" spans="2:4">
      <c r="B84" s="23" t="s">
        <v>554</v>
      </c>
      <c r="C84" s="23" t="s">
        <v>555</v>
      </c>
      <c r="D84" s="23" t="s">
        <v>556</v>
      </c>
    </row>
    <row r="85" spans="2:4">
      <c r="B85" s="23" t="s">
        <v>557</v>
      </c>
      <c r="C85" s="23" t="s">
        <v>558</v>
      </c>
      <c r="D85" s="23" t="s">
        <v>559</v>
      </c>
    </row>
    <row r="86" spans="2:4">
      <c r="B86" s="23" t="s">
        <v>560</v>
      </c>
      <c r="C86" s="23" t="s">
        <v>561</v>
      </c>
      <c r="D86" s="23" t="s">
        <v>562</v>
      </c>
    </row>
    <row r="87" spans="2:4">
      <c r="B87" s="23" t="s">
        <v>563</v>
      </c>
      <c r="C87" s="23" t="s">
        <v>564</v>
      </c>
      <c r="D87" s="23" t="s">
        <v>565</v>
      </c>
    </row>
    <row r="88" spans="2:4">
      <c r="B88" s="23" t="s">
        <v>566</v>
      </c>
      <c r="C88" s="23" t="s">
        <v>567</v>
      </c>
      <c r="D88" s="23" t="s">
        <v>568</v>
      </c>
    </row>
    <row r="89" spans="2:4">
      <c r="B89" s="23" t="s">
        <v>569</v>
      </c>
      <c r="C89" s="23" t="s">
        <v>570</v>
      </c>
      <c r="D89" s="23" t="s">
        <v>571</v>
      </c>
    </row>
    <row r="90" spans="2:4">
      <c r="B90" s="23" t="s">
        <v>572</v>
      </c>
      <c r="C90" s="23" t="s">
        <v>573</v>
      </c>
      <c r="D90" s="23" t="s">
        <v>574</v>
      </c>
    </row>
    <row r="91" spans="2:4">
      <c r="B91" s="23" t="s">
        <v>575</v>
      </c>
      <c r="C91" s="23" t="s">
        <v>576</v>
      </c>
      <c r="D91" s="23" t="s">
        <v>577</v>
      </c>
    </row>
    <row r="92" spans="2:4">
      <c r="B92" s="23" t="s">
        <v>578</v>
      </c>
      <c r="C92" s="23" t="s">
        <v>579</v>
      </c>
      <c r="D92" s="23" t="s">
        <v>580</v>
      </c>
    </row>
    <row r="93" spans="2:4">
      <c r="B93" s="23" t="s">
        <v>581</v>
      </c>
      <c r="C93" s="23" t="s">
        <v>582</v>
      </c>
      <c r="D93" s="23" t="s">
        <v>583</v>
      </c>
    </row>
    <row r="94" spans="2:4">
      <c r="B94" s="23" t="s">
        <v>584</v>
      </c>
      <c r="C94" s="23" t="s">
        <v>585</v>
      </c>
      <c r="D94" s="23" t="s">
        <v>586</v>
      </c>
    </row>
    <row r="95" spans="2:4">
      <c r="B95" s="23" t="s">
        <v>587</v>
      </c>
      <c r="C95" s="23" t="s">
        <v>588</v>
      </c>
      <c r="D95" s="23" t="s">
        <v>589</v>
      </c>
    </row>
    <row r="96" spans="2:4">
      <c r="B96" s="23" t="s">
        <v>590</v>
      </c>
      <c r="C96" s="23" t="s">
        <v>591</v>
      </c>
      <c r="D96" s="23" t="s">
        <v>592</v>
      </c>
    </row>
    <row r="97" spans="2:4">
      <c r="B97" s="23" t="s">
        <v>593</v>
      </c>
      <c r="C97" s="23" t="s">
        <v>594</v>
      </c>
      <c r="D97" s="23" t="s">
        <v>595</v>
      </c>
    </row>
    <row r="98" spans="2:4">
      <c r="B98" s="23" t="s">
        <v>596</v>
      </c>
      <c r="C98" s="23" t="s">
        <v>597</v>
      </c>
      <c r="D98" s="23" t="s">
        <v>598</v>
      </c>
    </row>
    <row r="99" spans="2:4">
      <c r="B99" s="23" t="s">
        <v>599</v>
      </c>
      <c r="C99" s="23" t="s">
        <v>600</v>
      </c>
      <c r="D99" s="23" t="s">
        <v>601</v>
      </c>
    </row>
    <row r="100" spans="2:4">
      <c r="B100" s="23" t="s">
        <v>602</v>
      </c>
      <c r="C100" s="23" t="s">
        <v>603</v>
      </c>
      <c r="D100" s="23" t="s">
        <v>604</v>
      </c>
    </row>
    <row r="101" spans="2:4">
      <c r="B101" s="23" t="s">
        <v>605</v>
      </c>
      <c r="C101" s="23" t="s">
        <v>606</v>
      </c>
      <c r="D101" s="23" t="s">
        <v>607</v>
      </c>
    </row>
    <row r="102" spans="2:4">
      <c r="B102" s="23" t="s">
        <v>608</v>
      </c>
      <c r="C102" s="23" t="s">
        <v>609</v>
      </c>
      <c r="D102" s="23" t="s">
        <v>610</v>
      </c>
    </row>
    <row r="103" spans="2:4">
      <c r="B103" s="23" t="s">
        <v>611</v>
      </c>
      <c r="C103" s="23" t="s">
        <v>612</v>
      </c>
      <c r="D103" s="23" t="s">
        <v>613</v>
      </c>
    </row>
    <row r="104" spans="2:4">
      <c r="B104" s="23" t="s">
        <v>614</v>
      </c>
      <c r="C104" s="23" t="s">
        <v>615</v>
      </c>
      <c r="D104" s="23" t="s">
        <v>616</v>
      </c>
    </row>
    <row r="105" spans="2:4">
      <c r="B105" s="23" t="s">
        <v>617</v>
      </c>
      <c r="C105" s="23" t="s">
        <v>618</v>
      </c>
      <c r="D105" s="23" t="s">
        <v>619</v>
      </c>
    </row>
    <row r="106" spans="2:4">
      <c r="B106" s="23" t="s">
        <v>620</v>
      </c>
      <c r="C106" s="23" t="s">
        <v>621</v>
      </c>
      <c r="D106" s="23" t="s">
        <v>622</v>
      </c>
    </row>
    <row r="107" spans="2:4">
      <c r="B107" s="23" t="s">
        <v>623</v>
      </c>
      <c r="C107" s="23" t="s">
        <v>624</v>
      </c>
      <c r="D107" s="23" t="s">
        <v>625</v>
      </c>
    </row>
    <row r="108" spans="2:4">
      <c r="B108" s="23" t="s">
        <v>626</v>
      </c>
      <c r="C108" s="23" t="s">
        <v>627</v>
      </c>
      <c r="D108" s="23" t="s">
        <v>628</v>
      </c>
    </row>
    <row r="109" spans="2:4">
      <c r="B109" s="23" t="s">
        <v>629</v>
      </c>
      <c r="C109" s="23" t="s">
        <v>630</v>
      </c>
      <c r="D109" s="23" t="s">
        <v>631</v>
      </c>
    </row>
    <row r="110" spans="2:4">
      <c r="B110" s="23" t="s">
        <v>632</v>
      </c>
      <c r="C110" s="23" t="s">
        <v>633</v>
      </c>
      <c r="D110" s="23" t="s">
        <v>634</v>
      </c>
    </row>
    <row r="111" spans="2:4">
      <c r="B111" s="23" t="s">
        <v>635</v>
      </c>
      <c r="C111" s="23" t="s">
        <v>636</v>
      </c>
      <c r="D111" s="23" t="s">
        <v>637</v>
      </c>
    </row>
    <row r="112" spans="2:4">
      <c r="B112" s="49" t="s">
        <v>638</v>
      </c>
      <c r="C112" s="49" t="s">
        <v>639</v>
      </c>
      <c r="D112" s="49" t="s">
        <v>640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AE18"/>
  <sheetViews>
    <sheetView topLeftCell="H1" zoomScale="85" zoomScaleNormal="85" workbookViewId="0">
      <selection activeCell="O28" sqref="O28"/>
    </sheetView>
  </sheetViews>
  <sheetFormatPr defaultRowHeight="16.5" customHeight="1"/>
  <cols>
    <col min="2" max="2" width="26.875" customWidth="1"/>
    <col min="3" max="3" width="25.125" customWidth="1"/>
    <col min="4" max="4" width="17.625" customWidth="1"/>
    <col min="5" max="5" width="18.125" customWidth="1"/>
    <col min="6" max="6" width="20.5" customWidth="1"/>
    <col min="7" max="7" width="14.25" customWidth="1"/>
    <col min="8" max="8" width="21.5" customWidth="1"/>
    <col min="9" max="9" width="25.5" customWidth="1"/>
    <col min="10" max="10" width="24.5" customWidth="1"/>
    <col min="11" max="11" width="21.5" customWidth="1"/>
    <col min="12" max="12" width="17.75" bestFit="1" customWidth="1"/>
    <col min="13" max="13" width="20.625" bestFit="1" customWidth="1"/>
    <col min="14" max="14" width="30.75" customWidth="1"/>
    <col min="15" max="15" width="16.75" style="5" customWidth="1"/>
    <col min="16" max="16" width="18.375" style="5" customWidth="1"/>
    <col min="17" max="17" width="19.125" style="5" bestFit="1" customWidth="1"/>
    <col min="18" max="18" width="50.875" bestFit="1" customWidth="1"/>
    <col min="19" max="19" width="18.125" bestFit="1" customWidth="1"/>
  </cols>
  <sheetData>
    <row r="1" spans="2:31" ht="16.5" customHeight="1">
      <c r="B1" s="1" t="s">
        <v>641</v>
      </c>
      <c r="C1" s="6"/>
      <c r="D1" s="1" t="s">
        <v>642</v>
      </c>
      <c r="E1" s="1"/>
      <c r="F1" s="1" t="s">
        <v>643</v>
      </c>
      <c r="G1" s="1" t="s">
        <v>644</v>
      </c>
      <c r="H1" s="1" t="s">
        <v>645</v>
      </c>
      <c r="I1" s="1" t="s">
        <v>646</v>
      </c>
      <c r="J1" s="1" t="s">
        <v>647</v>
      </c>
      <c r="K1" s="52" t="s">
        <v>648</v>
      </c>
      <c r="L1" s="1" t="s">
        <v>649</v>
      </c>
      <c r="M1" s="1" t="s">
        <v>650</v>
      </c>
      <c r="N1" s="1" t="s">
        <v>651</v>
      </c>
      <c r="O1" s="1" t="s">
        <v>652</v>
      </c>
      <c r="P1" s="1" t="s">
        <v>653</v>
      </c>
      <c r="Q1" s="1" t="s">
        <v>654</v>
      </c>
      <c r="R1" s="1" t="s">
        <v>655</v>
      </c>
      <c r="S1" s="53" t="s">
        <v>656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2:31" s="22" customFormat="1" ht="16.5" customHeight="1">
      <c r="B2" s="79" t="s">
        <v>657</v>
      </c>
      <c r="C2" s="50" t="s">
        <v>658</v>
      </c>
      <c r="D2" s="51" t="s">
        <v>659</v>
      </c>
      <c r="E2" s="50" t="s">
        <v>658</v>
      </c>
      <c r="F2" s="71" t="s">
        <v>311</v>
      </c>
      <c r="G2" s="71" t="s">
        <v>660</v>
      </c>
      <c r="H2" s="51" t="s">
        <v>661</v>
      </c>
      <c r="I2" s="56" t="s">
        <v>662</v>
      </c>
      <c r="J2" s="56" t="s">
        <v>663</v>
      </c>
      <c r="K2" s="56" t="s">
        <v>664</v>
      </c>
      <c r="L2" s="76" t="s">
        <v>665</v>
      </c>
      <c r="M2" s="76" t="s">
        <v>666</v>
      </c>
      <c r="N2" s="76" t="s">
        <v>667</v>
      </c>
      <c r="O2" s="78" t="s">
        <v>668</v>
      </c>
      <c r="P2" s="56" t="s">
        <v>669</v>
      </c>
      <c r="Q2" s="56" t="s">
        <v>670</v>
      </c>
      <c r="R2" s="71" t="s">
        <v>10</v>
      </c>
      <c r="S2" s="55" t="s">
        <v>671</v>
      </c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s="6" customFormat="1" ht="16.5" customHeight="1">
      <c r="B3" s="6" t="str">
        <f>D3&amp;"_"&amp;F3&amp;"_"&amp;H3</f>
        <v>I_WTG01_VM_WESS_GLOB_15</v>
      </c>
      <c r="C3" s="6" t="s">
        <v>25</v>
      </c>
      <c r="D3" s="6" t="str" cm="1">
        <f t="array" ref="D3">INDEX(계측기코드!$D$4:$D$189,MATCH(1,(C3=계측기코드!$F$4:$F$190)*1,0))</f>
        <v>I_WTG01</v>
      </c>
      <c r="E3" s="6" t="s">
        <v>511</v>
      </c>
      <c r="F3" s="6" t="str" cm="1">
        <f t="array" ref="F3">INDEX(공급업체코드!$B$66:$B$150,MATCH(1,(E3=공급업체코드!$D$66:$D$150)*1,0))</f>
        <v>VM_WESS_GLOB</v>
      </c>
      <c r="G3" s="6" t="s">
        <v>672</v>
      </c>
      <c r="H3" s="6">
        <v>15</v>
      </c>
      <c r="I3" s="6">
        <v>68</v>
      </c>
      <c r="J3" s="6" t="s">
        <v>279</v>
      </c>
      <c r="K3" s="6" t="s">
        <v>673</v>
      </c>
      <c r="L3" s="9">
        <v>3800000</v>
      </c>
      <c r="M3" s="9"/>
      <c r="N3" s="61" t="s">
        <v>674</v>
      </c>
      <c r="O3" s="61" t="b">
        <v>1</v>
      </c>
      <c r="P3" s="61" t="str">
        <f>C3</f>
        <v>초음파식 수위계</v>
      </c>
      <c r="Q3" s="61"/>
      <c r="R3" s="6" t="s">
        <v>675</v>
      </c>
    </row>
    <row r="4" spans="2:31" s="6" customFormat="1" ht="16.5" customHeight="1">
      <c r="B4" s="6" t="str">
        <f t="shared" ref="B4:B5" si="0">D4&amp;"_"&amp;F4&amp;"_"&amp;H4</f>
        <v>I_WTG02_VM_HITROL_CO_20</v>
      </c>
      <c r="C4" s="6" t="s">
        <v>27</v>
      </c>
      <c r="D4" s="6" t="str" cm="1">
        <f t="array" ref="D4">INDEX(계측기코드!$D$4:$D$189,MATCH(1,(C4=계측기코드!$F$4:$F$190)*1,0))</f>
        <v>I_WTG02</v>
      </c>
      <c r="E4" s="6" t="s">
        <v>547</v>
      </c>
      <c r="F4" s="6" t="str" cm="1">
        <f t="array" ref="F4">INDEX(공급업체코드!$B$66:$B$150,MATCH(1,(E4=공급업체코드!$D$66:$D$150)*1,0))</f>
        <v>VM_HITROL_CO</v>
      </c>
      <c r="G4" s="6" t="s">
        <v>676</v>
      </c>
      <c r="H4" s="6">
        <v>20</v>
      </c>
      <c r="K4" s="6" t="s">
        <v>673</v>
      </c>
      <c r="L4" s="9">
        <v>5310000</v>
      </c>
      <c r="M4" s="9"/>
      <c r="N4" s="61" t="s">
        <v>677</v>
      </c>
      <c r="O4" s="61" t="b">
        <v>1</v>
      </c>
      <c r="P4" s="61" t="str">
        <f t="shared" ref="P4:P8" si="1">C4</f>
        <v>레이더식 수위계</v>
      </c>
      <c r="Q4" s="61"/>
      <c r="R4" s="6" t="s">
        <v>678</v>
      </c>
      <c r="S4"/>
    </row>
    <row r="5" spans="2:31" s="6" customFormat="1" ht="16.5" customHeight="1">
      <c r="B5" s="6" t="str">
        <f t="shared" si="0"/>
        <v>I_WTG03_VM_HITROL_CO_7.5</v>
      </c>
      <c r="C5" s="6" t="s">
        <v>29</v>
      </c>
      <c r="D5" s="6" t="str" cm="1">
        <f t="array" ref="D5">INDEX(계측기코드!$D$4:$D$189,MATCH(1,(C5=계측기코드!$F$4:$F$190)*1,0))</f>
        <v>I_WTG03</v>
      </c>
      <c r="E5" s="6" t="s">
        <v>547</v>
      </c>
      <c r="F5" s="6" t="str" cm="1">
        <f t="array" ref="F5">INDEX(공급업체코드!$B$66:$B$150,MATCH(1,(E5=공급업체코드!$D$66:$D$150)*1,0))</f>
        <v>VM_HITROL_CO</v>
      </c>
      <c r="G5" s="6" t="s">
        <v>679</v>
      </c>
      <c r="H5" s="6">
        <v>7.5</v>
      </c>
      <c r="I5" s="6">
        <v>54</v>
      </c>
      <c r="J5" s="6" t="s">
        <v>234</v>
      </c>
      <c r="K5" s="6" t="s">
        <v>673</v>
      </c>
      <c r="L5" s="9">
        <v>2530000</v>
      </c>
      <c r="M5" s="9"/>
      <c r="N5" s="61" t="s">
        <v>677</v>
      </c>
      <c r="O5" s="61" t="b">
        <v>1</v>
      </c>
      <c r="P5" s="61" t="str">
        <f t="shared" si="1"/>
        <v>플로트식 수위계</v>
      </c>
      <c r="Q5" s="61"/>
      <c r="R5" s="6" t="s">
        <v>680</v>
      </c>
    </row>
    <row r="6" spans="2:31" s="6" customFormat="1" ht="16.5" customHeight="1">
      <c r="B6" s="6" t="str">
        <f t="shared" ref="B6" si="2">D6&amp;"_"&amp;F6&amp;"_"&amp;H6</f>
        <v>I_WTG04_VM_HITROL_CO_6</v>
      </c>
      <c r="C6" s="6" t="s">
        <v>31</v>
      </c>
      <c r="D6" s="6" t="str" cm="1">
        <f t="array" ref="D6">INDEX(계측기코드!$D$4:$D$189,MATCH(1,(C6=계측기코드!$F$4:$F$190)*1,0))</f>
        <v>I_WTG04</v>
      </c>
      <c r="E6" s="6" t="s">
        <v>547</v>
      </c>
      <c r="F6" s="6" t="str" cm="1">
        <f t="array" ref="F6">INDEX(공급업체코드!$B$66:$B$150,MATCH(1,(E6=공급업체코드!$D$66:$D$150)*1,0))</f>
        <v>VM_HITROL_CO</v>
      </c>
      <c r="G6" s="6" t="s">
        <v>681</v>
      </c>
      <c r="H6" s="6">
        <v>6</v>
      </c>
      <c r="I6" s="6">
        <v>54</v>
      </c>
      <c r="J6" s="6" t="s">
        <v>285</v>
      </c>
      <c r="K6" s="6" t="s">
        <v>673</v>
      </c>
      <c r="L6" s="9">
        <v>540000</v>
      </c>
      <c r="M6" s="9"/>
      <c r="N6" s="61" t="s">
        <v>677</v>
      </c>
      <c r="O6" s="61" t="b">
        <v>1</v>
      </c>
      <c r="P6" s="61" t="str">
        <f t="shared" si="1"/>
        <v>오뚜기식 수위스위치</v>
      </c>
      <c r="Q6" s="61"/>
      <c r="R6" s="6" t="s">
        <v>682</v>
      </c>
    </row>
    <row r="7" spans="2:31" s="6" customFormat="1" ht="16.5" customHeight="1">
      <c r="B7" s="6" t="str">
        <f t="shared" ref="B7" si="3">D7&amp;"_"&amp;F7&amp;"_"&amp;H7</f>
        <v>I_WTG05_VM_HITROL_CO_4</v>
      </c>
      <c r="C7" s="6" t="s">
        <v>33</v>
      </c>
      <c r="D7" s="6" t="str" cm="1">
        <f t="array" ref="D7">INDEX(계측기코드!$D$4:$D$189,MATCH(1,(C7=계측기코드!$F$4:$F$190)*1,0))</f>
        <v>I_WTG05</v>
      </c>
      <c r="E7" s="6" t="s">
        <v>547</v>
      </c>
      <c r="F7" s="6" t="str" cm="1">
        <f t="array" ref="F7">INDEX(공급업체코드!$B$66:$B$150,MATCH(1,(E7=공급업체코드!$D$66:$D$150)*1,0))</f>
        <v>VM_HITROL_CO</v>
      </c>
      <c r="G7" s="6" t="s">
        <v>683</v>
      </c>
      <c r="H7" s="6">
        <v>4</v>
      </c>
      <c r="I7" s="6">
        <v>65</v>
      </c>
      <c r="J7" s="6" t="s">
        <v>234</v>
      </c>
      <c r="K7" s="6" t="s">
        <v>673</v>
      </c>
      <c r="L7" s="9">
        <v>1310000</v>
      </c>
      <c r="M7" s="9"/>
      <c r="N7" s="61" t="s">
        <v>677</v>
      </c>
      <c r="O7" s="61" t="b">
        <v>1</v>
      </c>
      <c r="P7" s="61" t="str">
        <f t="shared" si="1"/>
        <v>플로트식 수위스위치</v>
      </c>
      <c r="Q7" s="61"/>
      <c r="R7" s="6" t="s">
        <v>684</v>
      </c>
      <c r="T7"/>
      <c r="U7"/>
    </row>
    <row r="8" spans="2:31" s="6" customFormat="1" ht="16.5" customHeight="1">
      <c r="B8" s="6" t="str">
        <f t="shared" ref="B8" si="4">D8&amp;"_"&amp;F8&amp;"_"&amp;H8</f>
        <v>I_WTG06_VM_HITROL_CO_4</v>
      </c>
      <c r="C8" s="6" t="s">
        <v>35</v>
      </c>
      <c r="D8" s="6" t="str" cm="1">
        <f t="array" ref="D8">INDEX(계측기코드!$D$4:$D$189,MATCH(1,(C8=계측기코드!$F$4:$F$190)*1,0))</f>
        <v>I_WTG06</v>
      </c>
      <c r="E8" s="6" t="s">
        <v>547</v>
      </c>
      <c r="F8" s="6" t="str" cm="1">
        <f t="array" ref="F8">INDEX(공급업체코드!$B$66:$B$150,MATCH(1,(E8=공급업체코드!$D$66:$D$150)*1,0))</f>
        <v>VM_HITROL_CO</v>
      </c>
      <c r="G8" s="6" t="s">
        <v>685</v>
      </c>
      <c r="H8" s="6">
        <v>4</v>
      </c>
      <c r="I8" s="6">
        <v>54</v>
      </c>
      <c r="J8" s="6" t="s">
        <v>281</v>
      </c>
      <c r="K8" s="6" t="s">
        <v>673</v>
      </c>
      <c r="L8" s="9">
        <v>930000</v>
      </c>
      <c r="M8" s="9"/>
      <c r="N8" s="61" t="s">
        <v>677</v>
      </c>
      <c r="O8" s="61" t="b">
        <v>1</v>
      </c>
      <c r="P8" s="61" t="str">
        <f t="shared" si="1"/>
        <v>전극식 수위치</v>
      </c>
      <c r="Q8" s="61"/>
      <c r="R8" s="6" t="s">
        <v>686</v>
      </c>
    </row>
    <row r="9" spans="2:31" s="6" customFormat="1" ht="16.5" customHeight="1"/>
    <row r="10" spans="2:31" s="6" customFormat="1" ht="16.5" customHeight="1"/>
    <row r="11" spans="2:31" s="6" customFormat="1" ht="16.5" customHeight="1"/>
    <row r="12" spans="2:31" ht="16.5" customHeight="1">
      <c r="E12" s="8"/>
      <c r="F12" s="8"/>
      <c r="G12" s="8"/>
    </row>
    <row r="13" spans="2:31" ht="16.5" customHeight="1">
      <c r="E13" s="5"/>
      <c r="F13" s="5"/>
      <c r="G13" s="8"/>
      <c r="H13" s="7"/>
      <c r="I13" s="7"/>
      <c r="J13" s="7"/>
      <c r="K13" s="7"/>
    </row>
    <row r="14" spans="2:31" ht="16.5" customHeight="1">
      <c r="E14" s="8"/>
      <c r="F14" s="8"/>
      <c r="G14" s="5"/>
      <c r="H14" s="5"/>
      <c r="I14" s="5"/>
      <c r="J14" s="5"/>
      <c r="K14" s="5"/>
    </row>
    <row r="15" spans="2:31" ht="16.5" customHeight="1">
      <c r="F15" s="8"/>
      <c r="G15" s="8"/>
      <c r="H15" s="5"/>
      <c r="I15" s="5"/>
      <c r="J15" s="5"/>
      <c r="K15" s="5"/>
    </row>
    <row r="16" spans="2:31" ht="16.5" customHeight="1">
      <c r="F16" s="8"/>
      <c r="G16" s="8"/>
      <c r="H16" s="5"/>
      <c r="I16" s="5"/>
      <c r="J16" s="5"/>
      <c r="K16" s="5"/>
    </row>
    <row r="17" spans="8:11" ht="16.5" customHeight="1">
      <c r="H17" s="5"/>
      <c r="I17" s="5"/>
      <c r="J17" s="5"/>
      <c r="K17" s="5"/>
    </row>
    <row r="18" spans="8:11" ht="16.5" customHeight="1">
      <c r="H18" s="5"/>
      <c r="I18" s="5"/>
      <c r="J18" s="5"/>
      <c r="K18" s="5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951860-7281-4432-90DF-718E02355983}">
          <x14:formula1>
            <xm:f>공급업체코드!$D$66:$D$111</xm:f>
          </x14:formula1>
          <xm:sqref>E3:E8</xm:sqref>
        </x14:dataValidation>
        <x14:dataValidation type="list" allowBlank="1" showInputMessage="1" showErrorMessage="1" xr:uid="{B9EBE145-1EC5-44EF-A07C-739EF683D43C}">
          <x14:formula1>
            <xm:f>계측기코드!$F$4:$F$10</xm:f>
          </x14:formula1>
          <xm:sqref>C3:C8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DBAA-C1F4-4018-9387-0877FFB7DF24}">
  <dimension ref="A1:AE42"/>
  <sheetViews>
    <sheetView topLeftCell="G1" zoomScale="85" zoomScaleNormal="85" workbookViewId="0">
      <selection activeCell="P17" sqref="P17"/>
    </sheetView>
  </sheetViews>
  <sheetFormatPr defaultRowHeight="16.5" customHeight="1"/>
  <cols>
    <col min="1" max="1" width="23.375" customWidth="1"/>
    <col min="2" max="2" width="40.75" bestFit="1" customWidth="1"/>
    <col min="3" max="3" width="26" customWidth="1"/>
    <col min="4" max="4" width="19.75" customWidth="1"/>
    <col min="5" max="6" width="18.125" customWidth="1"/>
    <col min="7" max="7" width="17" customWidth="1"/>
    <col min="8" max="8" width="17.25" customWidth="1"/>
    <col min="9" max="9" width="24.125" bestFit="1" customWidth="1"/>
    <col min="10" max="10" width="20.875" bestFit="1" customWidth="1"/>
    <col min="11" max="11" width="14.625" customWidth="1"/>
    <col min="12" max="12" width="20.625" bestFit="1" customWidth="1"/>
    <col min="13" max="13" width="24.875" customWidth="1"/>
    <col min="14" max="14" width="28.75" customWidth="1"/>
    <col min="15" max="15" width="12.25" customWidth="1"/>
    <col min="16" max="16" width="20.5" bestFit="1" customWidth="1"/>
    <col min="17" max="17" width="19.125" bestFit="1" customWidth="1"/>
    <col min="18" max="18" width="35.375" customWidth="1"/>
    <col min="19" max="19" width="18.125" bestFit="1" customWidth="1"/>
  </cols>
  <sheetData>
    <row r="1" spans="1:31" ht="16.5" customHeight="1">
      <c r="B1" s="1" t="s">
        <v>641</v>
      </c>
      <c r="D1" s="1" t="s">
        <v>642</v>
      </c>
      <c r="E1" s="1"/>
      <c r="F1" s="1" t="s">
        <v>643</v>
      </c>
      <c r="G1" s="1" t="s">
        <v>687</v>
      </c>
      <c r="H1" s="1" t="s">
        <v>688</v>
      </c>
      <c r="I1" s="1" t="s">
        <v>646</v>
      </c>
      <c r="J1" s="1" t="s">
        <v>689</v>
      </c>
      <c r="K1" s="52" t="s">
        <v>648</v>
      </c>
      <c r="L1" s="1" t="s">
        <v>649</v>
      </c>
      <c r="M1" s="1" t="s">
        <v>650</v>
      </c>
      <c r="N1" s="53" t="s">
        <v>690</v>
      </c>
      <c r="O1" s="1" t="s">
        <v>652</v>
      </c>
      <c r="P1" s="1" t="s">
        <v>653</v>
      </c>
      <c r="Q1" s="1" t="s">
        <v>654</v>
      </c>
      <c r="R1" s="1" t="s">
        <v>655</v>
      </c>
      <c r="S1" s="53" t="s">
        <v>691</v>
      </c>
    </row>
    <row r="2" spans="1:31" s="22" customFormat="1" ht="16.5" customHeight="1">
      <c r="A2" s="22" t="s">
        <v>692</v>
      </c>
      <c r="B2" s="70" t="s">
        <v>657</v>
      </c>
      <c r="C2" s="50" t="s">
        <v>658</v>
      </c>
      <c r="D2" s="51" t="s">
        <v>659</v>
      </c>
      <c r="E2" s="50" t="s">
        <v>658</v>
      </c>
      <c r="F2" s="71" t="s">
        <v>693</v>
      </c>
      <c r="G2" s="71" t="s">
        <v>694</v>
      </c>
      <c r="H2" s="51" t="s">
        <v>695</v>
      </c>
      <c r="I2" s="56" t="s">
        <v>662</v>
      </c>
      <c r="J2" s="56" t="s">
        <v>696</v>
      </c>
      <c r="K2" s="56" t="s">
        <v>664</v>
      </c>
      <c r="L2" s="72" t="s">
        <v>665</v>
      </c>
      <c r="M2" s="72" t="s">
        <v>666</v>
      </c>
      <c r="N2" s="72" t="s">
        <v>697</v>
      </c>
      <c r="O2" s="55" t="s">
        <v>668</v>
      </c>
      <c r="P2" s="56" t="s">
        <v>669</v>
      </c>
      <c r="Q2" s="56" t="s">
        <v>670</v>
      </c>
      <c r="R2" s="57" t="s">
        <v>10</v>
      </c>
      <c r="S2" s="54" t="s">
        <v>698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6.5" customHeight="1">
      <c r="B3" s="6" t="str">
        <f>D3&amp;"_"&amp;F3&amp;"_"&amp;H3</f>
        <v>I_FLM01_VM_WINTEC_CORP_3</v>
      </c>
      <c r="C3" s="6" t="s">
        <v>43</v>
      </c>
      <c r="D3" s="6" t="str" cm="1">
        <f t="array" ref="D3">INDEX(계측기코드!$D$4:$D$189,MATCH(1,(C3=계측기코드!$F$4:$F$190)*1,0))</f>
        <v>I_FLM01</v>
      </c>
      <c r="E3" s="6" t="s">
        <v>538</v>
      </c>
      <c r="F3" s="6" t="str" cm="1">
        <f t="array" ref="F3">INDEX(공급업체코드!$B$66:$B$150,MATCH(1,(E3=공급업체코드!$D$66:$D$150)*1,0))</f>
        <v>VM_WINTEC_CORP</v>
      </c>
      <c r="G3" s="6" t="s">
        <v>699</v>
      </c>
      <c r="H3" s="6">
        <v>3</v>
      </c>
      <c r="I3" s="6"/>
      <c r="J3" s="6" t="s">
        <v>281</v>
      </c>
      <c r="K3" s="6" t="s">
        <v>673</v>
      </c>
      <c r="L3" s="9">
        <v>5184000</v>
      </c>
      <c r="N3" s="61" t="s">
        <v>700</v>
      </c>
      <c r="O3" s="61" t="b">
        <v>1</v>
      </c>
      <c r="P3" s="61" t="s">
        <v>701</v>
      </c>
      <c r="Q3" s="61" t="s">
        <v>702</v>
      </c>
      <c r="R3" s="6" t="s">
        <v>703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6.5" customHeight="1">
      <c r="B4" s="6" t="str">
        <f t="shared" ref="B4:B25" si="0">D4&amp;"_"&amp;F4&amp;"_"&amp;H4</f>
        <v>I_FLM01_VM_WINTEC_CORP_5</v>
      </c>
      <c r="C4" s="6" t="s">
        <v>43</v>
      </c>
      <c r="D4" s="6" t="str" cm="1">
        <f t="array" ref="D4">INDEX(계측기코드!$D$4:$D$189,MATCH(1,(C4=계측기코드!$F$4:$F$190)*1,0))</f>
        <v>I_FLM01</v>
      </c>
      <c r="E4" s="6" t="s">
        <v>538</v>
      </c>
      <c r="F4" s="6" t="str" cm="1">
        <f t="array" ref="F4">INDEX(공급업체코드!$B$66:$B$150,MATCH(1,(E4=공급업체코드!$D$66:$D$150)*1,0))</f>
        <v>VM_WINTEC_CORP</v>
      </c>
      <c r="G4" s="6" t="s">
        <v>699</v>
      </c>
      <c r="H4" s="6">
        <v>5</v>
      </c>
      <c r="I4" s="6"/>
      <c r="J4" s="6" t="s">
        <v>281</v>
      </c>
      <c r="K4" s="6" t="s">
        <v>673</v>
      </c>
      <c r="L4" s="9">
        <v>5184000</v>
      </c>
      <c r="N4" s="61" t="s">
        <v>700</v>
      </c>
      <c r="O4" s="61" t="b">
        <v>1</v>
      </c>
      <c r="P4" s="61" t="s">
        <v>701</v>
      </c>
      <c r="Q4" s="61" t="s">
        <v>704</v>
      </c>
      <c r="R4" s="6" t="s">
        <v>703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6.5" customHeight="1">
      <c r="B5" s="6" t="str">
        <f t="shared" si="0"/>
        <v>I_FLM01_VM_WINTEC_CORP_10</v>
      </c>
      <c r="C5" s="6" t="s">
        <v>43</v>
      </c>
      <c r="D5" s="6" t="str" cm="1">
        <f t="array" ref="D5">INDEX(계측기코드!$D$4:$D$189,MATCH(1,(C5=계측기코드!$F$4:$F$190)*1,0))</f>
        <v>I_FLM01</v>
      </c>
      <c r="E5" s="6" t="s">
        <v>538</v>
      </c>
      <c r="F5" s="6" t="str" cm="1">
        <f t="array" ref="F5">INDEX(공급업체코드!$B$66:$B$150,MATCH(1,(E5=공급업체코드!$D$66:$D$150)*1,0))</f>
        <v>VM_WINTEC_CORP</v>
      </c>
      <c r="G5" s="6" t="s">
        <v>699</v>
      </c>
      <c r="H5" s="6">
        <v>10</v>
      </c>
      <c r="I5" s="6"/>
      <c r="J5" s="6" t="s">
        <v>281</v>
      </c>
      <c r="K5" s="6" t="s">
        <v>673</v>
      </c>
      <c r="L5" s="9">
        <v>5184000</v>
      </c>
      <c r="N5" s="61" t="s">
        <v>700</v>
      </c>
      <c r="O5" s="61" t="b">
        <v>1</v>
      </c>
      <c r="P5" s="61" t="s">
        <v>701</v>
      </c>
      <c r="Q5" s="61" t="s">
        <v>705</v>
      </c>
      <c r="R5" s="6" t="s">
        <v>703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6.5" customHeight="1">
      <c r="A6" s="80" t="s">
        <v>706</v>
      </c>
      <c r="B6" s="6" t="str">
        <f t="shared" si="0"/>
        <v>I_FLM01_VM_WINTEC_CORP_15</v>
      </c>
      <c r="C6" s="6" t="s">
        <v>43</v>
      </c>
      <c r="D6" s="6" t="str" cm="1">
        <f t="array" ref="D6">INDEX(계측기코드!$D$4:$D$189,MATCH(1,(C6=계측기코드!$F$4:$F$190)*1,0))</f>
        <v>I_FLM01</v>
      </c>
      <c r="E6" s="6" t="s">
        <v>538</v>
      </c>
      <c r="F6" s="6" t="str" cm="1">
        <f t="array" ref="F6">INDEX(공급업체코드!$B$66:$B$150,MATCH(1,(E6=공급업체코드!$D$66:$D$150)*1,0))</f>
        <v>VM_WINTEC_CORP</v>
      </c>
      <c r="G6" s="6" t="s">
        <v>699</v>
      </c>
      <c r="H6" s="6">
        <v>15</v>
      </c>
      <c r="I6" s="6"/>
      <c r="J6" s="6" t="s">
        <v>281</v>
      </c>
      <c r="K6" s="6" t="s">
        <v>673</v>
      </c>
      <c r="L6" s="9">
        <v>3942000</v>
      </c>
      <c r="N6" s="61" t="s">
        <v>700</v>
      </c>
      <c r="O6" s="61" t="b">
        <v>1</v>
      </c>
      <c r="P6" s="61" t="s">
        <v>701</v>
      </c>
      <c r="Q6" s="61" t="s">
        <v>707</v>
      </c>
      <c r="R6" s="6" t="s">
        <v>703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6.5" customHeight="1">
      <c r="B7" s="6" t="str">
        <f t="shared" si="0"/>
        <v>I_FLM01_VM_WINTEC_CORP_20</v>
      </c>
      <c r="C7" s="6" t="s">
        <v>43</v>
      </c>
      <c r="D7" s="6" t="str" cm="1">
        <f t="array" ref="D7">INDEX(계측기코드!$D$4:$D$189,MATCH(1,(C7=계측기코드!$F$4:$F$190)*1,0))</f>
        <v>I_FLM01</v>
      </c>
      <c r="E7" s="6" t="s">
        <v>538</v>
      </c>
      <c r="F7" s="6" t="str" cm="1">
        <f t="array" ref="F7">INDEX(공급업체코드!$B$66:$B$150,MATCH(1,(E7=공급업체코드!$D$66:$D$150)*1,0))</f>
        <v>VM_WINTEC_CORP</v>
      </c>
      <c r="G7" s="6" t="s">
        <v>699</v>
      </c>
      <c r="H7" s="6">
        <v>20</v>
      </c>
      <c r="I7" s="6"/>
      <c r="J7" s="6" t="s">
        <v>281</v>
      </c>
      <c r="K7" s="6" t="s">
        <v>673</v>
      </c>
      <c r="L7" s="9">
        <v>3942000</v>
      </c>
      <c r="N7" s="61" t="s">
        <v>700</v>
      </c>
      <c r="O7" s="61" t="b">
        <v>1</v>
      </c>
      <c r="P7" s="61" t="s">
        <v>701</v>
      </c>
      <c r="Q7" s="61" t="s">
        <v>708</v>
      </c>
      <c r="R7" s="6" t="s">
        <v>703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6.5" customHeight="1">
      <c r="A8" s="80" t="s">
        <v>709</v>
      </c>
      <c r="B8" s="6" t="str">
        <f t="shared" si="0"/>
        <v>I_FLM01_VM_WINTEC_CORP_25</v>
      </c>
      <c r="C8" s="6" t="s">
        <v>43</v>
      </c>
      <c r="D8" s="6" t="str" cm="1">
        <f t="array" ref="D8">INDEX(계측기코드!$D$4:$D$189,MATCH(1,(C8=계측기코드!$F$4:$F$190)*1,0))</f>
        <v>I_FLM01</v>
      </c>
      <c r="E8" s="6" t="s">
        <v>538</v>
      </c>
      <c r="F8" s="6" t="str" cm="1">
        <f t="array" ref="F8">INDEX(공급업체코드!$B$66:$B$150,MATCH(1,(E8=공급업체코드!$D$66:$D$150)*1,0))</f>
        <v>VM_WINTEC_CORP</v>
      </c>
      <c r="G8" s="6" t="s">
        <v>699</v>
      </c>
      <c r="H8" s="6">
        <v>25</v>
      </c>
      <c r="I8" s="6"/>
      <c r="J8" s="6" t="s">
        <v>281</v>
      </c>
      <c r="K8" s="6" t="s">
        <v>673</v>
      </c>
      <c r="L8" s="9">
        <v>3942000</v>
      </c>
      <c r="N8" s="61" t="s">
        <v>700</v>
      </c>
      <c r="O8" s="61" t="b">
        <v>1</v>
      </c>
      <c r="P8" s="61" t="s">
        <v>701</v>
      </c>
      <c r="Q8" s="61" t="s">
        <v>710</v>
      </c>
      <c r="R8" s="6" t="s">
        <v>703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6.5" customHeight="1">
      <c r="A9" s="80" t="s">
        <v>711</v>
      </c>
      <c r="B9" s="6" t="str">
        <f t="shared" si="0"/>
        <v>I_FLM01_VM_WINTEC_CORP_32</v>
      </c>
      <c r="C9" s="6" t="s">
        <v>43</v>
      </c>
      <c r="D9" s="6" t="str" cm="1">
        <f t="array" ref="D9">INDEX(계측기코드!$D$4:$D$189,MATCH(1,(C9=계측기코드!$F$4:$F$190)*1,0))</f>
        <v>I_FLM01</v>
      </c>
      <c r="E9" s="6" t="s">
        <v>538</v>
      </c>
      <c r="F9" s="6" t="str" cm="1">
        <f t="array" ref="F9">INDEX(공급업체코드!$B$66:$B$150,MATCH(1,(E9=공급업체코드!$D$66:$D$150)*1,0))</f>
        <v>VM_WINTEC_CORP</v>
      </c>
      <c r="G9" s="6" t="s">
        <v>699</v>
      </c>
      <c r="H9" s="6">
        <v>32</v>
      </c>
      <c r="I9" s="6"/>
      <c r="J9" s="6" t="s">
        <v>281</v>
      </c>
      <c r="K9" s="6" t="s">
        <v>673</v>
      </c>
      <c r="L9" s="9">
        <v>3942000</v>
      </c>
      <c r="N9" s="61" t="s">
        <v>700</v>
      </c>
      <c r="O9" s="61" t="b">
        <v>1</v>
      </c>
      <c r="P9" s="61" t="s">
        <v>701</v>
      </c>
      <c r="Q9" s="61" t="s">
        <v>712</v>
      </c>
      <c r="R9" s="6" t="s">
        <v>703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6.5" customHeight="1">
      <c r="A10" s="80" t="s">
        <v>713</v>
      </c>
      <c r="B10" s="6" t="str">
        <f t="shared" si="0"/>
        <v>I_FLM01_VM_WINTEC_CORP_40</v>
      </c>
      <c r="C10" s="6" t="s">
        <v>43</v>
      </c>
      <c r="D10" s="6" t="str" cm="1">
        <f t="array" ref="D10">INDEX(계측기코드!$D$4:$D$189,MATCH(1,(C10=계측기코드!$F$4:$F$190)*1,0))</f>
        <v>I_FLM01</v>
      </c>
      <c r="E10" s="6" t="s">
        <v>538</v>
      </c>
      <c r="F10" s="6" t="str" cm="1">
        <f t="array" ref="F10">INDEX(공급업체코드!$B$66:$B$150,MATCH(1,(E10=공급업체코드!$D$66:$D$150)*1,0))</f>
        <v>VM_WINTEC_CORP</v>
      </c>
      <c r="G10" s="6" t="s">
        <v>699</v>
      </c>
      <c r="H10" s="6">
        <v>40</v>
      </c>
      <c r="I10" s="6"/>
      <c r="J10" s="6" t="s">
        <v>281</v>
      </c>
      <c r="K10" s="6" t="s">
        <v>673</v>
      </c>
      <c r="L10" s="9">
        <v>3942000</v>
      </c>
      <c r="N10" s="61" t="s">
        <v>700</v>
      </c>
      <c r="O10" s="61" t="b">
        <v>1</v>
      </c>
      <c r="P10" s="61" t="s">
        <v>701</v>
      </c>
      <c r="Q10" s="61" t="s">
        <v>714</v>
      </c>
      <c r="R10" s="6" t="s">
        <v>703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6.5" customHeight="1">
      <c r="A11" s="80" t="s">
        <v>715</v>
      </c>
      <c r="B11" s="6" t="str">
        <f t="shared" si="0"/>
        <v>I_FLM01_VM_WINTEC_CORP_50</v>
      </c>
      <c r="C11" s="6" t="s">
        <v>43</v>
      </c>
      <c r="D11" s="6" t="str" cm="1">
        <f t="array" ref="D11">INDEX(계측기코드!$D$4:$D$189,MATCH(1,(C11=계측기코드!$F$4:$F$190)*1,0))</f>
        <v>I_FLM01</v>
      </c>
      <c r="E11" s="6" t="s">
        <v>538</v>
      </c>
      <c r="F11" s="6" t="str" cm="1">
        <f t="array" ref="F11">INDEX(공급업체코드!$B$66:$B$150,MATCH(1,(E11=공급업체코드!$D$66:$D$150)*1,0))</f>
        <v>VM_WINTEC_CORP</v>
      </c>
      <c r="G11" s="6" t="s">
        <v>699</v>
      </c>
      <c r="H11" s="6">
        <v>50</v>
      </c>
      <c r="I11" s="6"/>
      <c r="J11" s="6" t="s">
        <v>281</v>
      </c>
      <c r="K11" s="6" t="s">
        <v>673</v>
      </c>
      <c r="L11" s="9">
        <v>4140000</v>
      </c>
      <c r="N11" s="61" t="s">
        <v>700</v>
      </c>
      <c r="O11" s="61" t="b">
        <v>1</v>
      </c>
      <c r="P11" s="61" t="s">
        <v>701</v>
      </c>
      <c r="Q11" s="61" t="s">
        <v>716</v>
      </c>
      <c r="R11" s="6" t="s">
        <v>703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6.5" customHeight="1">
      <c r="A12" s="80" t="s">
        <v>717</v>
      </c>
      <c r="B12" s="6" t="str">
        <f t="shared" si="0"/>
        <v>I_FLM01_VM_WINTEC_CORP_65</v>
      </c>
      <c r="C12" s="6" t="s">
        <v>43</v>
      </c>
      <c r="D12" s="6" t="str" cm="1">
        <f t="array" ref="D12">INDEX(계측기코드!$D$4:$D$189,MATCH(1,(C12=계측기코드!$F$4:$F$190)*1,0))</f>
        <v>I_FLM01</v>
      </c>
      <c r="E12" s="6" t="s">
        <v>538</v>
      </c>
      <c r="F12" s="6" t="str" cm="1">
        <f t="array" ref="F12">INDEX(공급업체코드!$B$66:$B$150,MATCH(1,(E12=공급업체코드!$D$66:$D$150)*1,0))</f>
        <v>VM_WINTEC_CORP</v>
      </c>
      <c r="G12" s="6" t="s">
        <v>699</v>
      </c>
      <c r="H12" s="6">
        <v>65</v>
      </c>
      <c r="I12" s="6"/>
      <c r="J12" s="6" t="s">
        <v>281</v>
      </c>
      <c r="K12" s="6" t="s">
        <v>673</v>
      </c>
      <c r="L12" s="9">
        <v>4356000</v>
      </c>
      <c r="N12" s="61" t="s">
        <v>700</v>
      </c>
      <c r="O12" s="61" t="b">
        <v>1</v>
      </c>
      <c r="P12" s="61" t="s">
        <v>701</v>
      </c>
      <c r="Q12" s="61" t="s">
        <v>718</v>
      </c>
      <c r="R12" s="6" t="s">
        <v>703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6.5" customHeight="1">
      <c r="A13" s="80" t="s">
        <v>719</v>
      </c>
      <c r="B13" s="6" t="str">
        <f t="shared" si="0"/>
        <v>I_FLM01_VM_WINTEC_CORP_80</v>
      </c>
      <c r="C13" s="6" t="s">
        <v>43</v>
      </c>
      <c r="D13" s="6" t="str" cm="1">
        <f t="array" ref="D13">INDEX(계측기코드!$D$4:$D$189,MATCH(1,(C13=계측기코드!$F$4:$F$190)*1,0))</f>
        <v>I_FLM01</v>
      </c>
      <c r="E13" s="6" t="s">
        <v>538</v>
      </c>
      <c r="F13" s="6" t="str" cm="1">
        <f t="array" ref="F13">INDEX(공급업체코드!$B$66:$B$150,MATCH(1,(E13=공급업체코드!$D$66:$D$150)*1,0))</f>
        <v>VM_WINTEC_CORP</v>
      </c>
      <c r="G13" s="6" t="s">
        <v>699</v>
      </c>
      <c r="H13" s="6">
        <v>80</v>
      </c>
      <c r="I13" s="6"/>
      <c r="J13" s="6" t="s">
        <v>281</v>
      </c>
      <c r="K13" s="6" t="s">
        <v>673</v>
      </c>
      <c r="L13" s="9">
        <v>4554000</v>
      </c>
      <c r="N13" s="61" t="s">
        <v>700</v>
      </c>
      <c r="O13" s="61" t="b">
        <v>1</v>
      </c>
      <c r="P13" s="61" t="s">
        <v>701</v>
      </c>
      <c r="Q13" s="61" t="s">
        <v>720</v>
      </c>
      <c r="R13" s="6" t="s">
        <v>703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6.5" customHeight="1">
      <c r="A14" s="80" t="s">
        <v>721</v>
      </c>
      <c r="B14" s="6" t="str">
        <f t="shared" si="0"/>
        <v>I_FLM01_VM_WINTEC_CORP_100</v>
      </c>
      <c r="C14" s="6" t="s">
        <v>43</v>
      </c>
      <c r="D14" s="6" t="str" cm="1">
        <f t="array" ref="D14">INDEX(계측기코드!$D$4:$D$189,MATCH(1,(C14=계측기코드!$F$4:$F$190)*1,0))</f>
        <v>I_FLM01</v>
      </c>
      <c r="E14" s="6" t="s">
        <v>538</v>
      </c>
      <c r="F14" s="6" t="str" cm="1">
        <f t="array" ref="F14">INDEX(공급업체코드!$B$66:$B$150,MATCH(1,(E14=공급업체코드!$D$66:$D$150)*1,0))</f>
        <v>VM_WINTEC_CORP</v>
      </c>
      <c r="G14" s="6" t="s">
        <v>699</v>
      </c>
      <c r="H14" s="6">
        <v>100</v>
      </c>
      <c r="I14" s="6"/>
      <c r="J14" s="6" t="s">
        <v>281</v>
      </c>
      <c r="K14" s="6" t="s">
        <v>673</v>
      </c>
      <c r="L14" s="9">
        <v>5184000</v>
      </c>
      <c r="N14" s="61" t="s">
        <v>700</v>
      </c>
      <c r="O14" s="61" t="b">
        <v>1</v>
      </c>
      <c r="P14" s="61" t="s">
        <v>701</v>
      </c>
      <c r="Q14" s="61" t="s">
        <v>722</v>
      </c>
      <c r="R14" s="6" t="s">
        <v>703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6.5" customHeight="1">
      <c r="A15" s="80" t="s">
        <v>723</v>
      </c>
      <c r="B15" s="6" t="str">
        <f t="shared" si="0"/>
        <v>I_FLM01_VM_WINTEC_CORP_125</v>
      </c>
      <c r="C15" s="6" t="s">
        <v>43</v>
      </c>
      <c r="D15" s="6" t="str" cm="1">
        <f t="array" ref="D15">INDEX(계측기코드!$D$4:$D$189,MATCH(1,(C15=계측기코드!$F$4:$F$190)*1,0))</f>
        <v>I_FLM01</v>
      </c>
      <c r="E15" s="6" t="s">
        <v>538</v>
      </c>
      <c r="F15" s="6" t="str" cm="1">
        <f t="array" ref="F15">INDEX(공급업체코드!$B$66:$B$150,MATCH(1,(E15=공급업체코드!$D$66:$D$150)*1,0))</f>
        <v>VM_WINTEC_CORP</v>
      </c>
      <c r="G15" s="6" t="s">
        <v>699</v>
      </c>
      <c r="H15" s="6">
        <v>125</v>
      </c>
      <c r="I15" s="6"/>
      <c r="J15" s="6" t="s">
        <v>267</v>
      </c>
      <c r="K15" s="6" t="s">
        <v>673</v>
      </c>
      <c r="L15" s="9">
        <v>5796000</v>
      </c>
      <c r="N15" s="61" t="s">
        <v>700</v>
      </c>
      <c r="O15" s="61" t="b">
        <v>1</v>
      </c>
      <c r="P15" s="61" t="s">
        <v>701</v>
      </c>
      <c r="Q15" s="61" t="s">
        <v>724</v>
      </c>
      <c r="R15" s="6" t="s">
        <v>703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6.5" customHeight="1">
      <c r="A16" s="80" t="s">
        <v>725</v>
      </c>
      <c r="B16" s="6" t="str">
        <f t="shared" si="0"/>
        <v>I_FLM01_VM_WINTEC_CORP_150</v>
      </c>
      <c r="C16" s="6" t="s">
        <v>43</v>
      </c>
      <c r="D16" s="6" t="str" cm="1">
        <f t="array" ref="D16">INDEX(계측기코드!$D$4:$D$189,MATCH(1,(C16=계측기코드!$F$4:$F$190)*1,0))</f>
        <v>I_FLM01</v>
      </c>
      <c r="E16" s="6" t="s">
        <v>538</v>
      </c>
      <c r="F16" s="6" t="str" cm="1">
        <f t="array" ref="F16">INDEX(공급업체코드!$B$66:$B$150,MATCH(1,(E16=공급업체코드!$D$66:$D$150)*1,0))</f>
        <v>VM_WINTEC_CORP</v>
      </c>
      <c r="G16" s="6" t="s">
        <v>699</v>
      </c>
      <c r="H16" s="6">
        <v>150</v>
      </c>
      <c r="I16" s="6"/>
      <c r="J16" s="6" t="s">
        <v>267</v>
      </c>
      <c r="K16" s="6" t="s">
        <v>673</v>
      </c>
      <c r="L16" s="9">
        <v>6012000</v>
      </c>
      <c r="N16" s="61" t="s">
        <v>700</v>
      </c>
      <c r="O16" s="61" t="b">
        <v>1</v>
      </c>
      <c r="P16" s="61" t="s">
        <v>701</v>
      </c>
      <c r="Q16" s="61" t="s">
        <v>726</v>
      </c>
      <c r="R16" s="6" t="s">
        <v>703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6.5" customHeight="1">
      <c r="A17" s="80" t="s">
        <v>727</v>
      </c>
      <c r="B17" s="6" t="str">
        <f t="shared" si="0"/>
        <v>I_FLM01_VM_WINTEC_CORP_200</v>
      </c>
      <c r="C17" s="6" t="s">
        <v>43</v>
      </c>
      <c r="D17" s="6" t="str" cm="1">
        <f t="array" ref="D17">INDEX(계측기코드!$D$4:$D$189,MATCH(1,(C17=계측기코드!$F$4:$F$190)*1,0))</f>
        <v>I_FLM01</v>
      </c>
      <c r="E17" s="6" t="s">
        <v>538</v>
      </c>
      <c r="F17" s="6" t="str" cm="1">
        <f t="array" ref="F17">INDEX(공급업체코드!$B$66:$B$150,MATCH(1,(E17=공급업체코드!$D$66:$D$150)*1,0))</f>
        <v>VM_WINTEC_CORP</v>
      </c>
      <c r="G17" s="6" t="s">
        <v>699</v>
      </c>
      <c r="H17" s="6">
        <v>200</v>
      </c>
      <c r="I17" s="6"/>
      <c r="J17" s="6" t="s">
        <v>267</v>
      </c>
      <c r="K17" s="6" t="s">
        <v>673</v>
      </c>
      <c r="L17" s="9">
        <v>6624000</v>
      </c>
      <c r="N17" s="61" t="s">
        <v>700</v>
      </c>
      <c r="O17" s="61" t="b">
        <v>1</v>
      </c>
      <c r="P17" s="61" t="s">
        <v>701</v>
      </c>
      <c r="Q17" s="61" t="s">
        <v>728</v>
      </c>
      <c r="R17" s="6" t="s">
        <v>703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6.5" customHeight="1">
      <c r="A18" s="80" t="s">
        <v>729</v>
      </c>
      <c r="B18" s="6" t="str">
        <f t="shared" si="0"/>
        <v>I_FLM01_VM_WINTEC_CORP_250</v>
      </c>
      <c r="C18" s="6" t="s">
        <v>43</v>
      </c>
      <c r="D18" s="6" t="str" cm="1">
        <f t="array" ref="D18">INDEX(계측기코드!$D$4:$D$189,MATCH(1,(C18=계측기코드!$F$4:$F$190)*1,0))</f>
        <v>I_FLM01</v>
      </c>
      <c r="E18" s="6" t="s">
        <v>538</v>
      </c>
      <c r="F18" s="6" t="str" cm="1">
        <f t="array" ref="F18">INDEX(공급업체코드!$B$66:$B$150,MATCH(1,(E18=공급업체코드!$D$66:$D$150)*1,0))</f>
        <v>VM_WINTEC_CORP</v>
      </c>
      <c r="G18" s="6" t="s">
        <v>699</v>
      </c>
      <c r="H18" s="6">
        <v>250</v>
      </c>
      <c r="I18" s="6"/>
      <c r="J18" s="6" t="s">
        <v>267</v>
      </c>
      <c r="K18" s="6" t="s">
        <v>673</v>
      </c>
      <c r="L18" s="9">
        <v>7254000</v>
      </c>
      <c r="N18" s="61" t="s">
        <v>700</v>
      </c>
      <c r="O18" s="61" t="b">
        <v>1</v>
      </c>
      <c r="P18" s="61" t="s">
        <v>701</v>
      </c>
      <c r="Q18" s="61" t="s">
        <v>730</v>
      </c>
      <c r="R18" s="6" t="s">
        <v>703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6.5" customHeight="1">
      <c r="A19" s="80" t="s">
        <v>731</v>
      </c>
      <c r="B19" s="6" t="str">
        <f t="shared" si="0"/>
        <v>I_FLM01_VM_WINTEC_CORP_300</v>
      </c>
      <c r="C19" s="6" t="s">
        <v>43</v>
      </c>
      <c r="D19" s="6" t="str" cm="1">
        <f t="array" ref="D19">INDEX(계측기코드!$D$4:$D$189,MATCH(1,(C19=계측기코드!$F$4:$F$190)*1,0))</f>
        <v>I_FLM01</v>
      </c>
      <c r="E19" s="6" t="s">
        <v>538</v>
      </c>
      <c r="F19" s="6" t="str" cm="1">
        <f t="array" ref="F19">INDEX(공급업체코드!$B$66:$B$150,MATCH(1,(E19=공급업체코드!$D$66:$D$150)*1,0))</f>
        <v>VM_WINTEC_CORP</v>
      </c>
      <c r="G19" s="6" t="s">
        <v>699</v>
      </c>
      <c r="H19" s="6">
        <v>300</v>
      </c>
      <c r="I19" s="6"/>
      <c r="J19" s="6" t="s">
        <v>267</v>
      </c>
      <c r="K19" s="6" t="s">
        <v>673</v>
      </c>
      <c r="L19" s="9">
        <v>7866000</v>
      </c>
      <c r="N19" s="61" t="s">
        <v>700</v>
      </c>
      <c r="O19" s="61" t="b">
        <v>1</v>
      </c>
      <c r="P19" s="61" t="s">
        <v>701</v>
      </c>
      <c r="Q19" s="61" t="s">
        <v>732</v>
      </c>
      <c r="R19" s="6" t="s">
        <v>703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6.5" customHeight="1">
      <c r="A20" s="80" t="s">
        <v>733</v>
      </c>
      <c r="B20" s="6" t="str">
        <f t="shared" si="0"/>
        <v>I_FLM01_VM_WINTEC_CORP_350</v>
      </c>
      <c r="C20" s="6" t="s">
        <v>43</v>
      </c>
      <c r="D20" s="6" t="str" cm="1">
        <f t="array" ref="D20">INDEX(계측기코드!$D$4:$D$189,MATCH(1,(C20=계측기코드!$F$4:$F$190)*1,0))</f>
        <v>I_FLM01</v>
      </c>
      <c r="E20" s="6" t="s">
        <v>538</v>
      </c>
      <c r="F20" s="6" t="str" cm="1">
        <f t="array" ref="F20">INDEX(공급업체코드!$B$66:$B$150,MATCH(1,(E20=공급업체코드!$D$66:$D$150)*1,0))</f>
        <v>VM_WINTEC_CORP</v>
      </c>
      <c r="G20" s="6" t="s">
        <v>699</v>
      </c>
      <c r="H20" s="6">
        <v>350</v>
      </c>
      <c r="I20" s="6"/>
      <c r="J20" s="6" t="s">
        <v>267</v>
      </c>
      <c r="K20" s="6" t="s">
        <v>673</v>
      </c>
      <c r="L20" s="9">
        <v>8910000</v>
      </c>
      <c r="N20" s="61" t="s">
        <v>700</v>
      </c>
      <c r="O20" s="61" t="b">
        <v>1</v>
      </c>
      <c r="P20" s="61" t="s">
        <v>701</v>
      </c>
      <c r="Q20" s="61" t="s">
        <v>734</v>
      </c>
      <c r="R20" s="6" t="s">
        <v>703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6.5" customHeight="1">
      <c r="A21" s="80" t="s">
        <v>735</v>
      </c>
      <c r="B21" s="6" t="str">
        <f t="shared" si="0"/>
        <v>I_FLM01_VM_WINTEC_CORP_400</v>
      </c>
      <c r="C21" s="6" t="s">
        <v>43</v>
      </c>
      <c r="D21" s="6" t="str" cm="1">
        <f t="array" ref="D21">INDEX(계측기코드!$D$4:$D$189,MATCH(1,(C21=계측기코드!$F$4:$F$190)*1,0))</f>
        <v>I_FLM01</v>
      </c>
      <c r="E21" s="6" t="s">
        <v>538</v>
      </c>
      <c r="F21" s="6" t="str" cm="1">
        <f t="array" ref="F21">INDEX(공급업체코드!$B$66:$B$150,MATCH(1,(E21=공급업체코드!$D$66:$D$150)*1,0))</f>
        <v>VM_WINTEC_CORP</v>
      </c>
      <c r="G21" s="6" t="s">
        <v>699</v>
      </c>
      <c r="H21" s="6">
        <v>400</v>
      </c>
      <c r="I21" s="6"/>
      <c r="J21" s="6" t="s">
        <v>267</v>
      </c>
      <c r="K21" s="6" t="s">
        <v>673</v>
      </c>
      <c r="L21" s="9">
        <v>10350000</v>
      </c>
      <c r="N21" s="61" t="s">
        <v>700</v>
      </c>
      <c r="O21" s="61" t="b">
        <v>1</v>
      </c>
      <c r="P21" s="61" t="s">
        <v>701</v>
      </c>
      <c r="Q21" s="61" t="s">
        <v>736</v>
      </c>
      <c r="R21" s="6" t="s">
        <v>703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6.5" customHeight="1">
      <c r="A22" s="80" t="s">
        <v>737</v>
      </c>
      <c r="B22" s="6" t="str">
        <f t="shared" si="0"/>
        <v>I_FLM01_VM_WINTEC_CORP_450</v>
      </c>
      <c r="C22" s="6" t="s">
        <v>43</v>
      </c>
      <c r="D22" s="6" t="str" cm="1">
        <f t="array" ref="D22">INDEX(계측기코드!$D$4:$D$189,MATCH(1,(C22=계측기코드!$F$4:$F$190)*1,0))</f>
        <v>I_FLM01</v>
      </c>
      <c r="E22" s="6" t="s">
        <v>538</v>
      </c>
      <c r="F22" s="6" t="str" cm="1">
        <f t="array" ref="F22">INDEX(공급업체코드!$B$66:$B$150,MATCH(1,(E22=공급업체코드!$D$66:$D$150)*1,0))</f>
        <v>VM_WINTEC_CORP</v>
      </c>
      <c r="G22" s="6" t="s">
        <v>699</v>
      </c>
      <c r="H22" s="6">
        <v>450</v>
      </c>
      <c r="I22" s="6"/>
      <c r="J22" s="6" t="s">
        <v>267</v>
      </c>
      <c r="K22" s="6" t="s">
        <v>673</v>
      </c>
      <c r="L22" s="9">
        <v>11808000</v>
      </c>
      <c r="N22" s="61" t="s">
        <v>700</v>
      </c>
      <c r="O22" s="61" t="b">
        <v>1</v>
      </c>
      <c r="P22" s="61" t="s">
        <v>701</v>
      </c>
      <c r="Q22" s="61" t="s">
        <v>738</v>
      </c>
      <c r="R22" s="6" t="s">
        <v>703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6.5" customHeight="1">
      <c r="A23" s="80" t="s">
        <v>739</v>
      </c>
      <c r="B23" s="6" t="str">
        <f t="shared" si="0"/>
        <v>I_FLM01_VM_WINTEC_CORP_500</v>
      </c>
      <c r="C23" s="6" t="s">
        <v>43</v>
      </c>
      <c r="D23" s="6" t="str" cm="1">
        <f t="array" ref="D23">INDEX(계측기코드!$D$4:$D$189,MATCH(1,(C23=계측기코드!$F$4:$F$190)*1,0))</f>
        <v>I_FLM01</v>
      </c>
      <c r="E23" s="6" t="s">
        <v>538</v>
      </c>
      <c r="F23" s="6" t="str" cm="1">
        <f t="array" ref="F23">INDEX(공급업체코드!$B$66:$B$150,MATCH(1,(E23=공급업체코드!$D$66:$D$150)*1,0))</f>
        <v>VM_WINTEC_CORP</v>
      </c>
      <c r="G23" s="6" t="s">
        <v>699</v>
      </c>
      <c r="H23" s="6">
        <v>500</v>
      </c>
      <c r="I23" s="6"/>
      <c r="J23" s="6" t="s">
        <v>267</v>
      </c>
      <c r="K23" s="6" t="s">
        <v>673</v>
      </c>
      <c r="L23" s="9">
        <v>12834000</v>
      </c>
      <c r="N23" s="61" t="s">
        <v>700</v>
      </c>
      <c r="O23" s="61" t="b">
        <v>1</v>
      </c>
      <c r="P23" s="61" t="s">
        <v>701</v>
      </c>
      <c r="Q23" s="61" t="s">
        <v>740</v>
      </c>
      <c r="R23" s="6" t="s">
        <v>703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6.5" customHeight="1">
      <c r="A24" s="80" t="s">
        <v>741</v>
      </c>
      <c r="B24" s="6" t="str">
        <f t="shared" si="0"/>
        <v>I_FLM01_VM_WINTEC_CORP_600</v>
      </c>
      <c r="C24" s="6" t="s">
        <v>43</v>
      </c>
      <c r="D24" s="6" t="str" cm="1">
        <f t="array" ref="D24">INDEX(계측기코드!$D$4:$D$189,MATCH(1,(C24=계측기코드!$F$4:$F$190)*1,0))</f>
        <v>I_FLM01</v>
      </c>
      <c r="E24" s="6" t="s">
        <v>538</v>
      </c>
      <c r="F24" s="6" t="str" cm="1">
        <f t="array" ref="F24">INDEX(공급업체코드!$B$66:$B$150,MATCH(1,(E24=공급업체코드!$D$66:$D$150)*1,0))</f>
        <v>VM_WINTEC_CORP</v>
      </c>
      <c r="G24" s="6" t="s">
        <v>699</v>
      </c>
      <c r="H24" s="6">
        <v>600</v>
      </c>
      <c r="I24" s="6"/>
      <c r="J24" s="6" t="s">
        <v>267</v>
      </c>
      <c r="K24" s="6" t="s">
        <v>673</v>
      </c>
      <c r="L24" s="9">
        <v>14706000</v>
      </c>
      <c r="N24" s="61" t="s">
        <v>700</v>
      </c>
      <c r="O24" s="61" t="b">
        <v>1</v>
      </c>
      <c r="P24" s="61" t="s">
        <v>701</v>
      </c>
      <c r="Q24" s="61" t="s">
        <v>742</v>
      </c>
      <c r="R24" s="6" t="s">
        <v>703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6.5" customHeight="1">
      <c r="A25" s="80" t="s">
        <v>743</v>
      </c>
      <c r="B25" s="6" t="str">
        <f t="shared" si="0"/>
        <v>I_FLM01_VM_WINTEC_CORP_700</v>
      </c>
      <c r="C25" s="6" t="s">
        <v>43</v>
      </c>
      <c r="D25" s="6" t="str" cm="1">
        <f t="array" ref="D25">INDEX(계측기코드!$D$4:$D$189,MATCH(1,(C25=계측기코드!$F$4:$F$190)*1,0))</f>
        <v>I_FLM01</v>
      </c>
      <c r="E25" s="6" t="s">
        <v>538</v>
      </c>
      <c r="F25" s="6" t="str" cm="1">
        <f t="array" ref="F25">INDEX(공급업체코드!$B$66:$B$150,MATCH(1,(E25=공급업체코드!$D$66:$D$150)*1,0))</f>
        <v>VM_WINTEC_CORP</v>
      </c>
      <c r="G25" s="6" t="s">
        <v>699</v>
      </c>
      <c r="H25" s="6">
        <v>700</v>
      </c>
      <c r="I25" s="6"/>
      <c r="J25" s="6" t="s">
        <v>267</v>
      </c>
      <c r="K25" s="6" t="s">
        <v>673</v>
      </c>
      <c r="L25" s="9">
        <v>16776000</v>
      </c>
      <c r="N25" s="61" t="s">
        <v>700</v>
      </c>
      <c r="O25" s="61" t="b">
        <v>1</v>
      </c>
      <c r="P25" s="61" t="s">
        <v>701</v>
      </c>
      <c r="Q25" s="61" t="s">
        <v>744</v>
      </c>
      <c r="R25" s="6" t="s">
        <v>703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6.5" customHeight="1">
      <c r="B26" s="6" t="str">
        <f>D26&amp;"_"&amp;F26&amp;"_"&amp;H26</f>
        <v>I_FLM05_VM_HITROL_CO_100</v>
      </c>
      <c r="C26" s="6" t="s">
        <v>51</v>
      </c>
      <c r="D26" s="6" t="str" cm="1">
        <f t="array" ref="D26">INDEX(계측기코드!$D$4:$D$189,MATCH(1,(C26=계측기코드!$F$4:$F$190)*1,0))</f>
        <v>I_FLM05</v>
      </c>
      <c r="E26" s="6" t="s">
        <v>547</v>
      </c>
      <c r="F26" s="6" t="str" cm="1">
        <f t="array" ref="F26">INDEX(공급업체코드!$B$66:$B$150,MATCH(1,(E26=공급업체코드!$D$66:$D$150)*1,0))</f>
        <v>VM_HITROL_CO</v>
      </c>
      <c r="G26" s="6" t="s">
        <v>745</v>
      </c>
      <c r="H26" s="6">
        <v>100</v>
      </c>
      <c r="I26" s="6"/>
      <c r="J26" s="6"/>
      <c r="K26" s="6" t="s">
        <v>673</v>
      </c>
      <c r="L26" s="9">
        <v>7220000</v>
      </c>
      <c r="N26" s="61" t="s">
        <v>746</v>
      </c>
      <c r="O26" s="61" t="b">
        <v>1</v>
      </c>
      <c r="P26" s="61" t="s">
        <v>747</v>
      </c>
      <c r="Q26" s="61"/>
      <c r="R26" s="6" t="s">
        <v>748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6.5" customHeight="1">
      <c r="B27" s="6" t="str">
        <f t="shared" ref="B27:B34" si="1">D27&amp;"_"&amp;F27&amp;"_"&amp;H27</f>
        <v>I_FLM05_VM_HITROL_CO_200</v>
      </c>
      <c r="C27" s="6" t="s">
        <v>51</v>
      </c>
      <c r="D27" s="6" t="str" cm="1">
        <f t="array" ref="D27">INDEX(계측기코드!$D$4:$D$189,MATCH(1,(C27=계측기코드!$F$4:$F$190)*1,0))</f>
        <v>I_FLM05</v>
      </c>
      <c r="E27" s="6" t="s">
        <v>547</v>
      </c>
      <c r="F27" s="6" t="str" cm="1">
        <f t="array" ref="F27">INDEX(공급업체코드!$B$66:$B$150,MATCH(1,(E27=공급업체코드!$D$66:$D$150)*1,0))</f>
        <v>VM_HITROL_CO</v>
      </c>
      <c r="G27" s="6" t="s">
        <v>749</v>
      </c>
      <c r="H27" s="6">
        <v>200</v>
      </c>
      <c r="I27" s="6"/>
      <c r="J27" s="6"/>
      <c r="K27" s="6" t="s">
        <v>673</v>
      </c>
      <c r="L27" s="9">
        <v>12670000</v>
      </c>
      <c r="N27" s="61" t="s">
        <v>746</v>
      </c>
      <c r="O27" s="61" t="b">
        <v>1</v>
      </c>
      <c r="P27" s="61" t="s">
        <v>747</v>
      </c>
      <c r="Q27" s="61"/>
      <c r="R27" s="6" t="s">
        <v>750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6.5" customHeight="1">
      <c r="B28" s="6" t="str">
        <f t="shared" si="1"/>
        <v>I_FLM05_VM_HITROL_CO_250</v>
      </c>
      <c r="C28" s="6" t="s">
        <v>51</v>
      </c>
      <c r="D28" s="6" t="str" cm="1">
        <f t="array" ref="D28">INDEX(계측기코드!$D$4:$D$189,MATCH(1,(C28=계측기코드!$F$4:$F$190)*1,0))</f>
        <v>I_FLM05</v>
      </c>
      <c r="E28" s="6" t="s">
        <v>547</v>
      </c>
      <c r="F28" s="6" t="str" cm="1">
        <f t="array" ref="F28">INDEX(공급업체코드!$B$66:$B$150,MATCH(1,(E28=공급업체코드!$D$66:$D$150)*1,0))</f>
        <v>VM_HITROL_CO</v>
      </c>
      <c r="G28" s="6" t="s">
        <v>751</v>
      </c>
      <c r="H28" s="6">
        <v>250</v>
      </c>
      <c r="I28" s="6"/>
      <c r="J28" s="6"/>
      <c r="K28" s="6" t="s">
        <v>673</v>
      </c>
      <c r="L28" s="9">
        <v>14230000</v>
      </c>
      <c r="N28" s="61" t="s">
        <v>746</v>
      </c>
      <c r="O28" s="61" t="b">
        <v>1</v>
      </c>
      <c r="P28" s="61" t="s">
        <v>747</v>
      </c>
      <c r="Q28" s="61"/>
      <c r="R28" s="6" t="s">
        <v>752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6.5" customHeight="1">
      <c r="B29" s="6" t="str">
        <f t="shared" si="1"/>
        <v>I_FLM05_VM_HITROL_CO_300</v>
      </c>
      <c r="C29" s="6" t="s">
        <v>51</v>
      </c>
      <c r="D29" s="6" t="str" cm="1">
        <f t="array" ref="D29">INDEX(계측기코드!$D$4:$D$189,MATCH(1,(C29=계측기코드!$F$4:$F$190)*1,0))</f>
        <v>I_FLM05</v>
      </c>
      <c r="E29" s="6" t="s">
        <v>547</v>
      </c>
      <c r="F29" s="6" t="str" cm="1">
        <f t="array" ref="F29">INDEX(공급업체코드!$B$66:$B$150,MATCH(1,(E29=공급업체코드!$D$66:$D$150)*1,0))</f>
        <v>VM_HITROL_CO</v>
      </c>
      <c r="G29" s="6" t="s">
        <v>753</v>
      </c>
      <c r="H29" s="6">
        <v>300</v>
      </c>
      <c r="I29" s="6"/>
      <c r="J29" s="6"/>
      <c r="K29" s="6" t="s">
        <v>673</v>
      </c>
      <c r="L29" s="9">
        <v>18400000</v>
      </c>
      <c r="N29" s="61" t="s">
        <v>746</v>
      </c>
      <c r="O29" s="61" t="b">
        <v>1</v>
      </c>
      <c r="P29" s="61" t="s">
        <v>747</v>
      </c>
      <c r="Q29" s="61"/>
      <c r="R29" s="6" t="s">
        <v>754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6.5" customHeight="1">
      <c r="B30" s="6" t="str">
        <f t="shared" si="1"/>
        <v>I_FLM05_VM_HITROL_CO_400</v>
      </c>
      <c r="C30" s="6" t="s">
        <v>51</v>
      </c>
      <c r="D30" s="6" t="str" cm="1">
        <f t="array" ref="D30">INDEX(계측기코드!$D$4:$D$189,MATCH(1,(C30=계측기코드!$F$4:$F$190)*1,0))</f>
        <v>I_FLM05</v>
      </c>
      <c r="E30" s="6" t="s">
        <v>547</v>
      </c>
      <c r="F30" s="6" t="str" cm="1">
        <f t="array" ref="F30">INDEX(공급업체코드!$B$66:$B$150,MATCH(1,(E30=공급업체코드!$D$66:$D$150)*1,0))</f>
        <v>VM_HITROL_CO</v>
      </c>
      <c r="G30" s="6" t="s">
        <v>755</v>
      </c>
      <c r="H30" s="6">
        <v>400</v>
      </c>
      <c r="I30" s="6"/>
      <c r="J30" s="6"/>
      <c r="K30" s="6" t="s">
        <v>673</v>
      </c>
      <c r="L30" s="9">
        <v>31460000</v>
      </c>
      <c r="N30" s="61" t="s">
        <v>746</v>
      </c>
      <c r="O30" s="61" t="b">
        <v>1</v>
      </c>
      <c r="P30" s="61" t="s">
        <v>747</v>
      </c>
      <c r="Q30" s="61"/>
      <c r="R30" s="6" t="s">
        <v>756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6.5" customHeight="1">
      <c r="B31" s="6" t="str">
        <f t="shared" si="1"/>
        <v>I_FLM05_VM_HITROL_CO_500</v>
      </c>
      <c r="C31" s="6" t="s">
        <v>51</v>
      </c>
      <c r="D31" s="6" t="str" cm="1">
        <f t="array" ref="D31">INDEX(계측기코드!$D$4:$D$189,MATCH(1,(C31=계측기코드!$F$4:$F$190)*1,0))</f>
        <v>I_FLM05</v>
      </c>
      <c r="E31" s="6" t="s">
        <v>547</v>
      </c>
      <c r="F31" s="6" t="str" cm="1">
        <f t="array" ref="F31">INDEX(공급업체코드!$B$66:$B$150,MATCH(1,(E31=공급업체코드!$D$66:$D$150)*1,0))</f>
        <v>VM_HITROL_CO</v>
      </c>
      <c r="G31" s="6" t="s">
        <v>757</v>
      </c>
      <c r="H31" s="6">
        <v>500</v>
      </c>
      <c r="I31" s="6"/>
      <c r="J31" s="6"/>
      <c r="K31" s="6" t="s">
        <v>673</v>
      </c>
      <c r="L31" s="9">
        <v>40300000</v>
      </c>
      <c r="N31" s="61" t="s">
        <v>746</v>
      </c>
      <c r="O31" s="61" t="b">
        <v>1</v>
      </c>
      <c r="P31" s="61" t="s">
        <v>747</v>
      </c>
      <c r="Q31" s="61"/>
      <c r="R31" s="6" t="s">
        <v>758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6.5" customHeight="1">
      <c r="B32" s="6" t="str">
        <f t="shared" si="1"/>
        <v>I_FLM05_VM_HITROL_CO_600</v>
      </c>
      <c r="C32" s="6" t="s">
        <v>51</v>
      </c>
      <c r="D32" s="6" t="str" cm="1">
        <f t="array" ref="D32">INDEX(계측기코드!$D$4:$D$189,MATCH(1,(C32=계측기코드!$F$4:$F$190)*1,0))</f>
        <v>I_FLM05</v>
      </c>
      <c r="E32" s="6" t="s">
        <v>547</v>
      </c>
      <c r="F32" s="6" t="str" cm="1">
        <f t="array" ref="F32">INDEX(공급업체코드!$B$66:$B$150,MATCH(1,(E32=공급업체코드!$D$66:$D$150)*1,0))</f>
        <v>VM_HITROL_CO</v>
      </c>
      <c r="G32" s="6" t="s">
        <v>759</v>
      </c>
      <c r="H32" s="6">
        <v>600</v>
      </c>
      <c r="I32" s="6"/>
      <c r="J32" s="6"/>
      <c r="K32" s="6" t="s">
        <v>673</v>
      </c>
      <c r="L32" s="9">
        <v>47800000</v>
      </c>
      <c r="N32" s="61" t="s">
        <v>746</v>
      </c>
      <c r="O32" s="61" t="b">
        <v>1</v>
      </c>
      <c r="P32" s="61" t="s">
        <v>747</v>
      </c>
      <c r="Q32" s="61"/>
      <c r="R32" s="6" t="s">
        <v>760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2:31" ht="16.5" customHeight="1">
      <c r="B33" s="6" t="str">
        <f t="shared" si="1"/>
        <v>I_FLM05_VM_HITROL_CO_700</v>
      </c>
      <c r="C33" s="6" t="s">
        <v>51</v>
      </c>
      <c r="D33" s="6" t="str" cm="1">
        <f t="array" ref="D33">INDEX(계측기코드!$D$4:$D$189,MATCH(1,(C33=계측기코드!$F$4:$F$190)*1,0))</f>
        <v>I_FLM05</v>
      </c>
      <c r="E33" s="6" t="s">
        <v>547</v>
      </c>
      <c r="F33" s="6" t="str" cm="1">
        <f t="array" ref="F33">INDEX(공급업체코드!$B$66:$B$150,MATCH(1,(E33=공급업체코드!$D$66:$D$150)*1,0))</f>
        <v>VM_HITROL_CO</v>
      </c>
      <c r="G33" s="6" t="s">
        <v>761</v>
      </c>
      <c r="H33" s="6">
        <v>700</v>
      </c>
      <c r="I33" s="6"/>
      <c r="J33" s="6"/>
      <c r="K33" s="6" t="s">
        <v>673</v>
      </c>
      <c r="L33" s="9">
        <v>59900000</v>
      </c>
      <c r="N33" s="61" t="s">
        <v>746</v>
      </c>
      <c r="O33" s="61" t="b">
        <v>1</v>
      </c>
      <c r="P33" s="61" t="s">
        <v>747</v>
      </c>
      <c r="Q33" s="61"/>
      <c r="R33" s="6" t="s">
        <v>762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2:31" ht="16.5" customHeight="1">
      <c r="B34" s="6" t="str">
        <f t="shared" si="1"/>
        <v>I_FLM05_VM_HITROL_CO_800</v>
      </c>
      <c r="C34" s="6" t="s">
        <v>51</v>
      </c>
      <c r="D34" s="6" t="str" cm="1">
        <f t="array" ref="D34">INDEX(계측기코드!$D$4:$D$189,MATCH(1,(C34=계측기코드!$F$4:$F$190)*1,0))</f>
        <v>I_FLM05</v>
      </c>
      <c r="E34" s="6" t="s">
        <v>547</v>
      </c>
      <c r="F34" s="6" t="str" cm="1">
        <f t="array" ref="F34">INDEX(공급업체코드!$B$66:$B$150,MATCH(1,(E34=공급업체코드!$D$66:$D$150)*1,0))</f>
        <v>VM_HITROL_CO</v>
      </c>
      <c r="G34" s="6" t="s">
        <v>763</v>
      </c>
      <c r="H34" s="6">
        <v>800</v>
      </c>
      <c r="I34" s="6"/>
      <c r="J34" s="6"/>
      <c r="K34" s="6" t="s">
        <v>673</v>
      </c>
      <c r="L34" s="9">
        <v>72000000</v>
      </c>
      <c r="N34" s="61" t="s">
        <v>746</v>
      </c>
      <c r="O34" s="61" t="b">
        <v>1</v>
      </c>
      <c r="P34" s="61" t="s">
        <v>747</v>
      </c>
      <c r="Q34" s="61"/>
      <c r="R34" s="6" t="s">
        <v>764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6" spans="2:31" ht="16.5" customHeight="1">
      <c r="D36" s="8"/>
      <c r="E36" s="8"/>
      <c r="F36" s="8"/>
      <c r="G36" s="8"/>
      <c r="H36" s="5"/>
      <c r="I36" s="5"/>
      <c r="J36" s="5"/>
      <c r="K36" s="5"/>
    </row>
    <row r="37" spans="2:31" ht="16.5" customHeight="1">
      <c r="D37" s="5"/>
      <c r="E37" s="5"/>
      <c r="F37" s="5"/>
      <c r="G37" s="8"/>
      <c r="H37" s="5"/>
      <c r="I37" s="5"/>
      <c r="J37" s="5"/>
      <c r="K37" s="5"/>
    </row>
    <row r="38" spans="2:31" ht="16.5" customHeight="1">
      <c r="D38" s="8"/>
      <c r="E38" s="8"/>
      <c r="F38" s="8"/>
      <c r="G38" s="8"/>
      <c r="H38" s="5"/>
      <c r="I38" s="5"/>
      <c r="J38" s="5"/>
      <c r="K38" s="5"/>
    </row>
    <row r="39" spans="2:31" ht="16.5" customHeight="1">
      <c r="D39" s="5"/>
      <c r="E39" s="5"/>
      <c r="F39" s="5"/>
      <c r="G39" s="8"/>
      <c r="H39" s="5"/>
      <c r="I39" s="5"/>
      <c r="J39" s="5"/>
      <c r="K39" s="5"/>
    </row>
    <row r="40" spans="2:31" ht="16.5" customHeight="1">
      <c r="D40" s="5"/>
      <c r="E40" s="5"/>
      <c r="F40" s="5"/>
      <c r="G40" s="8"/>
    </row>
    <row r="41" spans="2:31" ht="16.5" customHeight="1">
      <c r="D41" s="8"/>
      <c r="E41" s="8"/>
      <c r="F41" s="8"/>
      <c r="G41" s="8"/>
    </row>
    <row r="42" spans="2:31" ht="16.5" customHeight="1">
      <c r="G42" s="8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AECD5C-99C2-4182-B7F9-BFF2CD2B02C3}">
          <x14:formula1>
            <xm:f>공급업체코드!$D$66:$D$111</xm:f>
          </x14:formula1>
          <xm:sqref>E3:E34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AD8"/>
  <sheetViews>
    <sheetView zoomScale="70" zoomScaleNormal="70" workbookViewId="0">
      <selection activeCell="E31" sqref="E31"/>
    </sheetView>
  </sheetViews>
  <sheetFormatPr defaultRowHeight="16.5" customHeight="1"/>
  <cols>
    <col min="1" max="1" width="17.125" customWidth="1"/>
    <col min="2" max="2" width="39" customWidth="1"/>
    <col min="3" max="3" width="20.625" bestFit="1" customWidth="1"/>
    <col min="4" max="4" width="22.375" customWidth="1"/>
    <col min="5" max="6" width="18.125" customWidth="1"/>
    <col min="7" max="7" width="17.875" customWidth="1"/>
    <col min="8" max="8" width="24.125" bestFit="1" customWidth="1"/>
    <col min="9" max="9" width="24.375" customWidth="1"/>
    <col min="10" max="10" width="17.875" customWidth="1"/>
    <col min="11" max="11" width="17.75" bestFit="1" customWidth="1"/>
    <col min="12" max="12" width="20.625" bestFit="1" customWidth="1"/>
    <col min="13" max="13" width="25.75" customWidth="1"/>
    <col min="14" max="14" width="17.75" style="5" bestFit="1" customWidth="1"/>
    <col min="15" max="15" width="29.25" style="5" customWidth="1"/>
    <col min="16" max="16" width="17.75" style="5" customWidth="1"/>
    <col min="17" max="17" width="50.125" customWidth="1"/>
    <col min="18" max="18" width="18.125" bestFit="1" customWidth="1"/>
  </cols>
  <sheetData>
    <row r="1" spans="2:30" ht="16.5" customHeight="1">
      <c r="B1" s="1" t="s">
        <v>641</v>
      </c>
      <c r="D1" s="1" t="s">
        <v>642</v>
      </c>
      <c r="E1" s="1"/>
      <c r="F1" s="1"/>
      <c r="G1" s="1"/>
      <c r="H1" s="1" t="s">
        <v>646</v>
      </c>
      <c r="I1" s="1" t="s">
        <v>765</v>
      </c>
      <c r="J1" s="52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1" t="s">
        <v>655</v>
      </c>
      <c r="R1" s="53" t="s">
        <v>656</v>
      </c>
    </row>
    <row r="2" spans="2:30" s="22" customFormat="1" ht="16.5" customHeight="1">
      <c r="B2" s="70" t="s">
        <v>657</v>
      </c>
      <c r="C2" s="50" t="s">
        <v>658</v>
      </c>
      <c r="D2" s="51" t="s">
        <v>659</v>
      </c>
      <c r="E2" s="50" t="s">
        <v>658</v>
      </c>
      <c r="F2" s="71" t="s">
        <v>693</v>
      </c>
      <c r="G2" s="71" t="s">
        <v>694</v>
      </c>
      <c r="H2" s="56" t="s">
        <v>662</v>
      </c>
      <c r="I2" s="56" t="s">
        <v>766</v>
      </c>
      <c r="J2" s="56" t="s">
        <v>664</v>
      </c>
      <c r="K2" s="76" t="s">
        <v>665</v>
      </c>
      <c r="L2" s="77" t="s">
        <v>666</v>
      </c>
      <c r="M2" s="75" t="s">
        <v>667</v>
      </c>
      <c r="N2" s="78" t="s">
        <v>668</v>
      </c>
      <c r="O2" s="56" t="s">
        <v>669</v>
      </c>
      <c r="P2" s="56" t="s">
        <v>670</v>
      </c>
      <c r="Q2" s="71" t="s">
        <v>10</v>
      </c>
      <c r="R2" s="55" t="s">
        <v>671</v>
      </c>
      <c r="S2" s="1"/>
    </row>
    <row r="3" spans="2:30" ht="16.5" customHeight="1">
      <c r="B3" s="6" t="str">
        <f>D3&amp;"_"&amp;F3</f>
        <v>I_PHM01_VM_NANO_HITECH</v>
      </c>
      <c r="C3" s="6" t="s">
        <v>767</v>
      </c>
      <c r="D3" s="6" t="str" cm="1">
        <f t="array" ref="D3">INDEX(계측기코드!$D$4:$D$189,MATCH(1,(C3=계측기코드!$F$4:$F$190)*1,0))</f>
        <v>I_PHM01</v>
      </c>
      <c r="E3" s="6" t="s">
        <v>571</v>
      </c>
      <c r="F3" s="6" t="str" cm="1">
        <f t="array" ref="F3">INDEX(공급업체코드!$B$66:$B$150,MATCH(1,(E3=공급업체코드!$D$66:$D$150)*1,0))</f>
        <v>VM_NANO_HITECH</v>
      </c>
      <c r="G3" s="6" t="s">
        <v>768</v>
      </c>
      <c r="H3" s="6"/>
      <c r="I3" s="6"/>
      <c r="J3" s="6" t="s">
        <v>673</v>
      </c>
      <c r="K3" s="9">
        <v>4500000</v>
      </c>
      <c r="L3" s="60"/>
      <c r="M3" s="61" t="s">
        <v>769</v>
      </c>
      <c r="N3" s="61" t="b">
        <v>1</v>
      </c>
      <c r="O3" s="61" t="str">
        <f>C3</f>
        <v>유리전극식 pH측정기</v>
      </c>
      <c r="P3" s="61"/>
      <c r="Q3" s="6" t="s">
        <v>770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2:30" ht="16.5" customHeight="1">
      <c r="C4" s="8"/>
      <c r="E4" s="8"/>
      <c r="F4" s="8"/>
      <c r="G4" s="5"/>
      <c r="H4" s="5"/>
      <c r="I4" s="5"/>
      <c r="J4" s="5"/>
    </row>
    <row r="8" spans="2:30" ht="16.5" customHeight="1">
      <c r="N8"/>
      <c r="O8"/>
      <c r="P8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ADB4F0-5A78-4BB2-8426-082DB5F500D0}">
          <x14:formula1>
            <xm:f>계측기코드!$F$20:$F$22</xm:f>
          </x14:formula1>
          <xm:sqref>C3</xm:sqref>
        </x14:dataValidation>
        <x14:dataValidation type="list" allowBlank="1" showInputMessage="1" showErrorMessage="1" xr:uid="{7854EA66-11D3-4628-9CCA-37FA63A4E617}">
          <x14:formula1>
            <xm:f>공급업체코드!$D$66:$D$111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D9"/>
  <sheetViews>
    <sheetView topLeftCell="B1" zoomScale="70" zoomScaleNormal="70" workbookViewId="0">
      <selection activeCell="E36" sqref="E36"/>
    </sheetView>
  </sheetViews>
  <sheetFormatPr defaultRowHeight="16.5" customHeight="1"/>
  <cols>
    <col min="1" max="1" width="23.875" customWidth="1"/>
    <col min="2" max="2" width="35.875" customWidth="1"/>
    <col min="3" max="3" width="22.875" bestFit="1" customWidth="1"/>
    <col min="4" max="4" width="20.25" customWidth="1"/>
    <col min="5" max="6" width="18.125" customWidth="1"/>
    <col min="7" max="7" width="22.375" customWidth="1"/>
    <col min="8" max="8" width="27.75" customWidth="1"/>
    <col min="9" max="9" width="29.75" customWidth="1"/>
    <col min="10" max="10" width="22.375" customWidth="1"/>
    <col min="11" max="11" width="18.25" bestFit="1" customWidth="1"/>
    <col min="12" max="12" width="21.25" bestFit="1" customWidth="1"/>
    <col min="13" max="13" width="28.375" customWidth="1"/>
    <col min="14" max="14" width="11.125" bestFit="1" customWidth="1"/>
    <col min="15" max="15" width="20.5" bestFit="1" customWidth="1"/>
    <col min="16" max="16" width="19.125" bestFit="1" customWidth="1"/>
    <col min="17" max="17" width="54" style="5" bestFit="1" customWidth="1"/>
    <col min="18" max="18" width="18.125" bestFit="1" customWidth="1"/>
  </cols>
  <sheetData>
    <row r="1" spans="1:30" ht="16.5" customHeight="1">
      <c r="B1" s="1" t="s">
        <v>641</v>
      </c>
      <c r="D1" s="1" t="s">
        <v>642</v>
      </c>
      <c r="E1" s="1"/>
      <c r="F1" s="1"/>
      <c r="G1" s="1"/>
      <c r="H1" s="1" t="s">
        <v>646</v>
      </c>
      <c r="I1" s="1" t="s">
        <v>765</v>
      </c>
      <c r="J1" s="52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1" t="s">
        <v>655</v>
      </c>
      <c r="R1" s="53" t="s">
        <v>656</v>
      </c>
    </row>
    <row r="2" spans="1:30" ht="16.5" customHeight="1">
      <c r="A2" s="22"/>
      <c r="B2" s="70" t="s">
        <v>657</v>
      </c>
      <c r="C2" s="50" t="s">
        <v>658</v>
      </c>
      <c r="D2" s="51" t="s">
        <v>659</v>
      </c>
      <c r="E2" s="50" t="s">
        <v>658</v>
      </c>
      <c r="F2" s="71" t="s">
        <v>693</v>
      </c>
      <c r="G2" s="71" t="s">
        <v>694</v>
      </c>
      <c r="H2" s="56" t="s">
        <v>662</v>
      </c>
      <c r="I2" s="56" t="s">
        <v>766</v>
      </c>
      <c r="J2" s="56" t="s">
        <v>664</v>
      </c>
      <c r="K2" s="72" t="s">
        <v>665</v>
      </c>
      <c r="L2" s="72" t="s">
        <v>666</v>
      </c>
      <c r="M2" s="72" t="s">
        <v>667</v>
      </c>
      <c r="N2" s="55" t="s">
        <v>668</v>
      </c>
      <c r="O2" s="56" t="s">
        <v>669</v>
      </c>
      <c r="P2" s="56" t="s">
        <v>670</v>
      </c>
      <c r="Q2" s="57" t="s">
        <v>10</v>
      </c>
      <c r="R2" s="55" t="s">
        <v>671</v>
      </c>
      <c r="S2" s="22"/>
    </row>
    <row r="3" spans="1:30" ht="16.5" customHeight="1">
      <c r="B3" s="6" t="str">
        <f>D3&amp;"_"&amp;F3</f>
        <v>I_ORP01_VM_NANO_HITECH</v>
      </c>
      <c r="C3" s="6" t="s">
        <v>71</v>
      </c>
      <c r="D3" s="6" t="str" cm="1">
        <f t="array" ref="D3">INDEX(계측기코드!$D$4:$D$189,MATCH(1,(C3=계측기코드!$F$4:$F$190)*1,0))</f>
        <v>I_ORP01</v>
      </c>
      <c r="E3" s="6" t="s">
        <v>571</v>
      </c>
      <c r="F3" s="6" t="str" cm="1">
        <f t="array" ref="F3">INDEX(공급업체코드!$B$66:$B$150,MATCH(1,(E3=공급업체코드!$D$66:$D$150)*1,0))</f>
        <v>VM_NANO_HITECH</v>
      </c>
      <c r="G3" s="6" t="s">
        <v>768</v>
      </c>
      <c r="H3" s="6"/>
      <c r="I3" s="6"/>
      <c r="J3" s="6" t="s">
        <v>673</v>
      </c>
      <c r="K3" s="9">
        <v>4500000</v>
      </c>
      <c r="L3" s="9"/>
      <c r="M3" s="61" t="s">
        <v>769</v>
      </c>
      <c r="N3" s="61" t="b">
        <v>1</v>
      </c>
      <c r="O3" s="61" t="str">
        <f>C3</f>
        <v>금속전극식 ORP 측정기</v>
      </c>
      <c r="P3" s="61"/>
      <c r="Q3" s="6" t="s">
        <v>771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6.5" customHeight="1">
      <c r="C4" s="8"/>
      <c r="E4" s="8"/>
      <c r="F4" s="8"/>
      <c r="G4" s="5"/>
      <c r="H4" s="5"/>
      <c r="I4" s="5"/>
      <c r="J4" s="5"/>
    </row>
    <row r="5" spans="1:30" ht="16.5" customHeight="1">
      <c r="C5" s="8"/>
    </row>
    <row r="6" spans="1:30" ht="16.5" customHeight="1">
      <c r="E6" s="8"/>
      <c r="F6" s="8"/>
      <c r="G6" s="5"/>
      <c r="H6" s="5"/>
      <c r="I6" s="5"/>
      <c r="J6" s="5"/>
    </row>
    <row r="8" spans="1:30" ht="16.5" customHeight="1">
      <c r="H8" s="5"/>
    </row>
    <row r="9" spans="1:30" ht="16.5" customHeight="1">
      <c r="H9" s="5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6BF807-8575-4B35-A637-498E0F5F2AE4}">
          <x14:formula1>
            <xm:f>계측기코드!$F$24:$F$26</xm:f>
          </x14:formula1>
          <xm:sqref>C3</xm:sqref>
        </x14:dataValidation>
        <x14:dataValidation type="list" allowBlank="1" showInputMessage="1" showErrorMessage="1" xr:uid="{48213EA0-9EFE-4960-86FB-F0413180F735}">
          <x14:formula1>
            <xm:f>공급업체코드!$D$66:$D$111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AC6"/>
  <sheetViews>
    <sheetView topLeftCell="C1" zoomScale="70" zoomScaleNormal="70" workbookViewId="0">
      <selection activeCell="C1" sqref="A1:XFD1048576"/>
    </sheetView>
  </sheetViews>
  <sheetFormatPr defaultRowHeight="16.5" customHeight="1"/>
  <cols>
    <col min="1" max="1" width="24.125" customWidth="1"/>
    <col min="2" max="2" width="36.125" customWidth="1"/>
    <col min="3" max="3" width="25.375" bestFit="1" customWidth="1"/>
    <col min="4" max="4" width="15.625" customWidth="1"/>
    <col min="5" max="5" width="18.125" customWidth="1"/>
    <col min="6" max="6" width="25.875" customWidth="1"/>
    <col min="7" max="8" width="24" customWidth="1"/>
    <col min="9" max="9" width="27.75" customWidth="1"/>
    <col min="10" max="10" width="24" customWidth="1"/>
    <col min="11" max="11" width="18.25" bestFit="1" customWidth="1"/>
    <col min="12" max="12" width="21.25" bestFit="1" customWidth="1"/>
    <col min="13" max="13" width="29.25" customWidth="1"/>
    <col min="14" max="14" width="17.75" style="5" bestFit="1" customWidth="1"/>
    <col min="15" max="16" width="17.75" style="5" customWidth="1"/>
    <col min="17" max="17" width="61.125" customWidth="1"/>
    <col min="18" max="18" width="18.125" bestFit="1" customWidth="1"/>
  </cols>
  <sheetData>
    <row r="1" spans="2:29" s="22" customFormat="1" ht="16.5" customHeight="1">
      <c r="C1" s="1" t="s">
        <v>641</v>
      </c>
      <c r="D1" s="1" t="s">
        <v>642</v>
      </c>
      <c r="E1" s="1"/>
      <c r="F1" s="1"/>
      <c r="G1" s="1" t="s">
        <v>772</v>
      </c>
      <c r="H1" s="1" t="s">
        <v>646</v>
      </c>
      <c r="I1" s="1" t="s">
        <v>765</v>
      </c>
      <c r="J1" s="52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22" t="s">
        <v>655</v>
      </c>
      <c r="R1" s="53" t="s">
        <v>656</v>
      </c>
    </row>
    <row r="2" spans="2:29" ht="16.5" customHeight="1">
      <c r="B2" s="70" t="s">
        <v>657</v>
      </c>
      <c r="C2" s="50" t="s">
        <v>658</v>
      </c>
      <c r="D2" s="51" t="s">
        <v>659</v>
      </c>
      <c r="E2" s="50" t="s">
        <v>658</v>
      </c>
      <c r="F2" s="71" t="s">
        <v>693</v>
      </c>
      <c r="G2" s="71" t="s">
        <v>694</v>
      </c>
      <c r="H2" s="56" t="s">
        <v>662</v>
      </c>
      <c r="I2" s="56" t="s">
        <v>766</v>
      </c>
      <c r="J2" s="56" t="s">
        <v>664</v>
      </c>
      <c r="K2" s="76" t="s">
        <v>665</v>
      </c>
      <c r="L2" s="77" t="s">
        <v>666</v>
      </c>
      <c r="M2" s="75" t="s">
        <v>667</v>
      </c>
      <c r="N2" s="78" t="s">
        <v>668</v>
      </c>
      <c r="O2" s="56" t="s">
        <v>669</v>
      </c>
      <c r="P2" s="56" t="s">
        <v>670</v>
      </c>
      <c r="Q2" s="71" t="s">
        <v>10</v>
      </c>
      <c r="R2" s="55" t="s">
        <v>671</v>
      </c>
    </row>
    <row r="3" spans="2:29" ht="16.5" customHeight="1">
      <c r="B3" s="6" t="str">
        <f>D3&amp;"_"&amp;F3</f>
        <v>I_DOM01_VM_NANO_HITECH</v>
      </c>
      <c r="C3" s="6" t="s">
        <v>81</v>
      </c>
      <c r="D3" s="6" t="str" cm="1">
        <f t="array" ref="D3">INDEX(계측기코드!$D$4:$D$189,MATCH(1,(C3=계측기코드!$F$4:$F$190)*1,0))</f>
        <v>I_DOM01</v>
      </c>
      <c r="E3" s="6" t="s">
        <v>571</v>
      </c>
      <c r="F3" s="6" t="str" cm="1">
        <f t="array" ref="F3">INDEX(공급업체코드!$B$66:$B$150,MATCH(1,(E3=공급업체코드!$D$66:$D$150)*1,0))</f>
        <v>VM_NANO_HITECH</v>
      </c>
      <c r="G3" s="6" t="s">
        <v>773</v>
      </c>
      <c r="H3" s="6"/>
      <c r="I3" s="6"/>
      <c r="J3" s="6" t="s">
        <v>673</v>
      </c>
      <c r="K3" s="9">
        <v>10000000</v>
      </c>
      <c r="L3" s="60"/>
      <c r="M3" s="61" t="s">
        <v>774</v>
      </c>
      <c r="N3" s="61" t="b">
        <v>1</v>
      </c>
      <c r="O3" s="61" t="str">
        <f>C3</f>
        <v>광학식 DO 측정기</v>
      </c>
      <c r="P3" s="61"/>
      <c r="Q3" s="6" t="s">
        <v>775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2:29" ht="16.5" customHeight="1">
      <c r="C4" s="8"/>
      <c r="E4" s="8"/>
      <c r="F4" s="5"/>
      <c r="G4" s="5"/>
      <c r="H4" s="5"/>
      <c r="I4" s="5"/>
      <c r="J4" s="5"/>
    </row>
    <row r="5" spans="2:29" ht="16.5" customHeight="1">
      <c r="C5" s="8"/>
      <c r="E5" s="8"/>
      <c r="F5" s="5"/>
      <c r="G5" s="5"/>
      <c r="H5" s="5"/>
      <c r="I5" s="5"/>
      <c r="J5" s="5"/>
    </row>
    <row r="6" spans="2:29" ht="16.5" customHeight="1">
      <c r="C6" s="8"/>
      <c r="E6" s="8"/>
      <c r="F6" s="5"/>
      <c r="G6" s="5"/>
      <c r="H6" s="5"/>
      <c r="I6" s="5"/>
      <c r="J6" s="5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56DC08-B2A9-47D4-B3B6-87F0BF29BED2}">
          <x14:formula1>
            <xm:f>계측기코드!$F$28:$F$31</xm:f>
          </x14:formula1>
          <xm:sqref>C3</xm:sqref>
        </x14:dataValidation>
        <x14:dataValidation type="list" allowBlank="1" showInputMessage="1" showErrorMessage="1" xr:uid="{8D08DB25-4A69-477E-AE3A-8DFA0B1C9397}">
          <x14:formula1>
            <xm:f>공급업체코드!$D$66:$D$111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C13"/>
  <sheetViews>
    <sheetView zoomScale="70" zoomScaleNormal="70" workbookViewId="0">
      <selection activeCell="D15" sqref="D15"/>
    </sheetView>
  </sheetViews>
  <sheetFormatPr defaultRowHeight="16.5" customHeight="1"/>
  <cols>
    <col min="1" max="1" width="28.375" customWidth="1"/>
    <col min="2" max="2" width="39" customWidth="1"/>
    <col min="3" max="3" width="20.875" bestFit="1" customWidth="1"/>
    <col min="4" max="4" width="20.25" customWidth="1"/>
    <col min="5" max="5" width="21.5" customWidth="1"/>
    <col min="6" max="6" width="25.25" customWidth="1"/>
    <col min="7" max="7" width="17.625" customWidth="1"/>
    <col min="8" max="8" width="22.25" customWidth="1"/>
    <col min="9" max="9" width="27.625" bestFit="1" customWidth="1"/>
    <col min="10" max="10" width="25.125" customWidth="1"/>
    <col min="11" max="11" width="22.25" customWidth="1"/>
    <col min="12" max="12" width="18.25" bestFit="1" customWidth="1"/>
    <col min="13" max="13" width="21.25" bestFit="1" customWidth="1"/>
    <col min="14" max="14" width="26.125" customWidth="1"/>
    <col min="15" max="15" width="17.75" style="5" bestFit="1" customWidth="1"/>
    <col min="16" max="17" width="17.75" style="5" customWidth="1"/>
    <col min="18" max="18" width="32.625" customWidth="1"/>
    <col min="19" max="19" width="18.125" bestFit="1" customWidth="1"/>
  </cols>
  <sheetData>
    <row r="1" spans="1:29" ht="16.5" customHeight="1">
      <c r="B1" s="1" t="s">
        <v>641</v>
      </c>
      <c r="D1" s="1" t="s">
        <v>642</v>
      </c>
      <c r="E1" s="1"/>
      <c r="F1" s="1"/>
      <c r="G1" s="1" t="s">
        <v>687</v>
      </c>
      <c r="H1" s="1" t="s">
        <v>776</v>
      </c>
      <c r="I1" s="1" t="s">
        <v>646</v>
      </c>
      <c r="J1" s="1" t="s">
        <v>765</v>
      </c>
      <c r="K1" s="52" t="s">
        <v>648</v>
      </c>
      <c r="L1" s="1" t="s">
        <v>649</v>
      </c>
      <c r="M1" s="1" t="s">
        <v>650</v>
      </c>
      <c r="N1" s="1" t="s">
        <v>651</v>
      </c>
      <c r="O1" s="1" t="s">
        <v>652</v>
      </c>
      <c r="P1" s="1" t="s">
        <v>653</v>
      </c>
      <c r="Q1" s="1" t="s">
        <v>654</v>
      </c>
      <c r="S1" s="53" t="s">
        <v>656</v>
      </c>
    </row>
    <row r="2" spans="1:29" ht="16.5" customHeight="1">
      <c r="A2" s="22" t="s">
        <v>777</v>
      </c>
      <c r="B2" s="70" t="s">
        <v>657</v>
      </c>
      <c r="C2" s="50" t="s">
        <v>658</v>
      </c>
      <c r="D2" s="51" t="s">
        <v>659</v>
      </c>
      <c r="E2" s="50" t="s">
        <v>658</v>
      </c>
      <c r="F2" s="71" t="s">
        <v>693</v>
      </c>
      <c r="G2" s="71" t="s">
        <v>694</v>
      </c>
      <c r="H2" s="51" t="s">
        <v>778</v>
      </c>
      <c r="I2" s="56" t="s">
        <v>662</v>
      </c>
      <c r="J2" s="56" t="s">
        <v>766</v>
      </c>
      <c r="K2" s="56" t="s">
        <v>664</v>
      </c>
      <c r="L2" s="72" t="s">
        <v>665</v>
      </c>
      <c r="M2" s="75" t="s">
        <v>666</v>
      </c>
      <c r="N2" s="75" t="s">
        <v>667</v>
      </c>
      <c r="O2" s="55" t="s">
        <v>668</v>
      </c>
      <c r="P2" s="56" t="s">
        <v>669</v>
      </c>
      <c r="Q2" s="56" t="s">
        <v>670</v>
      </c>
      <c r="R2" s="57" t="s">
        <v>10</v>
      </c>
      <c r="S2" s="55" t="s">
        <v>671</v>
      </c>
      <c r="T2" s="1"/>
    </row>
    <row r="3" spans="1:29" ht="16.5" customHeight="1">
      <c r="A3" s="81" t="s">
        <v>88</v>
      </c>
      <c r="B3" s="6" t="str">
        <f>D3&amp;"_"&amp;F3&amp;"_"&amp;H3</f>
        <v>I_PRSS02_VM_BACKKWANG_IST_25</v>
      </c>
      <c r="C3" s="6" t="s">
        <v>95</v>
      </c>
      <c r="D3" s="6" t="str" cm="1">
        <f t="array" ref="D3">INDEX(계측기코드!$D$4:$D$189,MATCH(1,(C3=계측기코드!$F$4:$F$190)*1,0))</f>
        <v>I_PRSS02</v>
      </c>
      <c r="E3" s="6" t="s">
        <v>601</v>
      </c>
      <c r="F3" s="6" t="str" cm="1">
        <f t="array" ref="F3">INDEX(공급업체코드!$B$66:$B$150,MATCH(1,(E3=공급업체코드!$D$66:$D$150)*1,0))</f>
        <v>VM_BACKKWANG_IST</v>
      </c>
      <c r="G3" s="6"/>
      <c r="H3" s="6">
        <v>25</v>
      </c>
      <c r="I3" s="6"/>
      <c r="J3" s="6"/>
      <c r="K3" s="6" t="s">
        <v>673</v>
      </c>
      <c r="L3" s="9">
        <v>1200000</v>
      </c>
      <c r="M3" s="60"/>
      <c r="N3" s="61" t="s">
        <v>779</v>
      </c>
      <c r="O3" s="61" t="b">
        <v>1</v>
      </c>
      <c r="P3" s="61" t="s">
        <v>780</v>
      </c>
      <c r="Q3" s="61" t="s">
        <v>707</v>
      </c>
      <c r="R3" s="6" t="s">
        <v>781</v>
      </c>
      <c r="S3" s="74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6.5" customHeight="1">
      <c r="C4" s="8"/>
      <c r="E4" s="8"/>
      <c r="F4" s="5"/>
      <c r="G4" s="5"/>
    </row>
    <row r="5" spans="1:29" ht="16.5" customHeight="1">
      <c r="C5" s="8"/>
      <c r="E5" s="8"/>
      <c r="F5" s="8"/>
      <c r="G5" s="5"/>
    </row>
    <row r="6" spans="1:29" ht="16.5" customHeight="1">
      <c r="C6" s="8"/>
      <c r="E6" s="8"/>
      <c r="F6" s="5"/>
      <c r="G6" s="5"/>
    </row>
    <row r="7" spans="1:29" ht="16.5" customHeight="1">
      <c r="C7" s="8"/>
      <c r="E7" s="8"/>
      <c r="F7" s="5"/>
      <c r="G7" s="5"/>
    </row>
    <row r="11" spans="1:29" ht="16.5" customHeight="1">
      <c r="N11" s="5"/>
      <c r="Q11"/>
    </row>
    <row r="12" spans="1:29" ht="16.5" customHeight="1">
      <c r="N12" s="5"/>
      <c r="Q12"/>
    </row>
    <row r="13" spans="1:29" ht="16.5" customHeight="1">
      <c r="N13" s="5"/>
      <c r="Q1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64D2E1-D8C9-4F68-8829-D4C86EE3B759}">
          <x14:formula1>
            <xm:f>공급업체코드!$D$66:$D$111</xm:f>
          </x14:formula1>
          <xm:sqref>E3</xm:sqref>
        </x14:dataValidation>
        <x14:dataValidation type="list" allowBlank="1" showInputMessage="1" showErrorMessage="1" xr:uid="{FE7CF74C-7FBE-40C7-957D-FFF05A248826}">
          <x14:formula1>
            <xm:f>계측기코드!$F$33:$F$38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AD13"/>
  <sheetViews>
    <sheetView topLeftCell="B1" zoomScale="70" zoomScaleNormal="70" workbookViewId="0">
      <selection activeCell="H18" sqref="H18"/>
    </sheetView>
  </sheetViews>
  <sheetFormatPr defaultRowHeight="16.5" customHeight="1"/>
  <cols>
    <col min="1" max="1" width="26" customWidth="1"/>
    <col min="2" max="2" width="39" customWidth="1"/>
    <col min="3" max="3" width="17.75" customWidth="1"/>
    <col min="4" max="4" width="16.75" bestFit="1" customWidth="1"/>
    <col min="5" max="5" width="18.125" customWidth="1"/>
    <col min="6" max="6" width="37.375" customWidth="1"/>
    <col min="7" max="7" width="20.625" customWidth="1"/>
    <col min="8" max="8" width="27.625" bestFit="1" customWidth="1"/>
    <col min="9" max="9" width="29.375" bestFit="1" customWidth="1"/>
    <col min="10" max="10" width="20.625" customWidth="1"/>
    <col min="11" max="11" width="18.25" bestFit="1" customWidth="1"/>
    <col min="12" max="12" width="21.25" bestFit="1" customWidth="1"/>
    <col min="13" max="13" width="26.25" customWidth="1"/>
    <col min="14" max="14" width="17.75" style="5" bestFit="1" customWidth="1"/>
    <col min="15" max="16" width="17.75" style="5" customWidth="1"/>
    <col min="17" max="17" width="40.125" customWidth="1"/>
    <col min="18" max="18" width="18.125" bestFit="1" customWidth="1"/>
  </cols>
  <sheetData>
    <row r="1" spans="2:30" ht="16.5" customHeight="1">
      <c r="C1" s="1" t="s">
        <v>641</v>
      </c>
      <c r="D1" s="1" t="s">
        <v>642</v>
      </c>
      <c r="E1" s="1"/>
      <c r="F1" s="1"/>
      <c r="G1" s="1" t="s">
        <v>687</v>
      </c>
      <c r="H1" s="1" t="s">
        <v>646</v>
      </c>
      <c r="I1" s="1" t="s">
        <v>765</v>
      </c>
      <c r="J1" s="52" t="s">
        <v>648</v>
      </c>
      <c r="K1" s="1" t="s">
        <v>649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R1" s="53" t="s">
        <v>656</v>
      </c>
    </row>
    <row r="2" spans="2:30" ht="16.5" customHeight="1">
      <c r="B2" s="70" t="s">
        <v>657</v>
      </c>
      <c r="C2" s="50" t="s">
        <v>658</v>
      </c>
      <c r="D2" s="51" t="s">
        <v>659</v>
      </c>
      <c r="E2" s="50" t="s">
        <v>658</v>
      </c>
      <c r="F2" s="71" t="s">
        <v>693</v>
      </c>
      <c r="G2" s="71" t="s">
        <v>694</v>
      </c>
      <c r="H2" s="56" t="s">
        <v>662</v>
      </c>
      <c r="I2" s="56" t="s">
        <v>766</v>
      </c>
      <c r="J2" s="56" t="s">
        <v>664</v>
      </c>
      <c r="K2" s="72" t="s">
        <v>665</v>
      </c>
      <c r="L2" s="72" t="s">
        <v>666</v>
      </c>
      <c r="M2" s="72" t="s">
        <v>667</v>
      </c>
      <c r="N2" s="55" t="s">
        <v>668</v>
      </c>
      <c r="O2" s="56" t="s">
        <v>669</v>
      </c>
      <c r="P2" s="56" t="s">
        <v>670</v>
      </c>
      <c r="Q2" s="73" t="s">
        <v>10</v>
      </c>
      <c r="R2" s="55" t="s">
        <v>671</v>
      </c>
    </row>
    <row r="3" spans="2:30" ht="16.5" customHeight="1">
      <c r="B3" s="59" t="str">
        <f>D3&amp;"_"&amp;F3</f>
        <v>I_THM00_VM_0000</v>
      </c>
      <c r="C3" s="6" t="s">
        <v>108</v>
      </c>
      <c r="D3" s="6" t="str" cm="1">
        <f t="array" ref="D3">INDEX(계측기코드!$D$4:$D$189,MATCH(1,(C3=계측기코드!$F$4:$F$190)*1,0))</f>
        <v>I_THM00</v>
      </c>
      <c r="E3" s="8" t="s">
        <v>316</v>
      </c>
      <c r="F3" s="6" t="str" cm="1">
        <f t="array" ref="F3">INDEX(공급업체코드!$B$3:$B$150,MATCH(1,(E3=공급업체코드!$D$3:$D$150)*1,0))</f>
        <v>VM_0000</v>
      </c>
      <c r="G3" s="6"/>
      <c r="H3" s="6"/>
      <c r="I3" s="6"/>
      <c r="J3" s="6" t="s">
        <v>673</v>
      </c>
      <c r="K3" s="9">
        <v>0</v>
      </c>
      <c r="L3" s="60"/>
      <c r="M3" s="60"/>
      <c r="N3" s="61" t="b">
        <v>1</v>
      </c>
      <c r="O3" s="6" t="s">
        <v>782</v>
      </c>
      <c r="P3" s="61"/>
      <c r="Q3" s="6" t="s">
        <v>782</v>
      </c>
      <c r="R3" s="6"/>
      <c r="S3" s="6"/>
    </row>
    <row r="4" spans="2:30" ht="16.5" customHeight="1">
      <c r="B4" s="59" t="str">
        <f>D4&amp;"_"&amp;F4</f>
        <v>I_THM01_VM_HITROL_CO</v>
      </c>
      <c r="C4" s="6" t="s">
        <v>110</v>
      </c>
      <c r="D4" s="6" t="str" cm="1">
        <f t="array" ref="D4">INDEX(계측기코드!$D$4:$D$189,MATCH(1,(C4=계측기코드!$F$4:$F$190)*1,0))</f>
        <v>I_THM01</v>
      </c>
      <c r="E4" s="6" t="s">
        <v>547</v>
      </c>
      <c r="F4" s="6" t="str" cm="1">
        <f t="array" ref="F4">INDEX(공급업체코드!$B$66:$B$150,MATCH(1,(E4=공급업체코드!$D$66:$D$150)*1,0))</f>
        <v>VM_HITROL_CO</v>
      </c>
      <c r="G4" s="6"/>
      <c r="H4" s="6"/>
      <c r="I4" s="6"/>
      <c r="J4" s="6" t="s">
        <v>673</v>
      </c>
      <c r="K4" s="9">
        <v>1060000</v>
      </c>
      <c r="L4" s="60"/>
      <c r="M4" s="61" t="s">
        <v>746</v>
      </c>
      <c r="N4" s="61" t="b">
        <v>1</v>
      </c>
      <c r="O4" s="61" t="str">
        <f>C4</f>
        <v>RTD식 온도계</v>
      </c>
      <c r="P4" s="61"/>
      <c r="Q4" s="6" t="s">
        <v>783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6" spans="2:30" ht="16.5" customHeight="1">
      <c r="E6" s="7"/>
      <c r="F6" s="7"/>
      <c r="G6" s="7"/>
      <c r="H6" s="7"/>
      <c r="I6" s="7"/>
      <c r="J6" s="7"/>
    </row>
    <row r="7" spans="2:30" ht="16.5" customHeight="1">
      <c r="E7" s="8"/>
      <c r="F7" s="5"/>
      <c r="G7" s="5"/>
      <c r="H7" s="5"/>
      <c r="I7" s="5"/>
      <c r="J7" s="5"/>
    </row>
    <row r="8" spans="2:30" ht="16.5" customHeight="1">
      <c r="E8" s="8"/>
      <c r="F8" s="5"/>
      <c r="G8" s="5"/>
      <c r="H8" s="5"/>
      <c r="I8" s="5"/>
      <c r="J8" s="5"/>
      <c r="N8" s="9"/>
      <c r="O8" s="9"/>
      <c r="P8" s="9"/>
    </row>
    <row r="13" spans="2:30" ht="16.5" customHeight="1">
      <c r="E13" s="5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679BAA-39C3-4A45-BBA4-85D5B08E6F13}">
          <x14:formula1>
            <xm:f>공급업체코드!$D$66:$D$111</xm:f>
          </x14:formula1>
          <xm:sqref>E4</xm:sqref>
        </x14:dataValidation>
        <x14:dataValidation type="list" allowBlank="1" showInputMessage="1" showErrorMessage="1" xr:uid="{CFF5E49C-BA06-457C-B97A-B67B6E1CC3CF}">
          <x14:formula1>
            <xm:f>계측기코드!$F$40:$F$44</xm:f>
          </x14:formula1>
          <xm:sqref>C3:C4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503E-DD3E-4C7C-9CF9-E8EB6B148B80}">
  <dimension ref="A1:R7"/>
  <sheetViews>
    <sheetView tabSelected="1" topLeftCell="B1" zoomScale="70" zoomScaleNormal="70" workbookViewId="0">
      <selection activeCell="F9" sqref="F9"/>
    </sheetView>
  </sheetViews>
  <sheetFormatPr defaultRowHeight="16.5" customHeight="1"/>
  <cols>
    <col min="1" max="1" width="26" customWidth="1"/>
    <col min="2" max="2" width="39" customWidth="1"/>
    <col min="3" max="3" width="17.75" customWidth="1"/>
    <col min="4" max="4" width="16.75" bestFit="1" customWidth="1"/>
    <col min="5" max="5" width="18.125" customWidth="1"/>
    <col min="6" max="6" width="37.375" customWidth="1"/>
    <col min="7" max="7" width="20.625" customWidth="1"/>
    <col min="8" max="8" width="27.625" bestFit="1" customWidth="1"/>
    <col min="9" max="9" width="29.375" bestFit="1" customWidth="1"/>
    <col min="10" max="10" width="20.625" customWidth="1"/>
    <col min="11" max="11" width="18.25" bestFit="1" customWidth="1"/>
    <col min="12" max="12" width="21.25" bestFit="1" customWidth="1"/>
    <col min="13" max="13" width="28.125" customWidth="1"/>
    <col min="14" max="14" width="17.75" style="5" bestFit="1" customWidth="1"/>
    <col min="15" max="16" width="17.75" style="5" customWidth="1"/>
    <col min="17" max="17" width="40.125" customWidth="1"/>
    <col min="18" max="18" width="18.125" bestFit="1" customWidth="1"/>
  </cols>
  <sheetData>
    <row r="1" spans="1:18" ht="16.5" customHeight="1">
      <c r="C1" s="1" t="s">
        <v>641</v>
      </c>
      <c r="D1" s="1" t="s">
        <v>642</v>
      </c>
      <c r="E1" s="10"/>
      <c r="F1" s="10"/>
      <c r="G1" s="1" t="s">
        <v>687</v>
      </c>
      <c r="H1" s="1" t="s">
        <v>646</v>
      </c>
      <c r="I1" s="1" t="s">
        <v>765</v>
      </c>
      <c r="J1" s="52" t="s">
        <v>648</v>
      </c>
      <c r="K1" s="1" t="s">
        <v>649</v>
      </c>
      <c r="L1" s="10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R1" s="53" t="s">
        <v>656</v>
      </c>
    </row>
    <row r="2" spans="1:18" ht="16.5" customHeight="1">
      <c r="B2" s="3" t="s">
        <v>657</v>
      </c>
      <c r="C2" s="24" t="s">
        <v>658</v>
      </c>
      <c r="D2" s="45" t="s">
        <v>659</v>
      </c>
      <c r="E2" s="24" t="s">
        <v>658</v>
      </c>
      <c r="F2" s="46" t="s">
        <v>693</v>
      </c>
      <c r="G2" s="46" t="s">
        <v>694</v>
      </c>
      <c r="H2" s="62" t="s">
        <v>662</v>
      </c>
      <c r="I2" s="62" t="s">
        <v>766</v>
      </c>
      <c r="J2" s="62" t="s">
        <v>664</v>
      </c>
      <c r="K2" s="47" t="s">
        <v>665</v>
      </c>
      <c r="L2" s="47" t="s">
        <v>666</v>
      </c>
      <c r="M2" s="47" t="s">
        <v>667</v>
      </c>
      <c r="N2" s="48" t="s">
        <v>668</v>
      </c>
      <c r="O2" s="62" t="s">
        <v>669</v>
      </c>
      <c r="P2" s="62" t="s">
        <v>670</v>
      </c>
      <c r="Q2" s="58" t="s">
        <v>10</v>
      </c>
      <c r="R2" s="63" t="s">
        <v>671</v>
      </c>
    </row>
    <row r="3" spans="1:18" s="6" customFormat="1" ht="16.5" customHeight="1">
      <c r="A3"/>
      <c r="B3" s="64" t="str">
        <f>D3&amp;"_"&amp;F3</f>
        <v>I_MLS02_VM_NANO_HITECH</v>
      </c>
      <c r="C3" s="65" t="s">
        <v>124</v>
      </c>
      <c r="D3" s="66" t="str" cm="1">
        <f t="array" ref="D3">INDEX(계측기코드!$D$4:$D$189,MATCH(1,(C3=계측기코드!$F$4:$F$190)*1,0))</f>
        <v>I_MLS02</v>
      </c>
      <c r="E3" s="65" t="s">
        <v>571</v>
      </c>
      <c r="F3" s="66" t="s">
        <v>569</v>
      </c>
      <c r="G3" s="66" t="s">
        <v>784</v>
      </c>
      <c r="H3" s="66"/>
      <c r="I3" s="66"/>
      <c r="J3" s="66" t="s">
        <v>673</v>
      </c>
      <c r="K3" s="67">
        <v>11000000</v>
      </c>
      <c r="L3" s="68"/>
      <c r="M3" s="69" t="s">
        <v>785</v>
      </c>
      <c r="N3" s="69" t="b">
        <v>1</v>
      </c>
      <c r="O3" s="69" t="str">
        <f>C3</f>
        <v>적외선 MLSS계</v>
      </c>
      <c r="P3" s="69"/>
      <c r="Q3" s="66" t="s">
        <v>786</v>
      </c>
      <c r="R3" s="66"/>
    </row>
    <row r="4" spans="1:18" ht="16.5" customHeight="1">
      <c r="F4" s="7"/>
      <c r="G4" s="7"/>
      <c r="H4" s="7"/>
      <c r="I4" s="7"/>
      <c r="J4" s="7"/>
    </row>
    <row r="5" spans="1:18" ht="16.5" customHeight="1">
      <c r="F5" s="5"/>
      <c r="G5" s="5"/>
      <c r="H5" s="5"/>
      <c r="I5" s="5"/>
      <c r="J5" s="5"/>
    </row>
    <row r="6" spans="1:18" ht="16.5" customHeight="1">
      <c r="F6" s="5"/>
      <c r="G6" s="5"/>
      <c r="H6" s="5"/>
      <c r="I6" s="5"/>
      <c r="J6" s="5"/>
      <c r="N6" s="9"/>
      <c r="O6" s="9"/>
      <c r="P6" s="9"/>
    </row>
    <row r="7" spans="1:18" ht="16.5" customHeight="1">
      <c r="K7" s="9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최윤규</dc:creator>
  <cp:keywords/>
  <dc:description/>
  <cp:lastModifiedBy/>
  <cp:revision/>
  <dcterms:created xsi:type="dcterms:W3CDTF">2025-08-26T07:10:19Z</dcterms:created>
  <dcterms:modified xsi:type="dcterms:W3CDTF">2026-05-12T05:46:16Z</dcterms:modified>
  <cp:category/>
  <cp:contentStatus/>
</cp:coreProperties>
</file>